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  <sheet state="visible" name="19" sheetId="20" r:id="rId23"/>
    <sheet state="visible" name="20" sheetId="21" r:id="rId24"/>
    <sheet state="visible" name="21" sheetId="22" r:id="rId25"/>
    <sheet state="visible" name="22" sheetId="23" r:id="rId26"/>
    <sheet state="visible" name="23" sheetId="24" r:id="rId27"/>
    <sheet state="visible" name="24" sheetId="25" r:id="rId28"/>
    <sheet state="visible" name="25" sheetId="26" r:id="rId29"/>
    <sheet state="visible" name="26" sheetId="27" r:id="rId30"/>
    <sheet state="visible" name="27" sheetId="28" r:id="rId31"/>
    <sheet state="visible" name="28" sheetId="29" r:id="rId32"/>
    <sheet state="visible" name="29" sheetId="30" r:id="rId33"/>
    <sheet state="visible" name="30" sheetId="31" r:id="rId34"/>
    <sheet state="visible" name="31" sheetId="32" r:id="rId35"/>
    <sheet state="visible" name="AMOSTRAS SULFATO" sheetId="33" r:id="rId36"/>
    <sheet state="visible" name="RECEBIMENTO" sheetId="34" r:id="rId37"/>
    <sheet state="visible" name="Para CCO" sheetId="35" r:id="rId38"/>
    <sheet state="visible" name="CONTROLE TINAS" sheetId="36" r:id="rId39"/>
    <sheet state="visible" name="Parte 1" sheetId="37" r:id="rId40"/>
    <sheet state="visible" name="Parte 2" sheetId="38" r:id="rId41"/>
    <sheet state="visible" name="Parte3 " sheetId="39" r:id="rId42"/>
    <sheet state="hidden" name="Parte4 " sheetId="40" r:id="rId43"/>
    <sheet state="hidden" name="Parte5 " sheetId="41" r:id="rId44"/>
    <sheet state="visible" name="PROD. QUÍM." sheetId="42" r:id="rId45"/>
    <sheet state="visible" name="Controle qualidade GQL " sheetId="43" r:id="rId46"/>
    <sheet state="visible" name="RelatSISÁGUA" sheetId="44" r:id="rId47"/>
    <sheet state="visible" name="PQetasGPRs" sheetId="45" r:id="rId48"/>
    <sheet state="visible" name="Ferro e Manganês" sheetId="46" r:id="rId49"/>
    <sheet state="visible" name="Planilha47" sheetId="47" r:id="rId50"/>
    <sheet state="visible" name="Planilha48" sheetId="48" r:id="rId51"/>
    <sheet state="visible" name="Planilha49" sheetId="49" r:id="rId52"/>
    <sheet state="visible" name="Planilha50" sheetId="50" r:id="rId53"/>
    <sheet state="visible" name="Planilha51" sheetId="51" r:id="rId54"/>
  </sheets>
  <externalReferences>
    <externalReference r:id="rId55"/>
  </externalReferences>
  <definedNames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  <definedName localSheetId="33" name="_FilterDatabase_0">#REF!</definedName>
    <definedName hidden="1" localSheetId="21" name="_xlnm._FilterDatabase">'21'!$AQ$61:$AQ$63</definedName>
    <definedName hidden="1" localSheetId="27" name="_xlnm._FilterDatabase">'27'!$X$35:$AD$37</definedName>
  </definedNames>
  <calcPr/>
  <extLst>
    <ext uri="GoogleSheetsCustomDataVersion2">
      <go:sheetsCustomData xmlns:go="http://customooxmlschemas.google.com/" r:id="rId56" roundtripDataChecksum="Zw08jzQ8BJ26Z9HioPWDAbyC7StE/qLraM0VmpU0Plo="/>
    </ext>
  </extLst>
</workbook>
</file>

<file path=xl/sharedStrings.xml><?xml version="1.0" encoding="utf-8"?>
<sst xmlns="http://schemas.openxmlformats.org/spreadsheetml/2006/main" count="8764" uniqueCount="451">
  <si>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</si>
  <si>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</si>
  <si>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</si>
  <si>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</si>
  <si>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</si>
  <si>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</si>
  <si>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</si>
  <si>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</si>
  <si>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</si>
  <si>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</si>
  <si>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</si>
  <si>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</si>
  <si>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</si>
  <si>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</si>
  <si>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</si>
  <si>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</si>
  <si>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</si>
  <si>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</si>
  <si>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</si>
  <si>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</si>
  <si>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</si>
  <si>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</si>
  <si>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</si>
  <si>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</si>
  <si>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</si>
  <si>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</si>
  <si>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</si>
  <si>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</si>
  <si>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</si>
  <si>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</si>
  <si>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</si>
  <si>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</si>
  <si>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</si>
  <si>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</si>
  <si>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</si>
  <si>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</si>
  <si>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</si>
  <si>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</si>
  <si>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</si>
  <si>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</si>
  <si>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</si>
  <si>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</si>
  <si>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</si>
  <si>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</si>
  <si>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</si>
  <si>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</si>
  <si>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</si>
  <si>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</si>
  <si>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</si>
  <si>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</si>
  <si>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</si>
  <si>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</si>
  <si>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</si>
  <si>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</si>
  <si>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</si>
  <si>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</si>
  <si>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</si>
  <si>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</si>
  <si>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</si>
  <si>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</si>
  <si>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</si>
  <si>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</si>
  <si>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</si>
  <si>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</si>
  <si>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</si>
  <si>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</si>
  <si>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</si>
  <si>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</si>
  <si>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</si>
  <si>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</si>
  <si>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</si>
  <si>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</si>
  <si>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</si>
  <si>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</si>
  <si>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</si>
  <si>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</si>
  <si>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</si>
  <si>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</si>
  <si>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</si>
  <si>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</si>
  <si>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</si>
  <si>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</si>
  <si>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</si>
  <si>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</si>
  <si>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</si>
  <si>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</si>
  <si>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</si>
  <si>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</si>
  <si>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</si>
  <si>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</si>
  <si>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</si>
  <si>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</si>
  <si>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</si>
  <si>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</si>
  <si>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</si>
  <si>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</si>
  <si>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</si>
  <si>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</si>
  <si>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</si>
  <si>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</si>
  <si>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</si>
  <si>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</si>
  <si>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</si>
  <si>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</si>
  <si>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</si>
  <si>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</si>
  <si>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</si>
  <si>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</si>
  <si>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</si>
  <si>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</si>
  <si>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</si>
  <si>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</si>
  <si>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</si>
  <si>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</si>
  <si>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</si>
  <si>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</si>
  <si>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</si>
  <si>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</si>
  <si>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</si>
  <si>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</si>
  <si>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</si>
  <si>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</si>
  <si>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</si>
  <si>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</si>
  <si>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</si>
  <si>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</si>
  <si>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</si>
  <si>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</si>
  <si>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</si>
  <si>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</si>
  <si>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</si>
  <si>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>xxx</t>
  </si>
  <si>
    <t>*</t>
  </si>
  <si>
    <t xml:space="preserve">   </t>
  </si>
  <si>
    <t xml:space="preserve">  </t>
  </si>
  <si>
    <t>correção</t>
  </si>
  <si>
    <t>sem reagente Al  - 2</t>
  </si>
  <si>
    <t>,*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</si>
  <si>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</si>
  <si>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</si>
  <si>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</si>
  <si>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</si>
  <si>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</si>
  <si>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</si>
  <si>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</si>
  <si>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</si>
  <si>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</si>
  <si>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</si>
  <si>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</si>
  <si>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</si>
  <si>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</si>
  <si>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</si>
  <si>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</si>
  <si>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</si>
  <si>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</si>
  <si>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</si>
  <si>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</si>
  <si>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</si>
  <si>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>1,2,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</si>
  <si>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</si>
  <si>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</si>
  <si>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</si>
  <si>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</si>
  <si>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</si>
  <si>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</si>
  <si>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</si>
  <si>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</si>
  <si>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</si>
  <si>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28 e 30/12/22</t>
  </si>
  <si>
    <t>3281222/003301222</t>
  </si>
  <si>
    <t>Eta Tapacurá</t>
  </si>
  <si>
    <t>ETA TAPACURÁ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</si>
  <si>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</si>
  <si>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</si>
  <si>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</si>
  <si>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</si>
  <si>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</si>
  <si>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</si>
  <si>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</si>
  <si>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</si>
  <si>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</si>
  <si>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</si>
  <si>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</si>
  <si>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</si>
  <si>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</si>
  <si>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</si>
  <si>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</si>
  <si>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>31076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</si>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</sst>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d/m/yyyy"/>
    <numFmt numFmtId="165" formatCode="hh:mm"/>
    <numFmt numFmtId="166" formatCode="* #,##0\ ;\-* #,##0\ ;* \-#\ ;@\ "/>
    <numFmt numFmtId="167" formatCode="* #,##0.0\ ;\-* #,##0.0\ ;* \-#\ ;@\ "/>
    <numFmt numFmtId="168" formatCode="#,##0.000"/>
    <numFmt numFmtId="169" formatCode="0.0"/>
    <numFmt numFmtId="170" formatCode="0.000"/>
    <numFmt numFmtId="171" formatCode="#,##0.0"/>
    <numFmt numFmtId="172" formatCode="0.0%"/>
    <numFmt numFmtId="173" formatCode="#,###"/>
    <numFmt numFmtId="174" formatCode="d/mmm"/>
    <numFmt numFmtId="175" formatCode="dd/mm/yy"/>
    <numFmt numFmtId="176" formatCode="00"/>
    <numFmt numFmtId="177" formatCode="mmm/yyyy"/>
    <numFmt numFmtId="178" formatCode="0.0;[RED]\-0.0"/>
    <numFmt numFmtId="179" formatCode="0.00\ ;[RED]\-0.00\ "/>
    <numFmt numFmtId="180" formatCode="0\'"/>
    <numFmt numFmtId="181" formatCode="0\ ;[RED]\-0\ "/>
    <numFmt numFmtId="182" formatCode="mmm/yy"/>
    <numFmt numFmtId="183" formatCode="00.0"/>
    <numFmt numFmtId="184" formatCode="00.00"/>
  </numFmts>
  <fonts count="109">
    <font>
      <sz val="11.0"/>
      <color rgb="FF000000"/>
      <name val="Calibri"/>
      <scheme val="minor"/>
    </font>
    <font>
      <b/>
      <sz val="20.0"/>
      <color rgb="FF000000"/>
      <name val="Arial"/>
    </font>
    <font>
      <b/>
      <sz val="22.0"/>
      <color rgb="FF000000"/>
      <name val="Comic"/>
    </font>
    <font/>
    <font>
      <b/>
      <sz val="12.0"/>
      <color rgb="FF000000"/>
      <name val="Arial"/>
    </font>
    <font>
      <sz val="11.0"/>
      <color rgb="FF000000"/>
      <name val="Arial Black"/>
    </font>
    <font>
      <b/>
      <sz val="11.0"/>
      <color rgb="FF000000"/>
      <name val="Arial Black"/>
    </font>
    <font>
      <b/>
      <sz val="11.0"/>
      <color rgb="FF000000"/>
      <name val="Calibri"/>
    </font>
    <font>
      <sz val="11.0"/>
      <color rgb="FF000000"/>
      <name val="Calibri"/>
    </font>
    <font>
      <sz val="20.0"/>
      <color rgb="FF000000"/>
      <name val="Arial Black"/>
    </font>
    <font>
      <sz val="19.0"/>
      <color rgb="FF000000"/>
      <name val="Comic"/>
    </font>
    <font>
      <b/>
      <sz val="12.0"/>
      <color rgb="FF000000"/>
      <name val="Calibri"/>
    </font>
    <font>
      <b/>
      <sz val="11.0"/>
      <color rgb="FF000000"/>
      <name val="Arial"/>
    </font>
    <font>
      <b/>
      <sz val="12.0"/>
      <color rgb="FF000000"/>
      <name val="Arial Black"/>
    </font>
    <font>
      <b/>
      <sz val="9.0"/>
      <color rgb="FF000000"/>
      <name val="Arial"/>
    </font>
    <font>
      <b/>
      <sz val="8.0"/>
      <color rgb="FF000000"/>
      <name val="Calibri"/>
    </font>
    <font>
      <b/>
      <sz val="7.0"/>
      <color rgb="FF000000"/>
      <name val="Arial"/>
    </font>
    <font>
      <sz val="8.0"/>
      <color rgb="FF000000"/>
      <name val="Calibri"/>
    </font>
    <font>
      <sz val="12.0"/>
      <color rgb="FF000000"/>
      <name val="Arial"/>
    </font>
    <font>
      <sz val="12.0"/>
      <color rgb="FF000000"/>
      <name val="Comic"/>
    </font>
    <font>
      <b/>
      <sz val="12.0"/>
      <color rgb="FF000000"/>
      <name val="Comic"/>
    </font>
    <font>
      <b/>
      <sz val="15.0"/>
      <color rgb="FF000000"/>
      <name val="Arial"/>
    </font>
    <font>
      <b/>
      <sz val="10.0"/>
      <color rgb="FF000000"/>
      <name val="Arial"/>
    </font>
    <font>
      <b/>
      <sz val="14.0"/>
      <color rgb="FF000000"/>
      <name val="Arial"/>
    </font>
    <font>
      <sz val="12.0"/>
      <color rgb="FF000000"/>
      <name val="Arial Black"/>
    </font>
    <font>
      <sz val="11.0"/>
      <color rgb="FF000000"/>
      <name val="Arial"/>
    </font>
    <font>
      <sz val="10.0"/>
      <color rgb="FF000000"/>
      <name val="Arial Black"/>
    </font>
    <font>
      <b/>
      <sz val="8.0"/>
      <color rgb="FF000000"/>
      <name val="Arial"/>
    </font>
    <font>
      <sz val="10.0"/>
      <color rgb="FF000000"/>
      <name val="Arial"/>
    </font>
    <font>
      <b/>
      <sz val="10.0"/>
      <color rgb="FF000000"/>
      <name val="Calibri"/>
    </font>
    <font>
      <sz val="10.0"/>
      <color rgb="FF000000"/>
      <name val="Times New Roman"/>
    </font>
    <font>
      <b/>
      <sz val="10.0"/>
      <color rgb="FF000000"/>
      <name val="Times New Roman"/>
    </font>
    <font>
      <b/>
      <sz val="9.0"/>
      <color rgb="FF000000"/>
      <name val="Overlock"/>
    </font>
    <font>
      <sz val="10.0"/>
      <color rgb="FF000000"/>
      <name val="Calibri"/>
    </font>
    <font>
      <sz val="9.0"/>
      <color rgb="FF000000"/>
      <name val="Arial"/>
    </font>
    <font>
      <b/>
      <sz val="11.0"/>
      <color rgb="FF000000"/>
      <name val="Bookman Old Style"/>
    </font>
    <font>
      <b/>
      <sz val="9.0"/>
      <color rgb="FF000000"/>
      <name val="Calibri"/>
    </font>
    <font>
      <sz val="8.0"/>
      <color rgb="FF000000"/>
      <name val="Arial"/>
    </font>
    <font>
      <color theme="1"/>
      <name val="Calibri"/>
      <scheme val="minor"/>
    </font>
    <font>
      <sz val="22.0"/>
      <color rgb="FF000000"/>
      <name val="Arial"/>
    </font>
    <font>
      <b/>
      <sz val="14.0"/>
      <color rgb="FF000000"/>
      <name val="Calibri"/>
    </font>
    <font>
      <sz val="16.0"/>
      <color rgb="FF000000"/>
      <name val="Arial"/>
    </font>
    <font>
      <b/>
      <sz val="22.0"/>
      <color rgb="FF000000"/>
      <name val="Arial"/>
    </font>
    <font>
      <b/>
      <sz val="10.0"/>
      <color rgb="FF000000"/>
      <name val="Arial Black"/>
    </font>
    <font>
      <b/>
      <sz val="16.0"/>
      <color rgb="FF000000"/>
      <name val="Arial"/>
    </font>
    <font>
      <sz val="10.0"/>
      <color rgb="FF000000"/>
      <name val="Comic"/>
    </font>
    <font>
      <sz val="26.0"/>
      <color rgb="FF000000"/>
      <name val="Comic"/>
    </font>
    <font>
      <sz val="12.0"/>
      <color rgb="FF000000"/>
      <name val="Calibri"/>
    </font>
    <font>
      <sz val="10.0"/>
      <color theme="1"/>
      <name val="Arial"/>
    </font>
    <font>
      <sz val="19.0"/>
      <color rgb="FF000000"/>
      <name val="Arial Black"/>
    </font>
    <font>
      <b/>
      <sz val="12.0"/>
      <color rgb="FF999999"/>
      <name val="Arial"/>
    </font>
    <font>
      <sz val="7.0"/>
      <color rgb="FF000000"/>
      <name val="Times New Roman"/>
    </font>
    <font>
      <sz val="15.0"/>
      <color rgb="FF000000"/>
      <name val="Arial"/>
    </font>
    <font>
      <sz val="23.0"/>
      <color rgb="FF000000"/>
      <name val="Arial"/>
    </font>
    <font>
      <b/>
      <sz val="12.0"/>
      <color rgb="FFB2B2B2"/>
      <name val="Arial"/>
    </font>
    <font>
      <sz val="18.0"/>
      <color rgb="FF000000"/>
      <name val="Arial Black"/>
    </font>
    <font>
      <sz val="13.0"/>
      <color rgb="FF000000"/>
      <name val="Arial"/>
    </font>
    <font>
      <b/>
      <sz val="12.0"/>
      <color rgb="FF000000"/>
      <name val="Arial Narrow"/>
    </font>
    <font>
      <b/>
      <sz val="11.0"/>
      <color rgb="FF000000"/>
      <name val="Arial Narrow"/>
    </font>
    <font>
      <b/>
      <sz val="10.0"/>
      <color rgb="FF000000"/>
      <name val="Arial Narrow"/>
    </font>
    <font>
      <b/>
      <sz val="13.0"/>
      <color rgb="FF000000"/>
      <name val="Arial"/>
    </font>
    <font>
      <sz val="16.0"/>
      <color rgb="FF000000"/>
      <name val="Arial Black"/>
    </font>
    <font>
      <sz val="9.0"/>
      <color rgb="FF000000"/>
      <name val="Calibri"/>
    </font>
    <font>
      <sz val="14.0"/>
      <color rgb="FF000000"/>
      <name val="Arial"/>
    </font>
    <font>
      <b/>
      <sz val="11.0"/>
      <color rgb="FF0000FF"/>
      <name val="Calibri"/>
    </font>
    <font>
      <sz val="5.0"/>
      <color theme="1"/>
      <name val="Arial"/>
    </font>
    <font>
      <b/>
      <sz val="13.0"/>
      <color theme="1"/>
      <name val="Arial"/>
    </font>
    <font>
      <b/>
      <sz val="10.0"/>
      <color rgb="FF0000FF"/>
      <name val="Arial"/>
    </font>
    <font>
      <sz val="8.0"/>
      <color theme="1"/>
      <name val="Arial"/>
    </font>
    <font>
      <sz val="7.0"/>
      <color theme="1"/>
      <name val="Arial"/>
    </font>
    <font>
      <b/>
      <sz val="8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>
      <sz val="6.0"/>
      <color theme="1"/>
      <name val="Arial"/>
    </font>
    <font>
      <b/>
      <sz val="7.0"/>
      <color theme="1"/>
      <name val="Arial"/>
    </font>
    <font>
      <b/>
      <sz val="6.0"/>
      <color theme="1"/>
      <name val="Arial"/>
    </font>
    <font>
      <b/>
      <sz val="8.0"/>
      <color rgb="FF080CB8"/>
      <name val="Arial"/>
    </font>
    <font>
      <sz val="9.0"/>
      <color theme="1"/>
      <name val="Times New Roman"/>
    </font>
    <font>
      <sz val="28.0"/>
      <color rgb="FF0000FF"/>
      <name val="Arial"/>
    </font>
    <font>
      <b/>
      <sz val="16.0"/>
      <color theme="1"/>
      <name val="Arial"/>
    </font>
    <font>
      <b/>
      <sz val="9.0"/>
      <color rgb="FF080CB8"/>
      <name val="Arial"/>
    </font>
    <font>
      <sz val="14.0"/>
      <color theme="1"/>
      <name val="Arial"/>
    </font>
    <font>
      <sz val="12.0"/>
      <color theme="1"/>
      <name val="Arial"/>
    </font>
    <font>
      <b/>
      <sz val="10.0"/>
      <color rgb="FF080CB8"/>
      <name val="Arial"/>
    </font>
    <font>
      <b/>
      <sz val="20.0"/>
      <color theme="1"/>
      <name val="Arial"/>
    </font>
    <font>
      <b/>
      <sz val="14.0"/>
      <color theme="1"/>
      <name val="Arial"/>
    </font>
    <font>
      <b/>
      <sz val="16.0"/>
      <color rgb="FF0000FF"/>
      <name val="Arial"/>
    </font>
    <font>
      <b/>
      <sz val="14.0"/>
      <color rgb="FF0000FF"/>
      <name val="Arial"/>
    </font>
    <font>
      <b/>
      <sz val="12.0"/>
      <color theme="1"/>
      <name val="Arial"/>
    </font>
    <font>
      <b/>
      <sz val="12.0"/>
      <color rgb="FFFF0000"/>
      <name val="Arial"/>
    </font>
    <font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b/>
      <sz val="11.0"/>
      <color theme="1"/>
      <name val="Times New Roman"/>
    </font>
    <font>
      <sz val="8.0"/>
      <color theme="1"/>
      <name val="Times New Roman"/>
    </font>
    <font>
      <b/>
      <sz val="8.0"/>
      <color theme="1"/>
      <name val="Times New Roman"/>
    </font>
    <font>
      <b/>
      <sz val="10.0"/>
      <color rgb="FFFF0000"/>
      <name val="Arial"/>
    </font>
    <font>
      <b/>
      <sz val="10.0"/>
      <color rgb="FF0000FF"/>
      <name val="Times New Roman"/>
    </font>
    <font>
      <sz val="10.0"/>
      <color rgb="FF0000FF"/>
      <name val="Times New Roman"/>
    </font>
    <font>
      <b/>
      <sz val="8.0"/>
      <color rgb="FF000000"/>
      <name val="Times New Roman"/>
    </font>
    <font>
      <b/>
      <sz val="9.0"/>
      <color theme="1"/>
      <name val="Times New Roman"/>
    </font>
    <font>
      <sz val="8.0"/>
      <color rgb="FF000000"/>
      <name val="Times New Roman"/>
    </font>
    <font>
      <b/>
      <sz val="12.0"/>
      <color rgb="FF0000FF"/>
      <name val="Times New Roman"/>
    </font>
    <font>
      <b/>
      <sz val="8.0"/>
      <color theme="1"/>
      <name val="Trebuchet MS"/>
    </font>
    <font>
      <b/>
      <sz val="10.0"/>
      <color theme="1"/>
      <name val="Calibri"/>
    </font>
    <font>
      <b/>
      <sz val="10.0"/>
      <color rgb="FF0000FF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FCD5B5"/>
        <bgColor rgb="FFFCD5B5"/>
      </patternFill>
    </fill>
    <fill>
      <patternFill patternType="solid">
        <fgColor rgb="FFFFF200"/>
        <bgColor rgb="FFFFF200"/>
      </patternFill>
    </fill>
    <fill>
      <patternFill patternType="solid">
        <fgColor rgb="FFFFFF66"/>
        <bgColor rgb="FFFFFF66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8EB4E3"/>
        <bgColor rgb="FF8EB4E3"/>
      </patternFill>
    </fill>
    <fill>
      <patternFill patternType="solid">
        <fgColor rgb="FF558ED5"/>
        <bgColor rgb="FF558ED5"/>
      </patternFill>
    </fill>
    <fill>
      <patternFill patternType="solid">
        <fgColor rgb="FFFAC090"/>
        <bgColor rgb="FFFAC090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999999"/>
        <bgColor rgb="FF999999"/>
      </patternFill>
    </fill>
    <fill>
      <patternFill patternType="solid">
        <fgColor rgb="FFC3D69B"/>
        <bgColor rgb="FFC3D69B"/>
      </patternFill>
    </fill>
    <fill>
      <patternFill patternType="solid">
        <fgColor rgb="FFF2DCDB"/>
        <bgColor rgb="FFF2DCDB"/>
      </patternFill>
    </fill>
    <fill>
      <patternFill patternType="solid">
        <fgColor rgb="FFA6A6A6"/>
        <bgColor rgb="FFA6A6A6"/>
      </patternFill>
    </fill>
    <fill>
      <patternFill patternType="solid">
        <fgColor rgb="FFFF6666"/>
        <bgColor rgb="FFFF6666"/>
      </patternFill>
    </fill>
    <fill>
      <patternFill patternType="solid">
        <fgColor rgb="FFD7E4BD"/>
        <bgColor rgb="FFD7E4BD"/>
      </patternFill>
    </fill>
    <fill>
      <patternFill patternType="solid">
        <fgColor rgb="FFE6B9B8"/>
        <bgColor rgb="FFE6B9B8"/>
      </patternFill>
    </fill>
    <fill>
      <patternFill patternType="solid">
        <fgColor rgb="FFB2B2B2"/>
        <bgColor rgb="FFB2B2B2"/>
      </patternFill>
    </fill>
    <fill>
      <patternFill patternType="solid">
        <fgColor rgb="FFCCCCCC"/>
        <bgColor rgb="FFCCCCCC"/>
      </patternFill>
    </fill>
    <fill>
      <patternFill patternType="solid">
        <fgColor rgb="FFC6D9F1"/>
        <bgColor rgb="FFC6D9F1"/>
      </patternFill>
    </fill>
    <fill>
      <patternFill patternType="solid">
        <fgColor rgb="FFDDDDDD"/>
        <bgColor rgb="FFDDDDDD"/>
      </patternFill>
    </fill>
    <fill>
      <patternFill patternType="solid">
        <fgColor rgb="FF9999FF"/>
        <bgColor rgb="FF9999FF"/>
      </patternFill>
    </fill>
    <fill>
      <patternFill patternType="solid">
        <fgColor rgb="FFFFCC00"/>
        <bgColor rgb="FFFFCC00"/>
      </patternFill>
    </fill>
    <fill>
      <patternFill patternType="solid">
        <fgColor rgb="FFEEEEEE"/>
        <bgColor rgb="FFEEEEEE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33FF"/>
        <bgColor rgb="FF9933FF"/>
      </patternFill>
    </fill>
    <fill>
      <patternFill patternType="solid">
        <fgColor rgb="FFFF99CC"/>
        <bgColor rgb="FFFF99CC"/>
      </patternFill>
    </fill>
    <fill>
      <patternFill patternType="solid">
        <fgColor rgb="FFDFDFE0"/>
        <bgColor rgb="FFDFDFE0"/>
      </patternFill>
    </fill>
    <fill>
      <patternFill patternType="solid">
        <fgColor rgb="FFCC66FF"/>
        <bgColor rgb="FFCC66FF"/>
      </patternFill>
    </fill>
  </fills>
  <borders count="231">
    <border/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333300"/>
      </left>
      <right style="thin">
        <color rgb="FF333300"/>
      </right>
    </border>
    <border>
      <left style="thin">
        <color rgb="FF333300"/>
      </left>
    </border>
    <border>
      <right style="thin">
        <color rgb="FF333300"/>
      </right>
    </border>
    <border>
      <left style="thin">
        <color rgb="FF333300"/>
      </left>
      <top style="medium">
        <color rgb="FF000000"/>
      </top>
    </border>
    <border>
      <right style="thin">
        <color rgb="FF333300"/>
      </right>
      <top style="medium">
        <color rgb="FF000000"/>
      </top>
    </border>
    <border>
      <left style="thin">
        <color rgb="FF333300"/>
      </left>
      <right style="thin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333300"/>
      </left>
      <bottom style="thin">
        <color rgb="FF333300"/>
      </bottom>
    </border>
    <border>
      <bottom style="thin">
        <color rgb="FF333300"/>
      </bottom>
    </border>
    <border>
      <right style="thin">
        <color rgb="FF333300"/>
      </right>
      <bottom style="thin">
        <color rgb="FF333300"/>
      </bottom>
    </border>
    <border>
      <left style="thin">
        <color rgb="FF333300"/>
      </left>
      <right style="thin">
        <color rgb="FF000000"/>
      </right>
      <bottom style="thin">
        <color rgb="FF3333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333300"/>
      </left>
      <right style="thin">
        <color rgb="FF333300"/>
      </right>
      <bottom style="thin">
        <color rgb="FF333300"/>
      </bottom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</border>
    <border>
      <left style="thin">
        <color rgb="FF333300"/>
      </left>
      <top style="thin">
        <color rgb="FF333300"/>
      </top>
      <bottom style="thin">
        <color rgb="FF3333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 style="thin">
        <color rgb="FF333300"/>
      </left>
      <right style="thin">
        <color rgb="FF333300"/>
      </right>
      <top style="thin">
        <color rgb="FF333300"/>
      </top>
      <bottom/>
    </border>
    <border>
      <left style="thin">
        <color rgb="FF333300"/>
      </left>
      <right/>
      <top style="thin">
        <color rgb="FF333300"/>
      </top>
      <bottom/>
    </border>
    <border>
      <left style="thin">
        <color rgb="FF333300"/>
      </left>
      <top style="thin">
        <color rgb="FF333300"/>
      </top>
    </border>
    <border>
      <right style="thin">
        <color rgb="FF333300"/>
      </right>
      <top style="thin">
        <color rgb="FF333300"/>
      </top>
    </border>
    <border>
      <left style="thin">
        <color rgb="FF333300"/>
      </left>
      <right/>
      <top style="thin">
        <color rgb="FF333300"/>
      </top>
      <bottom style="thin">
        <color rgb="FF333300"/>
      </bottom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</border>
    <border>
      <left style="thin">
        <color rgb="FF333300"/>
      </left>
      <right/>
      <top style="thin">
        <color rgb="FF333300"/>
      </top>
      <bottom style="double">
        <color rgb="FF333300"/>
      </bottom>
    </border>
    <border>
      <left/>
      <right/>
      <top style="thin">
        <color rgb="FF333300"/>
      </top>
      <bottom style="thin">
        <color rgb="FF333300"/>
      </bottom>
    </border>
    <border>
      <left/>
      <right/>
      <top/>
      <bottom style="thin">
        <color rgb="FF333300"/>
      </bottom>
    </border>
    <border>
      <top style="thin">
        <color rgb="FF333300"/>
      </top>
      <bottom style="thin">
        <color rgb="FF333300"/>
      </bottom>
    </border>
    <border>
      <left/>
      <right/>
      <top style="thin">
        <color rgb="FF333300"/>
      </top>
      <bottom/>
    </border>
    <border>
      <left style="medium">
        <color rgb="FF333300"/>
      </left>
      <right style="medium">
        <color rgb="FF333300"/>
      </right>
      <top style="medium">
        <color rgb="FF333300"/>
      </top>
    </border>
    <border>
      <left style="medium">
        <color rgb="FF333300"/>
      </left>
      <right style="medium">
        <color rgb="FF333300"/>
      </right>
      <bottom/>
    </border>
    <border>
      <left style="medium">
        <color rgb="FF333300"/>
      </left>
      <right style="medium">
        <color rgb="FF333300"/>
      </right>
      <bottom style="medium">
        <color rgb="FF3333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3333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333300"/>
      </right>
      <top style="thin">
        <color rgb="FF333300"/>
      </top>
      <bottom style="thin">
        <color rgb="FF333300"/>
      </bottom>
    </border>
    <border>
      <left style="thin">
        <color rgb="FF333300"/>
      </left>
      <right style="thin">
        <color rgb="FF333300"/>
      </right>
      <top style="thin">
        <color rgb="FF333300"/>
      </top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 style="medium">
        <color rgb="FF000000"/>
      </right>
    </border>
    <border>
      <left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/>
      <right style="medium">
        <color rgb="FF000000"/>
      </right>
      <top/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</border>
    <border>
      <right/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333300"/>
      </left>
      <right style="thin">
        <color rgb="FF333300"/>
      </right>
      <top/>
      <bottom style="thin">
        <color rgb="FF3333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hair">
        <color rgb="FF000000"/>
      </top>
    </border>
    <border>
      <left/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left/>
      <right/>
    </border>
    <border>
      <left/>
      <right/>
      <top style="hair">
        <color rgb="FF000000"/>
      </top>
      <bottom/>
    </border>
    <border>
      <left/>
      <right/>
      <bottom style="hair">
        <color rgb="FF000000"/>
      </bottom>
    </border>
    <border>
      <left/>
      <right/>
      <top/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/>
      <bottom style="medium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hair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2" fillId="0" fontId="4" numFmtId="0" xfId="0" applyAlignment="1" applyBorder="1" applyFont="1">
      <alignment horizontal="center" shrinkToFit="0" vertical="center" wrapText="0"/>
    </xf>
    <xf borderId="2" fillId="2" fontId="5" numFmtId="164" xfId="0" applyAlignment="1" applyBorder="1" applyFill="1" applyFont="1" applyNumberFormat="1">
      <alignment horizontal="center" shrinkToFit="0" vertical="bottom" wrapText="0"/>
    </xf>
    <xf borderId="2" fillId="0" fontId="6" numFmtId="0" xfId="0" applyAlignment="1" applyBorder="1" applyFont="1">
      <alignment horizontal="center" shrinkToFit="0" vertical="bottom" wrapText="0"/>
    </xf>
    <xf borderId="4" fillId="2" fontId="7" numFmtId="0" xfId="0" applyAlignment="1" applyBorder="1" applyFont="1">
      <alignment shrinkToFit="0" vertical="bottom" wrapText="0"/>
    </xf>
    <xf borderId="4" fillId="2" fontId="8" numFmtId="0" xfId="0" applyAlignment="1" applyBorder="1" applyFont="1">
      <alignment shrinkToFit="0" vertical="bottom" wrapText="0"/>
    </xf>
    <xf borderId="2" fillId="0" fontId="5" numFmtId="164" xfId="0" applyAlignment="1" applyBorder="1" applyFont="1" applyNumberFormat="1">
      <alignment horizontal="center"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6" fillId="0" fontId="3" numFmtId="0" xfId="0" applyBorder="1" applyFont="1"/>
    <xf borderId="7" fillId="0" fontId="3" numFmtId="0" xfId="0" applyBorder="1" applyFont="1"/>
    <xf borderId="5" fillId="0" fontId="9" numFmtId="0" xfId="0" applyAlignment="1" applyBorder="1" applyFont="1">
      <alignment horizontal="center" shrinkToFit="0" vertical="bottom" wrapText="0"/>
    </xf>
    <xf borderId="5" fillId="3" fontId="8" numFmtId="0" xfId="0" applyAlignment="1" applyBorder="1" applyFill="1" applyFont="1">
      <alignment horizontal="center" shrinkToFit="0" vertical="bottom" wrapText="0"/>
    </xf>
    <xf borderId="5" fillId="0" fontId="10" numFmtId="0" xfId="0" applyAlignment="1" applyBorder="1" applyFont="1">
      <alignment horizontal="center" shrinkToFit="0" vertical="bottom" wrapText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8" numFmtId="0" xfId="0" applyAlignment="1" applyBorder="1" applyFont="1">
      <alignment horizontal="center" shrinkToFit="0" vertical="center" wrapText="0"/>
    </xf>
    <xf borderId="12" fillId="0" fontId="7" numFmtId="0" xfId="0" applyAlignment="1" applyBorder="1" applyFont="1">
      <alignment horizontal="center" shrinkToFit="0" vertical="center" wrapText="0"/>
    </xf>
    <xf borderId="13" fillId="0" fontId="3" numFmtId="0" xfId="0" applyBorder="1" applyFont="1"/>
    <xf borderId="14" fillId="0" fontId="11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1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0"/>
    </xf>
    <xf borderId="18" fillId="0" fontId="3" numFmtId="0" xfId="0" applyBorder="1" applyFont="1"/>
    <xf borderId="19" fillId="4" fontId="13" numFmtId="0" xfId="0" applyAlignment="1" applyBorder="1" applyFill="1" applyFont="1">
      <alignment horizontal="center" shrinkToFit="0" vertical="center" wrapText="1"/>
    </xf>
    <xf borderId="20" fillId="4" fontId="14" numFmtId="0" xfId="0" applyAlignment="1" applyBorder="1" applyFont="1">
      <alignment horizontal="center" shrinkToFit="0" vertical="center" wrapText="1"/>
    </xf>
    <xf borderId="21" fillId="4" fontId="14" numFmtId="0" xfId="0" applyAlignment="1" applyBorder="1" applyFont="1">
      <alignment horizontal="center" shrinkToFit="0" vertical="top" wrapText="1"/>
    </xf>
    <xf borderId="19" fillId="4" fontId="14" numFmtId="0" xfId="0" applyAlignment="1" applyBorder="1" applyFont="1">
      <alignment horizontal="center" shrinkToFit="0" vertical="center" wrapText="1"/>
    </xf>
    <xf borderId="22" fillId="4" fontId="14" numFmtId="0" xfId="0" applyAlignment="1" applyBorder="1" applyFont="1">
      <alignment horizontal="center" shrinkToFit="0" vertical="center" wrapText="1"/>
    </xf>
    <xf borderId="22" fillId="5" fontId="14" numFmtId="0" xfId="0" applyAlignment="1" applyBorder="1" applyFill="1" applyFont="1">
      <alignment horizontal="center" shrinkToFit="0" vertical="center" wrapText="1"/>
    </xf>
    <xf borderId="23" fillId="4" fontId="15" numFmtId="0" xfId="0" applyAlignment="1" applyBorder="1" applyFont="1">
      <alignment horizontal="center" shrinkToFit="0" vertical="center" wrapText="0"/>
    </xf>
    <xf borderId="24" fillId="0" fontId="3" numFmtId="0" xfId="0" applyBorder="1" applyFont="1"/>
    <xf borderId="25" fillId="0" fontId="3" numFmtId="0" xfId="0" applyBorder="1" applyFont="1"/>
    <xf borderId="19" fillId="4" fontId="1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17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4" fontId="15" numFmtId="0" xfId="0" applyAlignment="1" applyBorder="1" applyFont="1">
      <alignment horizontal="center" shrinkToFit="0" vertical="center" wrapText="1"/>
    </xf>
    <xf borderId="35" fillId="4" fontId="15" numFmtId="0" xfId="0" applyAlignment="1" applyBorder="1" applyFont="1">
      <alignment horizontal="center" shrinkToFit="0" vertical="bottom" wrapText="1"/>
    </xf>
    <xf borderId="36" fillId="0" fontId="3" numFmtId="0" xfId="0" applyBorder="1" applyFont="1"/>
    <xf borderId="37" fillId="0" fontId="8" numFmtId="0" xfId="0" applyAlignment="1" applyBorder="1" applyFont="1">
      <alignment horizontal="center" shrinkToFit="0" vertical="bottom" wrapText="0"/>
    </xf>
    <xf borderId="38" fillId="0" fontId="8" numFmtId="0" xfId="0" applyAlignment="1" applyBorder="1" applyFont="1">
      <alignment horizontal="center" shrinkToFit="0" vertical="bottom" wrapText="0"/>
    </xf>
    <xf borderId="39" fillId="0" fontId="3" numFmtId="0" xfId="0" applyBorder="1" applyFont="1"/>
    <xf borderId="40" fillId="0" fontId="5" numFmtId="165" xfId="0" applyAlignment="1" applyBorder="1" applyFont="1" applyNumberFormat="1">
      <alignment horizontal="center" shrinkToFit="0" vertical="center" wrapText="0"/>
    </xf>
    <xf borderId="2" fillId="0" fontId="8" numFmtId="0" xfId="0" applyAlignment="1" applyBorder="1" applyFont="1">
      <alignment horizontal="center" shrinkToFit="0" vertical="bottom" wrapText="0"/>
    </xf>
    <xf borderId="40" fillId="0" fontId="8" numFmtId="166" xfId="0" applyAlignment="1" applyBorder="1" applyFont="1" applyNumberFormat="1">
      <alignment horizontal="center" shrinkToFit="0" vertical="center" wrapText="0"/>
    </xf>
    <xf borderId="40" fillId="0" fontId="8" numFmtId="167" xfId="0" applyAlignment="1" applyBorder="1" applyFont="1" applyNumberFormat="1">
      <alignment horizontal="center" shrinkToFit="0" vertical="center" wrapText="0"/>
    </xf>
    <xf borderId="40" fillId="0" fontId="8" numFmtId="167" xfId="0" applyAlignment="1" applyBorder="1" applyFont="1" applyNumberFormat="1">
      <alignment horizontal="center" shrinkToFit="0" vertical="bottom" wrapText="0"/>
    </xf>
    <xf borderId="40" fillId="0" fontId="8" numFmtId="168" xfId="0" applyAlignment="1" applyBorder="1" applyFont="1" applyNumberFormat="1">
      <alignment horizontal="center" shrinkToFit="0" vertical="bottom" wrapText="0"/>
    </xf>
    <xf borderId="40" fillId="0" fontId="8" numFmtId="0" xfId="0" applyAlignment="1" applyBorder="1" applyFont="1">
      <alignment horizontal="center" shrinkToFit="0" vertical="bottom" wrapText="0"/>
    </xf>
    <xf borderId="40" fillId="0" fontId="8" numFmtId="169" xfId="0" applyAlignment="1" applyBorder="1" applyFont="1" applyNumberFormat="1">
      <alignment horizontal="center" shrinkToFit="0" vertical="bottom" wrapText="0"/>
    </xf>
    <xf borderId="40" fillId="5" fontId="8" numFmtId="0" xfId="0" applyAlignment="1" applyBorder="1" applyFont="1">
      <alignment horizontal="center" shrinkToFit="0" vertical="bottom" wrapText="0"/>
    </xf>
    <xf borderId="40" fillId="5" fontId="8" numFmtId="169" xfId="0" applyAlignment="1" applyBorder="1" applyFont="1" applyNumberFormat="1">
      <alignment horizontal="center" shrinkToFit="0" vertical="bottom" wrapText="0"/>
    </xf>
    <xf borderId="40" fillId="5" fontId="8" numFmtId="3" xfId="0" applyAlignment="1" applyBorder="1" applyFont="1" applyNumberFormat="1">
      <alignment horizontal="center" shrinkToFit="0" vertical="bottom" wrapText="0"/>
    </xf>
    <xf borderId="41" fillId="0" fontId="17" numFmtId="0" xfId="0" applyAlignment="1" applyBorder="1" applyFont="1">
      <alignment horizontal="center" shrinkToFit="0" vertical="bottom" wrapText="0"/>
    </xf>
    <xf borderId="40" fillId="0" fontId="17" numFmtId="0" xfId="0" applyAlignment="1" applyBorder="1" applyFont="1">
      <alignment horizontal="center" shrinkToFit="0" vertical="bottom" wrapText="0"/>
    </xf>
    <xf borderId="40" fillId="0" fontId="17" numFmtId="170" xfId="0" applyAlignment="1" applyBorder="1" applyFont="1" applyNumberFormat="1">
      <alignment horizontal="center" shrinkToFit="0" vertical="bottom" wrapText="0"/>
    </xf>
    <xf borderId="32" fillId="0" fontId="8" numFmtId="0" xfId="0" applyAlignment="1" applyBorder="1" applyFont="1">
      <alignment horizontal="center" shrinkToFit="0" vertical="bottom" wrapText="0"/>
    </xf>
    <xf borderId="37" fillId="0" fontId="8" numFmtId="165" xfId="0" applyAlignment="1" applyBorder="1" applyFont="1" applyNumberFormat="1">
      <alignment horizontal="center" shrinkToFit="0" vertical="bottom" wrapText="0"/>
    </xf>
    <xf borderId="2" fillId="0" fontId="8" numFmtId="169" xfId="0" applyAlignment="1" applyBorder="1" applyFont="1" applyNumberFormat="1">
      <alignment horizontal="center" shrinkToFit="0" vertical="bottom" wrapText="0"/>
    </xf>
    <xf borderId="37" fillId="6" fontId="8" numFmtId="166" xfId="0" applyAlignment="1" applyBorder="1" applyFill="1" applyFont="1" applyNumberFormat="1">
      <alignment horizontal="center" shrinkToFit="0" vertical="center" wrapText="0"/>
    </xf>
    <xf borderId="37" fillId="6" fontId="8" numFmtId="171" xfId="0" applyAlignment="1" applyBorder="1" applyFont="1" applyNumberFormat="1">
      <alignment horizontal="center" shrinkToFit="0" vertical="center" wrapText="0"/>
    </xf>
    <xf borderId="42" fillId="0" fontId="18" numFmtId="0" xfId="0" applyAlignment="1" applyBorder="1" applyFont="1">
      <alignment horizontal="center" shrinkToFit="0" vertical="center" wrapText="0"/>
    </xf>
    <xf borderId="5" fillId="7" fontId="19" numFmtId="0" xfId="0" applyAlignment="1" applyBorder="1" applyFill="1" applyFont="1">
      <alignment horizontal="center" shrinkToFit="0" vertical="center" wrapText="0"/>
    </xf>
    <xf borderId="37" fillId="0" fontId="8" numFmtId="166" xfId="0" applyAlignment="1" applyBorder="1" applyFont="1" applyNumberFormat="1">
      <alignment horizontal="center" shrinkToFit="0" vertical="center" wrapText="1"/>
    </xf>
    <xf borderId="37" fillId="0" fontId="8" numFmtId="169" xfId="0" applyAlignment="1" applyBorder="1" applyFont="1" applyNumberFormat="1">
      <alignment horizontal="center" shrinkToFit="0" vertical="bottom" wrapText="0"/>
    </xf>
    <xf borderId="37" fillId="0" fontId="8" numFmtId="166" xfId="0" applyAlignment="1" applyBorder="1" applyFont="1" applyNumberFormat="1">
      <alignment horizontal="center" shrinkToFit="0" vertical="center" wrapText="0"/>
    </xf>
    <xf borderId="43" fillId="4" fontId="15" numFmtId="0" xfId="0" applyAlignment="1" applyBorder="1" applyFont="1">
      <alignment horizontal="center" shrinkToFit="0" vertical="center" wrapText="0"/>
    </xf>
    <xf borderId="44" fillId="0" fontId="3" numFmtId="0" xfId="0" applyBorder="1" applyFont="1"/>
    <xf borderId="41" fillId="0" fontId="3" numFmtId="0" xfId="0" applyBorder="1" applyFont="1"/>
    <xf borderId="43" fillId="4" fontId="15" numFmtId="0" xfId="0" applyAlignment="1" applyBorder="1" applyFont="1">
      <alignment horizontal="center" shrinkToFit="0" vertical="center" wrapText="1"/>
    </xf>
    <xf borderId="40" fillId="0" fontId="15" numFmtId="0" xfId="0" applyAlignment="1" applyBorder="1" applyFont="1">
      <alignment horizontal="center" shrinkToFit="0" vertical="bottom" wrapText="1"/>
    </xf>
    <xf borderId="45" fillId="0" fontId="18" numFmtId="0" xfId="0" applyAlignment="1" applyBorder="1" applyFont="1">
      <alignment horizontal="center" shrinkToFit="0" vertical="center" wrapText="0"/>
    </xf>
    <xf borderId="44" fillId="0" fontId="17" numFmtId="0" xfId="0" applyAlignment="1" applyBorder="1" applyFont="1">
      <alignment horizontal="center" shrinkToFit="0" vertical="center" wrapText="0"/>
    </xf>
    <xf borderId="40" fillId="0" fontId="17" numFmtId="172" xfId="0" applyAlignment="1" applyBorder="1" applyFont="1" applyNumberFormat="1">
      <alignment horizontal="center" shrinkToFit="0" vertical="bottom" wrapText="0"/>
    </xf>
    <xf borderId="46" fillId="0" fontId="18" numFmtId="0" xfId="0" applyAlignment="1" applyBorder="1" applyFont="1">
      <alignment horizontal="center" shrinkToFit="0" vertical="center" wrapText="0"/>
    </xf>
    <xf borderId="47" fillId="0" fontId="18" numFmtId="0" xfId="0" applyAlignment="1" applyBorder="1" applyFont="1">
      <alignment horizontal="center" shrinkToFit="0" vertical="center" wrapText="0"/>
    </xf>
    <xf borderId="48" fillId="7" fontId="19" numFmtId="0" xfId="0" applyAlignment="1" applyBorder="1" applyFont="1">
      <alignment horizontal="center" shrinkToFit="0" vertical="center" wrapText="0"/>
    </xf>
    <xf borderId="49" fillId="0" fontId="3" numFmtId="0" xfId="0" applyBorder="1" applyFont="1"/>
    <xf borderId="48" fillId="7" fontId="20" numFmtId="0" xfId="0" applyAlignment="1" applyBorder="1" applyFont="1">
      <alignment horizontal="center" shrinkToFit="0" vertical="center" wrapText="0"/>
    </xf>
    <xf borderId="37" fillId="8" fontId="8" numFmtId="1" xfId="0" applyAlignment="1" applyBorder="1" applyFill="1" applyFont="1" applyNumberFormat="1">
      <alignment horizontal="center" shrinkToFit="0" vertical="bottom" wrapText="0"/>
    </xf>
    <xf borderId="37" fillId="8" fontId="8" numFmtId="169" xfId="0" applyAlignment="1" applyBorder="1" applyFont="1" applyNumberFormat="1">
      <alignment horizontal="center" shrinkToFit="0" vertical="bottom" wrapText="0"/>
    </xf>
    <xf borderId="50" fillId="8" fontId="8" numFmtId="169" xfId="0" applyAlignment="1" applyBorder="1" applyFont="1" applyNumberFormat="1">
      <alignment horizontal="center" shrinkToFit="0" vertical="bottom" wrapText="0"/>
    </xf>
    <xf borderId="51" fillId="8" fontId="8" numFmtId="169" xfId="0" applyAlignment="1" applyBorder="1" applyFont="1" applyNumberFormat="1">
      <alignment horizontal="center" shrinkToFit="0" vertical="bottom" wrapText="0"/>
    </xf>
    <xf borderId="52" fillId="8" fontId="8" numFmtId="0" xfId="0" applyAlignment="1" applyBorder="1" applyFont="1">
      <alignment horizontal="center" shrinkToFit="0" vertical="bottom" wrapText="0"/>
    </xf>
    <xf borderId="53" fillId="0" fontId="3" numFmtId="0" xfId="0" applyBorder="1" applyFont="1"/>
    <xf borderId="0" fillId="0" fontId="8" numFmtId="0" xfId="0" applyAlignment="1" applyFont="1">
      <alignment shrinkToFit="0" vertical="bottom" wrapText="0"/>
    </xf>
    <xf borderId="54" fillId="8" fontId="8" numFmtId="169" xfId="0" applyAlignment="1" applyBorder="1" applyFont="1" applyNumberFormat="1">
      <alignment horizontal="center" shrinkToFit="0" vertical="bottom" wrapText="0"/>
    </xf>
    <xf borderId="12" fillId="0" fontId="3" numFmtId="0" xfId="0" applyBorder="1" applyFont="1"/>
    <xf borderId="55" fillId="8" fontId="8" numFmtId="169" xfId="0" applyAlignment="1" applyBorder="1" applyFont="1" applyNumberFormat="1">
      <alignment horizontal="center" shrinkToFit="0" vertical="bottom" wrapText="0"/>
    </xf>
    <xf borderId="56" fillId="8" fontId="8" numFmtId="169" xfId="0" applyAlignment="1" applyBorder="1" applyFont="1" applyNumberFormat="1">
      <alignment horizontal="center" shrinkToFit="0" vertical="bottom" wrapText="0"/>
    </xf>
    <xf borderId="54" fillId="9" fontId="8" numFmtId="0" xfId="0" applyAlignment="1" applyBorder="1" applyFill="1" applyFont="1">
      <alignment shrinkToFit="0" vertical="bottom" wrapText="0"/>
    </xf>
    <xf borderId="57" fillId="9" fontId="8" numFmtId="0" xfId="0" applyAlignment="1" applyBorder="1" applyFont="1">
      <alignment shrinkToFit="0" vertical="bottom" wrapText="0"/>
    </xf>
    <xf borderId="58" fillId="9" fontId="8" numFmtId="0" xfId="0" applyAlignment="1" applyBorder="1" applyFont="1">
      <alignment shrinkToFit="0" vertical="bottom" wrapText="0"/>
    </xf>
    <xf borderId="26" fillId="0" fontId="8" numFmtId="0" xfId="0" applyAlignment="1" applyBorder="1" applyFont="1">
      <alignment horizontal="center" shrinkToFit="0" vertical="bottom" wrapText="0"/>
    </xf>
    <xf borderId="59" fillId="0" fontId="3" numFmtId="0" xfId="0" applyBorder="1" applyFont="1"/>
    <xf borderId="37" fillId="0" fontId="8" numFmtId="0" xfId="0" applyAlignment="1" applyBorder="1" applyFont="1">
      <alignment horizontal="left" shrinkToFit="0" vertical="bottom" wrapText="0"/>
    </xf>
    <xf borderId="37" fillId="0" fontId="8" numFmtId="0" xfId="0" applyAlignment="1" applyBorder="1" applyFont="1">
      <alignment horizontal="center" shrinkToFit="0" vertical="center" wrapText="0"/>
    </xf>
    <xf borderId="38" fillId="0" fontId="8" numFmtId="0" xfId="0" applyAlignment="1" applyBorder="1" applyFont="1">
      <alignment horizontal="center" shrinkToFit="0" vertical="center" wrapText="0"/>
    </xf>
    <xf borderId="40" fillId="5" fontId="8" numFmtId="169" xfId="0" applyAlignment="1" applyBorder="1" applyFont="1" applyNumberFormat="1">
      <alignment horizontal="center" shrinkToFit="0" vertical="center" wrapText="0"/>
    </xf>
    <xf borderId="37" fillId="0" fontId="8" numFmtId="165" xfId="0" applyAlignment="1" applyBorder="1" applyFont="1" applyNumberFormat="1">
      <alignment shrinkToFit="0" vertical="bottom" wrapText="0"/>
    </xf>
    <xf borderId="51" fillId="8" fontId="8" numFmtId="169" xfId="0" applyAlignment="1" applyBorder="1" applyFont="1" applyNumberFormat="1">
      <alignment shrinkToFit="0" vertical="bottom" wrapText="0"/>
    </xf>
    <xf borderId="60" fillId="8" fontId="8" numFmtId="0" xfId="0" applyAlignment="1" applyBorder="1" applyFont="1">
      <alignment shrinkToFit="0" vertical="bottom" wrapText="0"/>
    </xf>
    <xf borderId="61" fillId="8" fontId="21" numFmtId="0" xfId="0" applyAlignment="1" applyBorder="1" applyFont="1">
      <alignment horizontal="center" shrinkToFit="0" vertical="center" wrapText="0"/>
    </xf>
    <xf borderId="61" fillId="8" fontId="22" numFmtId="164" xfId="0" applyAlignment="1" applyBorder="1" applyFont="1" applyNumberFormat="1">
      <alignment horizontal="center" shrinkToFit="0" vertical="center" wrapText="0"/>
    </xf>
    <xf borderId="4" fillId="8" fontId="8" numFmtId="0" xfId="0" applyAlignment="1" applyBorder="1" applyFont="1">
      <alignment shrinkToFit="0" vertical="bottom" wrapText="0"/>
    </xf>
    <xf borderId="62" fillId="0" fontId="3" numFmtId="0" xfId="0" applyBorder="1" applyFont="1"/>
    <xf borderId="63" fillId="0" fontId="3" numFmtId="0" xfId="0" applyBorder="1" applyFont="1"/>
    <xf borderId="37" fillId="8" fontId="8" numFmtId="0" xfId="0" applyAlignment="1" applyBorder="1" applyFont="1">
      <alignment shrinkToFit="0" vertical="bottom" wrapText="0"/>
    </xf>
    <xf borderId="37" fillId="8" fontId="8" numFmtId="0" xfId="0" applyAlignment="1" applyBorder="1" applyFont="1">
      <alignment horizontal="center" shrinkToFit="0" vertical="bottom" wrapText="0"/>
    </xf>
    <xf borderId="64" fillId="8" fontId="8" numFmtId="0" xfId="0" applyAlignment="1" applyBorder="1" applyFont="1">
      <alignment shrinkToFit="0" vertical="bottom" wrapText="0"/>
    </xf>
    <xf borderId="65" fillId="8" fontId="8" numFmtId="0" xfId="0" applyAlignment="1" applyBorder="1" applyFont="1">
      <alignment shrinkToFit="0" vertical="bottom" wrapText="0"/>
    </xf>
    <xf borderId="66" fillId="8" fontId="8" numFmtId="0" xfId="0" applyAlignment="1" applyBorder="1" applyFont="1">
      <alignment shrinkToFit="0" vertical="bottom" wrapText="0"/>
    </xf>
    <xf borderId="67" fillId="8" fontId="8" numFmtId="0" xfId="0" applyAlignment="1" applyBorder="1" applyFont="1">
      <alignment shrinkToFit="0" vertical="bottom" wrapText="0"/>
    </xf>
    <xf borderId="40" fillId="0" fontId="8" numFmtId="0" xfId="0" applyAlignment="1" applyBorder="1" applyFont="1">
      <alignment horizontal="center" shrinkToFit="0" vertical="center" wrapText="0"/>
    </xf>
    <xf borderId="68" fillId="10" fontId="23" numFmtId="0" xfId="0" applyAlignment="1" applyBorder="1" applyFill="1" applyFont="1">
      <alignment horizontal="left" shrinkToFit="0" vertical="top" wrapText="0"/>
    </xf>
    <xf borderId="69" fillId="0" fontId="3" numFmtId="0" xfId="0" applyBorder="1" applyFont="1"/>
    <xf borderId="70" fillId="0" fontId="3" numFmtId="0" xfId="0" applyBorder="1" applyFont="1"/>
    <xf borderId="5" fillId="0" fontId="24" numFmtId="0" xfId="0" applyAlignment="1" applyBorder="1" applyFont="1">
      <alignment horizontal="left" shrinkToFit="0" vertical="top" wrapText="0"/>
    </xf>
    <xf borderId="40" fillId="0" fontId="6" numFmtId="0" xfId="0" applyAlignment="1" applyBorder="1" applyFont="1">
      <alignment horizontal="center" shrinkToFit="0" vertical="bottom" wrapText="0"/>
    </xf>
    <xf borderId="40" fillId="0" fontId="25" numFmtId="166" xfId="0" applyAlignment="1" applyBorder="1" applyFont="1" applyNumberFormat="1">
      <alignment horizontal="center" shrinkToFit="0" vertical="bottom" wrapText="0"/>
    </xf>
    <xf borderId="40" fillId="0" fontId="8" numFmtId="166" xfId="0" applyAlignment="1" applyBorder="1" applyFont="1" applyNumberFormat="1">
      <alignment horizontal="center" shrinkToFit="0" vertical="bottom" wrapText="0"/>
    </xf>
    <xf borderId="40" fillId="0" fontId="8" numFmtId="0" xfId="0" applyAlignment="1" applyBorder="1" applyFont="1">
      <alignment shrinkToFit="0" vertical="bottom" wrapText="0"/>
    </xf>
    <xf borderId="71" fillId="0" fontId="7" numFmtId="0" xfId="0" applyAlignment="1" applyBorder="1" applyFont="1">
      <alignment horizontal="center" shrinkToFit="0" vertical="center" wrapText="0"/>
    </xf>
    <xf borderId="72" fillId="0" fontId="3" numFmtId="0" xfId="0" applyBorder="1" applyFont="1"/>
    <xf borderId="73" fillId="0" fontId="3" numFmtId="0" xfId="0" applyBorder="1" applyFont="1"/>
    <xf borderId="0" fillId="0" fontId="7" numFmtId="0" xfId="0" applyAlignment="1" applyFont="1">
      <alignment horizontal="center" shrinkToFit="0" vertical="center" wrapText="0"/>
    </xf>
    <xf borderId="42" fillId="0" fontId="7" numFmtId="0" xfId="0" applyAlignment="1" applyBorder="1" applyFont="1">
      <alignment horizontal="center" shrinkToFit="0" vertical="center" wrapText="0"/>
    </xf>
    <xf borderId="40" fillId="0" fontId="8" numFmtId="171" xfId="0" applyAlignment="1" applyBorder="1" applyFont="1" applyNumberFormat="1">
      <alignment horizontal="center" shrinkToFit="0" vertical="bottom" wrapText="0"/>
    </xf>
    <xf borderId="74" fillId="0" fontId="8" numFmtId="166" xfId="0" applyAlignment="1" applyBorder="1" applyFont="1" applyNumberFormat="1">
      <alignment horizontal="center" shrinkToFit="0" vertical="bottom" wrapText="0"/>
    </xf>
    <xf borderId="74" fillId="0" fontId="8" numFmtId="0" xfId="0" applyAlignment="1" applyBorder="1" applyFont="1">
      <alignment horizontal="center" shrinkToFit="0" vertical="bottom" wrapText="0"/>
    </xf>
    <xf borderId="74" fillId="0" fontId="8" numFmtId="169" xfId="0" applyAlignment="1" applyBorder="1" applyFont="1" applyNumberFormat="1">
      <alignment horizontal="center" shrinkToFit="0" vertical="bottom" wrapText="0"/>
    </xf>
    <xf borderId="74" fillId="0" fontId="8" numFmtId="1" xfId="0" applyAlignment="1" applyBorder="1" applyFont="1" applyNumberFormat="1">
      <alignment horizontal="center" shrinkToFit="0" vertical="bottom" wrapText="0"/>
    </xf>
    <xf borderId="0" fillId="0" fontId="8" numFmtId="1" xfId="0" applyAlignment="1" applyFont="1" applyNumberFormat="1">
      <alignment horizontal="center" shrinkToFit="0" vertical="bottom" wrapText="0"/>
    </xf>
    <xf borderId="75" fillId="0" fontId="8" numFmtId="166" xfId="0" applyAlignment="1" applyBorder="1" applyFont="1" applyNumberFormat="1">
      <alignment horizontal="center" shrinkToFit="0" vertical="bottom" wrapText="0"/>
    </xf>
    <xf borderId="75" fillId="0" fontId="8" numFmtId="0" xfId="0" applyAlignment="1" applyBorder="1" applyFont="1">
      <alignment horizontal="center" shrinkToFit="0" vertical="bottom" wrapText="0"/>
    </xf>
    <xf borderId="75" fillId="0" fontId="8" numFmtId="169" xfId="0" applyAlignment="1" applyBorder="1" applyFont="1" applyNumberFormat="1">
      <alignment horizontal="center" shrinkToFit="0" vertical="bottom" wrapText="0"/>
    </xf>
    <xf borderId="74" fillId="0" fontId="7" numFmtId="1" xfId="0" applyAlignment="1" applyBorder="1" applyFont="1" applyNumberFormat="1">
      <alignment horizontal="center" shrinkToFit="0" vertical="bottom" wrapText="0"/>
    </xf>
    <xf borderId="0" fillId="0" fontId="7" numFmtId="1" xfId="0" applyAlignment="1" applyFont="1" applyNumberFormat="1">
      <alignment horizontal="center" shrinkToFit="0" vertical="bottom" wrapText="0"/>
    </xf>
    <xf borderId="76" fillId="0" fontId="7" numFmtId="0" xfId="0" applyAlignment="1" applyBorder="1" applyFont="1">
      <alignment shrinkToFit="0" vertical="center" wrapText="0"/>
    </xf>
    <xf borderId="76" fillId="0" fontId="8" numFmtId="166" xfId="0" applyAlignment="1" applyBorder="1" applyFont="1" applyNumberFormat="1">
      <alignment horizontal="center" shrinkToFit="0" vertical="center" wrapText="0"/>
    </xf>
    <xf borderId="77" fillId="0" fontId="8" numFmtId="166" xfId="0" applyAlignment="1" applyBorder="1" applyFont="1" applyNumberFormat="1">
      <alignment shrinkToFit="0" vertical="center" wrapText="0"/>
    </xf>
    <xf borderId="40" fillId="0" fontId="8" numFmtId="171" xfId="0" applyAlignment="1" applyBorder="1" applyFont="1" applyNumberFormat="1">
      <alignment horizontal="center" shrinkToFit="0" vertical="center" wrapText="0"/>
    </xf>
    <xf borderId="40" fillId="0" fontId="8" numFmtId="168" xfId="0" applyAlignment="1" applyBorder="1" applyFont="1" applyNumberFormat="1">
      <alignment horizontal="center" shrinkToFit="0" vertical="center" wrapText="0"/>
    </xf>
    <xf borderId="76" fillId="0" fontId="8" numFmtId="171" xfId="0" applyAlignment="1" applyBorder="1" applyFont="1" applyNumberFormat="1">
      <alignment horizontal="center" shrinkToFit="0" vertical="center" wrapText="0"/>
    </xf>
    <xf borderId="37" fillId="0" fontId="8" numFmtId="0" xfId="0" applyAlignment="1" applyBorder="1" applyFont="1">
      <alignment shrinkToFit="0" vertical="bottom" wrapText="0"/>
    </xf>
    <xf borderId="78" fillId="0" fontId="3" numFmtId="0" xfId="0" applyBorder="1" applyFont="1"/>
    <xf borderId="79" fillId="0" fontId="26" numFmtId="0" xfId="0" applyAlignment="1" applyBorder="1" applyFont="1">
      <alignment horizontal="center" shrinkToFit="0" vertical="center" wrapText="0"/>
    </xf>
    <xf borderId="68" fillId="2" fontId="7" numFmtId="0" xfId="0" applyAlignment="1" applyBorder="1" applyFont="1">
      <alignment horizontal="center" shrinkToFit="0" vertical="bottom" wrapText="0"/>
    </xf>
    <xf borderId="80" fillId="11" fontId="7" numFmtId="0" xfId="0" applyAlignment="1" applyBorder="1" applyFill="1" applyFont="1">
      <alignment horizontal="center" shrinkToFit="0" vertical="bottom" wrapText="0"/>
    </xf>
    <xf borderId="5" fillId="0" fontId="6" numFmtId="0" xfId="0" applyAlignment="1" applyBorder="1" applyFont="1">
      <alignment horizontal="center" shrinkToFit="0" vertical="center" wrapText="0"/>
    </xf>
    <xf borderId="81" fillId="0" fontId="7" numFmtId="0" xfId="0" applyAlignment="1" applyBorder="1" applyFont="1">
      <alignment shrinkToFit="0" vertical="center" wrapText="1"/>
    </xf>
    <xf borderId="82" fillId="0" fontId="7" numFmtId="0" xfId="0" applyAlignment="1" applyBorder="1" applyFont="1">
      <alignment horizontal="center" shrinkToFit="0" vertical="center" wrapText="0"/>
    </xf>
    <xf borderId="83" fillId="11" fontId="7" numFmtId="0" xfId="0" applyAlignment="1" applyBorder="1" applyFont="1">
      <alignment horizontal="center" shrinkToFit="0" vertical="center" wrapText="0"/>
    </xf>
    <xf borderId="82" fillId="0" fontId="7" numFmtId="0" xfId="0" applyAlignment="1" applyBorder="1" applyFont="1">
      <alignment shrinkToFit="0" vertical="center" wrapText="1"/>
    </xf>
    <xf borderId="2" fillId="0" fontId="8" numFmtId="2" xfId="0" applyAlignment="1" applyBorder="1" applyFont="1" applyNumberFormat="1">
      <alignment horizontal="center" shrinkToFit="0" vertical="bottom" wrapText="0"/>
    </xf>
    <xf borderId="38" fillId="0" fontId="8" numFmtId="2" xfId="0" applyAlignment="1" applyBorder="1" applyFont="1" applyNumberFormat="1">
      <alignment horizontal="center" shrinkToFit="0" vertical="center" wrapText="0"/>
    </xf>
    <xf borderId="37" fillId="2" fontId="22" numFmtId="0" xfId="0" applyAlignment="1" applyBorder="1" applyFont="1">
      <alignment horizontal="center" shrinkToFit="0" vertical="bottom" wrapText="0"/>
    </xf>
    <xf borderId="68" fillId="0" fontId="22" numFmtId="0" xfId="0" applyAlignment="1" applyBorder="1" applyFont="1">
      <alignment horizontal="center" shrinkToFit="0" vertical="center" wrapText="0"/>
    </xf>
    <xf borderId="82" fillId="0" fontId="4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68" fillId="0" fontId="7" numFmtId="0" xfId="0" applyAlignment="1" applyBorder="1" applyFont="1">
      <alignment horizontal="center" shrinkToFit="0" vertical="bottom" wrapText="0"/>
    </xf>
    <xf borderId="68" fillId="12" fontId="7" numFmtId="0" xfId="0" applyAlignment="1" applyBorder="1" applyFill="1" applyFont="1">
      <alignment horizontal="center" shrinkToFit="0" vertical="bottom" wrapText="0"/>
    </xf>
    <xf borderId="0" fillId="0" fontId="12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82" fillId="0" fontId="27" numFmtId="0" xfId="0" applyAlignment="1" applyBorder="1" applyFont="1">
      <alignment horizontal="center" shrinkToFit="0" vertical="center" wrapText="0"/>
    </xf>
    <xf borderId="6" fillId="0" fontId="28" numFmtId="1" xfId="0" applyAlignment="1" applyBorder="1" applyFont="1" applyNumberFormat="1">
      <alignment horizontal="center" shrinkToFit="0" vertical="center" wrapText="0"/>
    </xf>
    <xf borderId="82" fillId="0" fontId="29" numFmtId="0" xfId="0" applyAlignment="1" applyBorder="1" applyFont="1">
      <alignment horizontal="center" shrinkToFit="0" vertical="center" wrapText="0"/>
    </xf>
    <xf borderId="7" fillId="0" fontId="8" numFmtId="169" xfId="0" applyAlignment="1" applyBorder="1" applyFont="1" applyNumberFormat="1">
      <alignment horizontal="center" shrinkToFit="0" vertical="center" wrapText="0"/>
    </xf>
    <xf borderId="6" fillId="0" fontId="8" numFmtId="1" xfId="0" applyAlignment="1" applyBorder="1" applyFont="1" applyNumberFormat="1">
      <alignment horizontal="center" shrinkToFit="0" vertical="center" wrapText="0"/>
    </xf>
    <xf borderId="42" fillId="0" fontId="30" numFmtId="0" xfId="0" applyAlignment="1" applyBorder="1" applyFont="1">
      <alignment horizontal="center" shrinkToFit="0" vertical="center" wrapText="1"/>
    </xf>
    <xf borderId="42" fillId="0" fontId="31" numFmtId="0" xfId="0" applyAlignment="1" applyBorder="1" applyFont="1">
      <alignment horizontal="center" shrinkToFit="0" vertical="center" wrapText="1"/>
    </xf>
    <xf borderId="42" fillId="0" fontId="29" numFmtId="0" xfId="0" applyAlignment="1" applyBorder="1" applyFont="1">
      <alignment horizontal="center" shrinkToFit="0" vertical="center" wrapText="1"/>
    </xf>
    <xf borderId="5" fillId="13" fontId="7" numFmtId="0" xfId="0" applyAlignment="1" applyBorder="1" applyFill="1" applyFont="1">
      <alignment horizontal="center" shrinkToFit="0" vertical="bottom" wrapText="1"/>
    </xf>
    <xf borderId="84" fillId="0" fontId="3" numFmtId="0" xfId="0" applyBorder="1" applyFont="1"/>
    <xf borderId="85" fillId="13" fontId="32" numFmtId="0" xfId="0" applyAlignment="1" applyBorder="1" applyFont="1">
      <alignment horizontal="center" shrinkToFit="0" vertical="center" wrapText="1"/>
    </xf>
    <xf borderId="86" fillId="13" fontId="7" numFmtId="0" xfId="0" applyAlignment="1" applyBorder="1" applyFont="1">
      <alignment horizontal="center" shrinkToFit="0" vertical="bottom" wrapText="1"/>
    </xf>
    <xf borderId="87" fillId="0" fontId="7" numFmtId="0" xfId="0" applyAlignment="1" applyBorder="1" applyFont="1">
      <alignment shrinkToFit="0" vertical="bottom" wrapText="1"/>
    </xf>
    <xf borderId="0" fillId="0" fontId="8" numFmtId="169" xfId="0" applyAlignment="1" applyFont="1" applyNumberFormat="1">
      <alignment horizontal="center" shrinkToFit="0" vertical="bottom" wrapText="0"/>
    </xf>
    <xf borderId="0" fillId="0" fontId="33" numFmtId="0" xfId="0" applyAlignment="1" applyFont="1">
      <alignment shrinkToFit="0" vertical="bottom" wrapText="0"/>
    </xf>
    <xf borderId="68" fillId="0" fontId="27" numFmtId="0" xfId="0" applyAlignment="1" applyBorder="1" applyFont="1">
      <alignment horizontal="center" shrinkToFit="0" vertical="center" wrapText="0"/>
    </xf>
    <xf borderId="88" fillId="0" fontId="28" numFmtId="169" xfId="0" applyAlignment="1" applyBorder="1" applyFont="1" applyNumberFormat="1">
      <alignment horizontal="center" shrinkToFit="0" vertical="center" wrapText="0"/>
    </xf>
    <xf borderId="89" fillId="0" fontId="8" numFmtId="169" xfId="0" applyAlignment="1" applyBorder="1" applyFont="1" applyNumberFormat="1">
      <alignment horizontal="center" shrinkToFit="0" vertical="center" wrapText="0"/>
    </xf>
    <xf borderId="90" fillId="0" fontId="8" numFmtId="169" xfId="0" applyAlignment="1" applyBorder="1" applyFont="1" applyNumberFormat="1">
      <alignment horizontal="center" shrinkToFit="0" vertical="center" wrapText="0"/>
    </xf>
    <xf borderId="91" fillId="0" fontId="8" numFmtId="0" xfId="0" applyAlignment="1" applyBorder="1" applyFont="1">
      <alignment horizontal="center" shrinkToFit="0" vertical="bottom" wrapText="0"/>
    </xf>
    <xf borderId="40" fillId="0" fontId="34" numFmtId="0" xfId="0" applyAlignment="1" applyBorder="1" applyFont="1">
      <alignment shrinkToFit="0" vertical="bottom" wrapText="0"/>
    </xf>
    <xf borderId="77" fillId="0" fontId="28" numFmtId="0" xfId="0" applyAlignment="1" applyBorder="1" applyFont="1">
      <alignment horizontal="center" shrinkToFit="0" vertical="bottom" wrapText="0"/>
    </xf>
    <xf borderId="92" fillId="0" fontId="3" numFmtId="0" xfId="0" applyBorder="1" applyFont="1"/>
    <xf borderId="42" fillId="0" fontId="8" numFmtId="0" xfId="0" applyAlignment="1" applyBorder="1" applyFont="1">
      <alignment horizontal="center" shrinkToFit="0" vertical="bottom" wrapText="0"/>
    </xf>
    <xf borderId="93" fillId="0" fontId="3" numFmtId="0" xfId="0" applyBorder="1" applyFont="1"/>
    <xf borderId="94" fillId="0" fontId="3" numFmtId="0" xfId="0" applyBorder="1" applyFont="1"/>
    <xf borderId="95" fillId="0" fontId="3" numFmtId="0" xfId="0" applyBorder="1" applyFont="1"/>
    <xf borderId="96" fillId="0" fontId="3" numFmtId="0" xfId="0" applyBorder="1" applyFont="1"/>
    <xf borderId="97" fillId="0" fontId="3" numFmtId="0" xfId="0" applyBorder="1" applyFont="1"/>
    <xf borderId="98" fillId="0" fontId="3" numFmtId="0" xfId="0" applyBorder="1" applyFont="1"/>
    <xf borderId="0" fillId="0" fontId="7" numFmtId="0" xfId="0" applyAlignment="1" applyFont="1">
      <alignment shrinkToFit="0" vertical="bottom" wrapText="1"/>
    </xf>
    <xf borderId="68" fillId="10" fontId="35" numFmtId="0" xfId="0" applyAlignment="1" applyBorder="1" applyFont="1">
      <alignment horizontal="center" shrinkToFit="0" vertical="center" wrapText="0"/>
    </xf>
    <xf borderId="68" fillId="0" fontId="22" numFmtId="0" xfId="0" applyAlignment="1" applyBorder="1" applyFont="1">
      <alignment horizontal="center" shrinkToFit="0" vertical="bottom" wrapText="0"/>
    </xf>
    <xf borderId="69" fillId="0" fontId="8" numFmtId="1" xfId="0" applyAlignment="1" applyBorder="1" applyFont="1" applyNumberFormat="1">
      <alignment horizontal="center" shrinkToFit="0" vertical="bottom" wrapText="0"/>
    </xf>
    <xf borderId="68" fillId="0" fontId="4" numFmtId="0" xfId="0" applyAlignment="1" applyBorder="1" applyFont="1">
      <alignment horizontal="center" shrinkToFit="0" vertical="bottom" wrapText="0"/>
    </xf>
    <xf borderId="68" fillId="0" fontId="8" numFmtId="1" xfId="0" applyAlignment="1" applyBorder="1" applyFont="1" applyNumberFormat="1">
      <alignment horizontal="center" shrinkToFit="0" vertical="bottom" wrapText="0"/>
    </xf>
    <xf borderId="91" fillId="0" fontId="12" numFmtId="0" xfId="0" applyAlignment="1" applyBorder="1" applyFont="1">
      <alignment horizontal="center" shrinkToFit="0" vertical="bottom" wrapText="0"/>
    </xf>
    <xf borderId="40" fillId="0" fontId="12" numFmtId="0" xfId="0" applyAlignment="1" applyBorder="1" applyFont="1">
      <alignment horizontal="center" shrinkToFit="0" vertical="bottom" wrapText="0"/>
    </xf>
    <xf borderId="42" fillId="0" fontId="12" numFmtId="0" xfId="0" applyAlignment="1" applyBorder="1" applyFont="1">
      <alignment horizontal="center" shrinkToFit="0" vertical="bottom" wrapText="0"/>
    </xf>
    <xf borderId="0" fillId="0" fontId="25" numFmtId="0" xfId="0" applyAlignment="1" applyFont="1">
      <alignment shrinkToFit="0" vertical="bottom" wrapText="0"/>
    </xf>
    <xf borderId="99" fillId="9" fontId="12" numFmtId="0" xfId="0" applyAlignment="1" applyBorder="1" applyFont="1">
      <alignment horizontal="center" shrinkToFit="0" vertical="bottom" wrapText="0"/>
    </xf>
    <xf borderId="100" fillId="0" fontId="3" numFmtId="0" xfId="0" applyBorder="1" applyFont="1"/>
    <xf borderId="101" fillId="0" fontId="3" numFmtId="0" xfId="0" applyBorder="1" applyFont="1"/>
    <xf borderId="81" fillId="0" fontId="3" numFmtId="0" xfId="0" applyBorder="1" applyFont="1"/>
    <xf borderId="102" fillId="9" fontId="12" numFmtId="0" xfId="0" applyAlignment="1" applyBorder="1" applyFont="1">
      <alignment horizontal="center" shrinkToFit="0" vertical="bottom" wrapText="0"/>
    </xf>
    <xf borderId="103" fillId="0" fontId="3" numFmtId="0" xfId="0" applyBorder="1" applyFont="1"/>
    <xf borderId="68" fillId="0" fontId="8" numFmtId="0" xfId="0" applyAlignment="1" applyBorder="1" applyFont="1">
      <alignment horizontal="center" shrinkToFit="0" vertical="bottom" wrapText="0"/>
    </xf>
    <xf borderId="68" fillId="0" fontId="7" numFmtId="167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horizontal="center" shrinkToFit="0" vertical="bottom" wrapText="0"/>
    </xf>
    <xf borderId="68" fillId="13" fontId="5" numFmtId="0" xfId="0" applyAlignment="1" applyBorder="1" applyFont="1">
      <alignment horizontal="center" shrinkToFit="0" vertical="bottom" wrapText="0"/>
    </xf>
    <xf borderId="68" fillId="2" fontId="19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shrinkToFit="0" vertical="bottom" wrapText="1"/>
    </xf>
    <xf borderId="5" fillId="0" fontId="29" numFmtId="0" xfId="0" applyAlignment="1" applyBorder="1" applyFont="1">
      <alignment horizontal="center" shrinkToFit="0" vertical="bottom" wrapText="1"/>
    </xf>
    <xf borderId="18" fillId="0" fontId="36" numFmtId="0" xfId="0" applyAlignment="1" applyBorder="1" applyFont="1">
      <alignment shrinkToFit="0" vertical="bottom" wrapText="1"/>
    </xf>
    <xf borderId="104" fillId="13" fontId="8" numFmtId="0" xfId="0" applyAlignment="1" applyBorder="1" applyFont="1">
      <alignment shrinkToFit="0" vertical="bottom" wrapText="0"/>
    </xf>
    <xf borderId="4" fillId="13" fontId="8" numFmtId="0" xfId="0" applyAlignment="1" applyBorder="1" applyFont="1">
      <alignment shrinkToFit="0" vertical="bottom" wrapText="0"/>
    </xf>
    <xf borderId="105" fillId="13" fontId="7" numFmtId="0" xfId="0" applyAlignment="1" applyBorder="1" applyFont="1">
      <alignment horizontal="center" shrinkToFit="0" vertical="bottom" wrapText="1"/>
    </xf>
    <xf borderId="106" fillId="0" fontId="3" numFmtId="0" xfId="0" applyBorder="1" applyFont="1"/>
    <xf borderId="107" fillId="0" fontId="3" numFmtId="0" xfId="0" applyBorder="1" applyFont="1"/>
    <xf borderId="108" fillId="13" fontId="8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horizontal="center" shrinkToFit="0" vertical="bottom" wrapText="0"/>
    </xf>
    <xf borderId="109" fillId="14" fontId="4" numFmtId="0" xfId="0" applyAlignment="1" applyBorder="1" applyFill="1" applyFont="1">
      <alignment shrinkToFit="0" vertical="bottom" wrapText="0"/>
    </xf>
    <xf borderId="110" fillId="14" fontId="4" numFmtId="0" xfId="0" applyAlignment="1" applyBorder="1" applyFont="1">
      <alignment shrinkToFit="0" vertical="bottom" wrapText="0"/>
    </xf>
    <xf borderId="111" fillId="0" fontId="3" numFmtId="0" xfId="0" applyBorder="1" applyFont="1"/>
    <xf borderId="112" fillId="0" fontId="3" numFmtId="0" xfId="0" applyBorder="1" applyFont="1"/>
    <xf borderId="113" fillId="2" fontId="8" numFmtId="0" xfId="0" applyAlignment="1" applyBorder="1" applyFont="1">
      <alignment horizontal="center" shrinkToFit="0" vertical="center" wrapText="0"/>
    </xf>
    <xf borderId="114" fillId="14" fontId="8" numFmtId="0" xfId="0" applyAlignment="1" applyBorder="1" applyFont="1">
      <alignment horizontal="center" shrinkToFit="0" vertical="bottom" wrapText="0"/>
    </xf>
    <xf borderId="115" fillId="0" fontId="3" numFmtId="0" xfId="0" applyBorder="1" applyFont="1"/>
    <xf borderId="76" fillId="15" fontId="22" numFmtId="0" xfId="0" applyAlignment="1" applyBorder="1" applyFill="1" applyFont="1">
      <alignment horizontal="center" shrinkToFit="0" vertical="bottom" wrapText="1"/>
    </xf>
    <xf borderId="76" fillId="15" fontId="4" numFmtId="1" xfId="0" applyAlignment="1" applyBorder="1" applyFont="1" applyNumberFormat="1">
      <alignment horizontal="center" shrinkToFit="0" vertical="center" wrapText="0"/>
    </xf>
    <xf borderId="68" fillId="2" fontId="20" numFmtId="0" xfId="0" applyAlignment="1" applyBorder="1" applyFont="1">
      <alignment horizontal="center" shrinkToFit="0" vertical="bottom" wrapText="0"/>
    </xf>
    <xf borderId="68" fillId="0" fontId="12" numFmtId="0" xfId="0" applyAlignment="1" applyBorder="1" applyFont="1">
      <alignment horizontal="center" shrinkToFit="0" vertical="bottom" wrapText="0"/>
    </xf>
    <xf borderId="116" fillId="13" fontId="8" numFmtId="0" xfId="0" applyAlignment="1" applyBorder="1" applyFont="1">
      <alignment shrinkToFit="0" vertical="bottom" wrapText="0"/>
    </xf>
    <xf borderId="117" fillId="13" fontId="8" numFmtId="0" xfId="0" applyAlignment="1" applyBorder="1" applyFont="1">
      <alignment shrinkToFit="0" vertical="bottom" wrapText="0"/>
    </xf>
    <xf borderId="88" fillId="9" fontId="12" numFmtId="0" xfId="0" applyAlignment="1" applyBorder="1" applyFont="1">
      <alignment horizontal="center" shrinkToFit="0" vertical="bottom" wrapText="0"/>
    </xf>
    <xf borderId="90" fillId="0" fontId="3" numFmtId="0" xfId="0" applyBorder="1" applyFont="1"/>
    <xf borderId="118" fillId="0" fontId="3" numFmtId="0" xfId="0" applyBorder="1" applyFont="1"/>
    <xf borderId="119" fillId="13" fontId="8" numFmtId="0" xfId="0" applyAlignment="1" applyBorder="1" applyFont="1">
      <alignment shrinkToFit="0" vertical="bottom" wrapText="0"/>
    </xf>
    <xf borderId="40" fillId="0" fontId="8" numFmtId="1" xfId="0" applyAlignment="1" applyBorder="1" applyFont="1" applyNumberFormat="1">
      <alignment horizontal="center" shrinkToFit="0" vertical="center" wrapText="0"/>
    </xf>
    <xf borderId="40" fillId="2" fontId="8" numFmtId="0" xfId="0" applyAlignment="1" applyBorder="1" applyFont="1">
      <alignment horizontal="center" shrinkToFit="0" vertical="center" wrapText="0"/>
    </xf>
    <xf borderId="48" fillId="16" fontId="4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40" fillId="0" fontId="8" numFmtId="170" xfId="0" applyAlignment="1" applyBorder="1" applyFont="1" applyNumberFormat="1">
      <alignment horizontal="center" shrinkToFit="0" vertical="center" wrapText="0"/>
    </xf>
    <xf borderId="40" fillId="0" fontId="28" numFmtId="170" xfId="0" applyAlignment="1" applyBorder="1" applyFont="1" applyNumberFormat="1">
      <alignment horizontal="center" shrinkToFit="0" vertical="center" wrapText="0"/>
    </xf>
    <xf borderId="76" fillId="15" fontId="14" numFmtId="0" xfId="0" applyAlignment="1" applyBorder="1" applyFont="1">
      <alignment horizontal="center" shrinkToFit="0" vertical="center" wrapText="1"/>
    </xf>
    <xf borderId="76" fillId="15" fontId="28" numFmtId="1" xfId="0" applyAlignment="1" applyBorder="1" applyFont="1" applyNumberFormat="1">
      <alignment horizontal="center" shrinkToFit="0" vertical="center" wrapText="0"/>
    </xf>
    <xf borderId="5" fillId="17" fontId="24" numFmtId="0" xfId="0" applyAlignment="1" applyBorder="1" applyFill="1" applyFont="1">
      <alignment horizontal="center" shrinkToFit="0" vertical="center" wrapText="0"/>
    </xf>
    <xf borderId="0" fillId="0" fontId="8" numFmtId="1" xfId="0" applyAlignment="1" applyFont="1" applyNumberFormat="1">
      <alignment horizontal="center" shrinkToFit="0" vertical="center" wrapText="0"/>
    </xf>
    <xf borderId="87" fillId="0" fontId="8" numFmtId="1" xfId="0" applyAlignment="1" applyBorder="1" applyFont="1" applyNumberFormat="1">
      <alignment shrinkToFit="0" vertical="center" wrapText="0"/>
    </xf>
    <xf borderId="40" fillId="0" fontId="37" numFmtId="0" xfId="0" applyAlignment="1" applyBorder="1" applyFont="1">
      <alignment shrinkToFit="0" vertical="bottom" wrapText="0"/>
    </xf>
    <xf borderId="5" fillId="0" fontId="2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9" fillId="0" fontId="8" numFmtId="1" xfId="0" applyAlignment="1" applyBorder="1" applyFont="1" applyNumberFormat="1">
      <alignment shrinkToFit="0" vertical="center" wrapText="0"/>
    </xf>
    <xf borderId="68" fillId="18" fontId="20" numFmtId="0" xfId="0" applyAlignment="1" applyBorder="1" applyFill="1" applyFont="1">
      <alignment horizontal="center" shrinkToFit="0" vertical="bottom" wrapText="0"/>
    </xf>
    <xf borderId="109" fillId="14" fontId="8" numFmtId="0" xfId="0" applyAlignment="1" applyBorder="1" applyFont="1">
      <alignment shrinkToFit="0" vertical="bottom" wrapText="0"/>
    </xf>
    <xf borderId="110" fillId="14" fontId="8" numFmtId="0" xfId="0" applyAlignment="1" applyBorder="1" applyFont="1">
      <alignment shrinkToFit="0" vertical="bottom" wrapText="0"/>
    </xf>
    <xf borderId="113" fillId="18" fontId="8" numFmtId="0" xfId="0" applyAlignment="1" applyBorder="1" applyFont="1">
      <alignment horizontal="center" shrinkToFit="0" vertical="center" wrapText="0"/>
    </xf>
    <xf borderId="114" fillId="19" fontId="8" numFmtId="0" xfId="0" applyAlignment="1" applyBorder="1" applyFill="1" applyFont="1">
      <alignment horizontal="center" shrinkToFit="0" vertical="bottom" wrapText="0"/>
    </xf>
    <xf borderId="40" fillId="18" fontId="8" numFmtId="0" xfId="0" applyAlignment="1" applyBorder="1" applyFont="1">
      <alignment horizontal="center" shrinkToFit="0" vertical="center" wrapText="0"/>
    </xf>
    <xf borderId="113" fillId="18" fontId="8" numFmtId="173" xfId="0" applyAlignment="1" applyBorder="1" applyFont="1" applyNumberFormat="1">
      <alignment horizontal="center" shrinkToFit="0" vertical="center" wrapText="0"/>
    </xf>
    <xf borderId="40" fillId="9" fontId="8" numFmtId="1" xfId="0" applyAlignment="1" applyBorder="1" applyFont="1" applyNumberFormat="1">
      <alignment horizontal="center" shrinkToFit="0" vertical="center" wrapText="0"/>
    </xf>
    <xf borderId="68" fillId="0" fontId="12" numFmtId="0" xfId="0" applyAlignment="1" applyBorder="1" applyFont="1">
      <alignment horizontal="center" shrinkToFit="0" vertical="center" wrapText="0"/>
    </xf>
    <xf borderId="68" fillId="17" fontId="35" numFmtId="0" xfId="0" applyAlignment="1" applyBorder="1" applyFont="1">
      <alignment horizontal="center" shrinkToFit="0" vertical="bottom" wrapText="0"/>
    </xf>
    <xf borderId="68" fillId="20" fontId="23" numFmtId="0" xfId="0" applyAlignment="1" applyBorder="1" applyFill="1" applyFont="1">
      <alignment horizontal="center" shrinkToFit="0" vertical="center" wrapText="0"/>
    </xf>
    <xf borderId="68" fillId="13" fontId="22" numFmtId="0" xfId="0" applyAlignment="1" applyBorder="1" applyFont="1">
      <alignment horizontal="center" shrinkToFit="0" vertical="bottom" wrapText="0"/>
    </xf>
    <xf borderId="68" fillId="21" fontId="12" numFmtId="0" xfId="0" applyAlignment="1" applyBorder="1" applyFill="1" applyFont="1">
      <alignment horizontal="center" shrinkToFit="0" vertical="bottom" wrapText="0"/>
    </xf>
    <xf borderId="0" fillId="0" fontId="22" numFmtId="0" xfId="0" applyAlignment="1" applyFont="1">
      <alignment shrinkToFit="0" vertical="bottom" wrapText="0"/>
    </xf>
    <xf borderId="120" fillId="0" fontId="8" numFmtId="0" xfId="0" applyAlignment="1" applyBorder="1" applyFont="1">
      <alignment horizontal="center" shrinkToFit="0" vertical="bottom" wrapText="0"/>
    </xf>
    <xf borderId="121" fillId="0" fontId="3" numFmtId="0" xfId="0" applyBorder="1" applyFont="1"/>
    <xf borderId="122" fillId="0" fontId="3" numFmtId="0" xfId="0" applyBorder="1" applyFont="1"/>
    <xf borderId="42" fillId="0" fontId="8" numFmtId="0" xfId="0" applyAlignment="1" applyBorder="1" applyFont="1">
      <alignment horizontal="left" shrinkToFit="0" vertical="center" wrapText="0"/>
    </xf>
    <xf borderId="42" fillId="0" fontId="8" numFmtId="1" xfId="0" applyAlignment="1" applyBorder="1" applyFont="1" applyNumberFormat="1">
      <alignment horizontal="center" shrinkToFit="0" vertical="center" wrapText="0"/>
    </xf>
    <xf borderId="42" fillId="2" fontId="12" numFmtId="0" xfId="0" applyAlignment="1" applyBorder="1" applyFont="1">
      <alignment horizontal="center" shrinkToFit="0" vertical="bottom" wrapText="0"/>
    </xf>
    <xf borderId="123" fillId="0" fontId="3" numFmtId="0" xfId="0" applyBorder="1" applyFont="1"/>
    <xf borderId="5" fillId="21" fontId="8" numFmtId="0" xfId="0" applyAlignment="1" applyBorder="1" applyFont="1">
      <alignment horizontal="center" shrinkToFit="0" vertical="bottom" wrapText="0"/>
    </xf>
    <xf borderId="43" fillId="2" fontId="12" numFmtId="0" xfId="0" applyAlignment="1" applyBorder="1" applyFont="1">
      <alignment horizontal="center" shrinkToFit="0" vertical="bottom" wrapText="0"/>
    </xf>
    <xf borderId="42" fillId="0" fontId="8" numFmtId="166" xfId="0" applyAlignment="1" applyBorder="1" applyFont="1" applyNumberFormat="1">
      <alignment horizontal="center" shrinkToFit="0" vertical="center" wrapText="0"/>
    </xf>
    <xf borderId="42" fillId="0" fontId="8" numFmtId="166" xfId="0" applyAlignment="1" applyBorder="1" applyFont="1" applyNumberFormat="1">
      <alignment shrinkToFit="0" vertical="center" wrapText="0"/>
    </xf>
    <xf borderId="40" fillId="0" fontId="28" numFmtId="0" xfId="0" applyAlignment="1" applyBorder="1" applyFont="1">
      <alignment shrinkToFit="0" vertical="bottom" wrapText="0"/>
    </xf>
    <xf borderId="42" fillId="0" fontId="8" numFmtId="0" xfId="0" applyAlignment="1" applyBorder="1" applyFont="1">
      <alignment horizontal="center" shrinkToFit="0" vertical="center" wrapText="0"/>
    </xf>
    <xf borderId="41" fillId="0" fontId="28" numFmtId="0" xfId="0" applyAlignment="1" applyBorder="1" applyFont="1">
      <alignment shrinkToFit="0" vertical="bottom" wrapText="0"/>
    </xf>
    <xf borderId="40" fillId="22" fontId="22" numFmtId="0" xfId="0" applyAlignment="1" applyBorder="1" applyFill="1" applyFont="1">
      <alignment horizontal="center" shrinkToFit="0" vertical="bottom" wrapText="1"/>
    </xf>
    <xf borderId="47" fillId="0" fontId="8" numFmtId="1" xfId="0" applyAlignment="1" applyBorder="1" applyFont="1" applyNumberFormat="1">
      <alignment horizontal="center" shrinkToFit="0" vertical="center" wrapText="0"/>
    </xf>
    <xf borderId="124" fillId="22" fontId="22" numFmtId="0" xfId="0" applyAlignment="1" applyBorder="1" applyFont="1">
      <alignment horizontal="center" shrinkToFit="0" vertical="bottom" wrapText="1"/>
    </xf>
    <xf borderId="44" fillId="0" fontId="12" numFmtId="0" xfId="0" applyAlignment="1" applyBorder="1" applyFont="1">
      <alignment horizontal="center" shrinkToFit="0" vertical="bottom" wrapText="0"/>
    </xf>
    <xf borderId="125" fillId="21" fontId="12" numFmtId="1" xfId="0" applyAlignment="1" applyBorder="1" applyFont="1" applyNumberFormat="1">
      <alignment horizontal="center" shrinkToFit="0" vertical="center" wrapText="0"/>
    </xf>
    <xf borderId="40" fillId="21" fontId="12" numFmtId="1" xfId="0" applyAlignment="1" applyBorder="1" applyFont="1" applyNumberFormat="1">
      <alignment horizontal="center" shrinkToFit="0" vertical="center" wrapText="0"/>
    </xf>
    <xf borderId="0" fillId="0" fontId="38" numFmtId="0" xfId="0" applyFont="1"/>
    <xf borderId="0" fillId="0" fontId="8" numFmtId="1" xfId="0" applyAlignment="1" applyFont="1" applyNumberFormat="1">
      <alignment shrinkToFit="0" vertical="bottom" wrapText="0"/>
    </xf>
    <xf borderId="5" fillId="0" fontId="39" numFmtId="0" xfId="0" applyAlignment="1" applyBorder="1" applyFont="1">
      <alignment horizontal="center" shrinkToFit="0" vertical="bottom" wrapText="0"/>
    </xf>
    <xf borderId="16" fillId="0" fontId="40" numFmtId="0" xfId="0" applyAlignment="1" applyBorder="1" applyFont="1">
      <alignment horizontal="center" shrinkToFit="0" vertical="center" wrapText="0"/>
    </xf>
    <xf borderId="6" fillId="0" fontId="40" numFmtId="0" xfId="0" applyAlignment="1" applyBorder="1" applyFont="1">
      <alignment horizontal="center" shrinkToFit="0" vertical="center" wrapText="1"/>
    </xf>
    <xf borderId="40" fillId="0" fontId="8" numFmtId="3" xfId="0" applyAlignment="1" applyBorder="1" applyFont="1" applyNumberFormat="1">
      <alignment horizontal="center" shrinkToFit="0" vertical="center" wrapText="0"/>
    </xf>
    <xf borderId="37" fillId="0" fontId="8" numFmtId="171" xfId="0" applyAlignment="1" applyBorder="1" applyFont="1" applyNumberFormat="1">
      <alignment horizontal="center" shrinkToFit="0" vertical="center" wrapText="0"/>
    </xf>
    <xf borderId="38" fillId="0" fontId="8" numFmtId="169" xfId="0" applyAlignment="1" applyBorder="1" applyFont="1" applyNumberFormat="1">
      <alignment horizontal="center" shrinkToFit="0" vertical="bottom" wrapText="0"/>
    </xf>
    <xf borderId="40" fillId="0" fontId="8" numFmtId="169" xfId="0" applyAlignment="1" applyBorder="1" applyFont="1" applyNumberFormat="1">
      <alignment horizontal="center" shrinkToFit="0" vertical="center" wrapText="0"/>
    </xf>
    <xf borderId="40" fillId="5" fontId="8" numFmtId="0" xfId="0" applyAlignment="1" applyBorder="1" applyFont="1">
      <alignment horizontal="center" shrinkToFit="0" vertical="center" wrapText="0"/>
    </xf>
    <xf borderId="37" fillId="0" fontId="8" numFmtId="2" xfId="0" applyAlignment="1" applyBorder="1" applyFont="1" applyNumberFormat="1">
      <alignment horizontal="center" shrinkToFit="0" vertical="center" wrapText="0"/>
    </xf>
    <xf borderId="61" fillId="8" fontId="41" numFmtId="0" xfId="0" applyAlignment="1" applyBorder="1" applyFont="1">
      <alignment horizontal="center" shrinkToFit="0" vertical="center" wrapText="0"/>
    </xf>
    <xf borderId="40" fillId="0" fontId="8" numFmtId="2" xfId="0" applyAlignment="1" applyBorder="1" applyFont="1" applyNumberFormat="1">
      <alignment horizontal="center" shrinkToFit="0" vertical="center" wrapText="0"/>
    </xf>
    <xf borderId="68" fillId="8" fontId="8" numFmtId="0" xfId="0" applyAlignment="1" applyBorder="1" applyFont="1">
      <alignment horizontal="center" shrinkToFit="0" vertical="bottom" wrapText="0"/>
    </xf>
    <xf borderId="17" fillId="0" fontId="6" numFmtId="0" xfId="0" applyAlignment="1" applyBorder="1" applyFont="1">
      <alignment horizontal="center" shrinkToFit="0" vertical="center" wrapText="0"/>
    </xf>
    <xf borderId="37" fillId="0" fontId="34" numFmtId="0" xfId="0" applyAlignment="1" applyBorder="1" applyFont="1">
      <alignment horizontal="center" shrinkToFit="0" vertical="center" wrapText="0"/>
    </xf>
    <xf borderId="81" fillId="0" fontId="14" numFmtId="0" xfId="0" applyAlignment="1" applyBorder="1" applyFont="1">
      <alignment shrinkToFit="0" vertical="center" wrapText="1"/>
    </xf>
    <xf borderId="40" fillId="0" fontId="8" numFmtId="2" xfId="0" applyAlignment="1" applyBorder="1" applyFont="1" applyNumberFormat="1">
      <alignment horizontal="center" shrinkToFit="0" vertical="bottom" wrapText="0"/>
    </xf>
    <xf borderId="38" fillId="0" fontId="8" numFmtId="2" xfId="0" applyAlignment="1" applyBorder="1" applyFont="1" applyNumberFormat="1">
      <alignment horizontal="center" shrinkToFit="0" vertical="bottom" wrapText="0"/>
    </xf>
    <xf borderId="50" fillId="2" fontId="22" numFmtId="0" xfId="0" applyAlignment="1" applyBorder="1" applyFont="1">
      <alignment horizontal="center" shrinkToFit="0" vertical="bottom" wrapText="0"/>
    </xf>
    <xf borderId="79" fillId="0" fontId="8" numFmtId="0" xfId="0" applyAlignment="1" applyBorder="1" applyFont="1">
      <alignment shrinkToFit="0" vertical="bottom" wrapText="0"/>
    </xf>
    <xf borderId="38" fillId="0" fontId="8" numFmtId="0" xfId="0" applyAlignment="1" applyBorder="1" applyFont="1">
      <alignment shrinkToFit="0" vertical="bottom" wrapText="0"/>
    </xf>
    <xf borderId="68" fillId="0" fontId="7" numFmtId="0" xfId="0" applyAlignment="1" applyBorder="1" applyFont="1">
      <alignment horizontal="center" shrinkToFit="0" vertical="center" wrapText="0"/>
    </xf>
    <xf borderId="126" fillId="0" fontId="8" numFmtId="169" xfId="0" applyAlignment="1" applyBorder="1" applyFont="1" applyNumberFormat="1">
      <alignment horizontal="center" shrinkToFit="0" vertical="center" wrapText="0"/>
    </xf>
    <xf borderId="69" fillId="0" fontId="7" numFmtId="0" xfId="0" applyAlignment="1" applyBorder="1" applyFont="1">
      <alignment horizontal="center" shrinkToFit="0" vertical="center" wrapText="0"/>
    </xf>
    <xf borderId="46" fillId="0" fontId="8" numFmtId="169" xfId="0" applyAlignment="1" applyBorder="1" applyFont="1" applyNumberFormat="1">
      <alignment horizontal="center" shrinkToFit="0" vertical="center" wrapText="0"/>
    </xf>
    <xf borderId="40" fillId="0" fontId="28" numFmtId="0" xfId="0" applyAlignment="1" applyBorder="1" applyFont="1">
      <alignment horizontal="center" shrinkToFit="0" vertical="center" wrapText="0"/>
    </xf>
    <xf borderId="40" fillId="0" fontId="28" numFmtId="1" xfId="0" applyAlignment="1" applyBorder="1" applyFont="1" applyNumberFormat="1">
      <alignment horizontal="center" shrinkToFit="0" vertical="center" wrapText="0"/>
    </xf>
    <xf borderId="5" fillId="0" fontId="42" numFmtId="0" xfId="0" applyAlignment="1" applyBorder="1" applyFont="1">
      <alignment horizontal="center" shrinkToFit="0" vertical="bottom" wrapText="0"/>
    </xf>
    <xf borderId="6" fillId="0" fontId="22" numFmtId="0" xfId="0" applyAlignment="1" applyBorder="1" applyFont="1">
      <alignment horizontal="center" shrinkToFit="0" vertical="center" wrapText="1"/>
    </xf>
    <xf borderId="37" fillId="0" fontId="8" numFmtId="169" xfId="0" applyAlignment="1" applyBorder="1" applyFont="1" applyNumberFormat="1">
      <alignment horizontal="center" readingOrder="0" shrinkToFit="0" vertical="bottom" wrapText="0"/>
    </xf>
    <xf borderId="5" fillId="0" fontId="24" numFmtId="0" xfId="0" applyAlignment="1" applyBorder="1" applyFont="1">
      <alignment horizontal="center" shrinkToFit="0" vertical="top" wrapText="0"/>
    </xf>
    <xf borderId="17" fillId="0" fontId="43" numFmtId="0" xfId="0" applyAlignment="1" applyBorder="1" applyFont="1">
      <alignment horizontal="center" shrinkToFit="0" vertical="center" wrapText="0"/>
    </xf>
    <xf borderId="81" fillId="0" fontId="14" numFmtId="0" xfId="0" applyAlignment="1" applyBorder="1" applyFont="1">
      <alignment horizontal="center" shrinkToFit="0" vertical="center" wrapText="1"/>
    </xf>
    <xf borderId="37" fillId="2" fontId="26" numFmtId="0" xfId="0" applyAlignment="1" applyBorder="1" applyFont="1">
      <alignment horizontal="center" shrinkToFit="0" vertical="bottom" wrapText="0"/>
    </xf>
    <xf borderId="68" fillId="0" fontId="14" numFmtId="0" xfId="0" applyAlignment="1" applyBorder="1" applyFont="1">
      <alignment horizontal="center" shrinkToFit="0" vertical="center" wrapText="0"/>
    </xf>
    <xf borderId="42" fillId="0" fontId="25" numFmtId="0" xfId="0" applyAlignment="1" applyBorder="1" applyFont="1">
      <alignment horizontal="center" shrinkToFit="0" vertical="bottom" wrapText="0"/>
    </xf>
    <xf borderId="5" fillId="0" fontId="33" numFmtId="0" xfId="0" applyAlignment="1" applyBorder="1" applyFont="1">
      <alignment horizontal="center" shrinkToFit="0" vertical="bottom" wrapText="1"/>
    </xf>
    <xf borderId="76" fillId="15" fontId="12" numFmtId="1" xfId="0" applyAlignment="1" applyBorder="1" applyFont="1" applyNumberFormat="1">
      <alignment horizontal="center" shrinkToFit="0" vertical="center" wrapText="0"/>
    </xf>
    <xf borderId="68" fillId="0" fontId="28" numFmtId="0" xfId="0" applyAlignment="1" applyBorder="1" applyFont="1">
      <alignment horizontal="center" shrinkToFit="0" vertical="bottom" wrapText="0"/>
    </xf>
    <xf borderId="48" fillId="23" fontId="4" numFmtId="0" xfId="0" applyAlignment="1" applyBorder="1" applyFill="1" applyFont="1">
      <alignment horizontal="center" shrinkToFit="0" vertical="center" wrapText="0"/>
    </xf>
    <xf borderId="68" fillId="20" fontId="20" numFmtId="0" xfId="0" applyAlignment="1" applyBorder="1" applyFont="1">
      <alignment horizontal="center" shrinkToFit="0" vertical="bottom" wrapText="0"/>
    </xf>
    <xf borderId="68" fillId="13" fontId="14" numFmtId="0" xfId="0" applyAlignment="1" applyBorder="1" applyFont="1">
      <alignment horizontal="center" shrinkToFit="0" vertical="bottom" wrapText="0"/>
    </xf>
    <xf borderId="14" fillId="0" fontId="22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61" fillId="8" fontId="44" numFmtId="0" xfId="0" applyAlignment="1" applyBorder="1" applyFont="1">
      <alignment horizontal="center" shrinkToFit="0" vertical="center" wrapText="0"/>
    </xf>
    <xf borderId="58" fillId="9" fontId="8" numFmtId="2" xfId="0" applyAlignment="1" applyBorder="1" applyFont="1" applyNumberFormat="1">
      <alignment horizontal="center" shrinkToFit="0" vertical="bottom" wrapText="0"/>
    </xf>
    <xf borderId="37" fillId="9" fontId="8" numFmtId="2" xfId="0" applyAlignment="1" applyBorder="1" applyFont="1" applyNumberFormat="1">
      <alignment horizontal="center" shrinkToFit="0" vertical="bottom" wrapText="0"/>
    </xf>
    <xf borderId="67" fillId="8" fontId="45" numFmtId="0" xfId="0" applyAlignment="1" applyBorder="1" applyFont="1">
      <alignment shrinkToFit="0" vertical="bottom" wrapText="0"/>
    </xf>
    <xf borderId="40" fillId="18" fontId="8" numFmtId="1" xfId="0" applyAlignment="1" applyBorder="1" applyFont="1" applyNumberFormat="1">
      <alignment horizontal="center" shrinkToFit="0" vertical="center" wrapText="0"/>
    </xf>
    <xf borderId="5" fillId="0" fontId="46" numFmtId="0" xfId="0" applyAlignment="1" applyBorder="1" applyFont="1">
      <alignment horizontal="center" shrinkToFit="0" vertical="bottom" wrapText="0"/>
    </xf>
    <xf borderId="37" fillId="0" fontId="33" numFmtId="166" xfId="0" applyAlignment="1" applyBorder="1" applyFont="1" applyNumberFormat="1">
      <alignment horizontal="center" shrinkToFit="0" vertical="center" wrapText="0"/>
    </xf>
    <xf borderId="61" fillId="8" fontId="24" numFmtId="0" xfId="0" applyAlignment="1" applyBorder="1" applyFont="1">
      <alignment horizontal="center" shrinkToFit="0" vertical="center" wrapText="0"/>
    </xf>
    <xf borderId="61" fillId="8" fontId="43" numFmtId="164" xfId="0" applyAlignment="1" applyBorder="1" applyFont="1" applyNumberFormat="1">
      <alignment horizontal="center" shrinkToFit="0" vertical="center" wrapText="0"/>
    </xf>
    <xf borderId="68" fillId="8" fontId="47" numFmtId="0" xfId="0" applyAlignment="1" applyBorder="1" applyFont="1">
      <alignment horizontal="center" shrinkToFit="0" vertical="bottom" wrapText="0"/>
    </xf>
    <xf borderId="79" fillId="0" fontId="4" numFmtId="0" xfId="0" applyAlignment="1" applyBorder="1" applyFont="1">
      <alignment horizontal="center" shrinkToFit="0" vertical="center" wrapText="0"/>
    </xf>
    <xf borderId="81" fillId="0" fontId="29" numFmtId="0" xfId="0" applyAlignment="1" applyBorder="1" applyFont="1">
      <alignment shrinkToFit="0" vertical="center" wrapText="1"/>
    </xf>
    <xf borderId="37" fillId="0" fontId="8" numFmtId="2" xfId="0" applyAlignment="1" applyBorder="1" applyFont="1" applyNumberFormat="1">
      <alignment horizontal="center" shrinkToFit="0" vertical="bottom" wrapText="0"/>
    </xf>
    <xf borderId="61" fillId="8" fontId="4" numFmtId="164" xfId="0" applyAlignment="1" applyBorder="1" applyFont="1" applyNumberFormat="1">
      <alignment horizontal="center" shrinkToFit="0" vertical="center" wrapText="0"/>
    </xf>
    <xf borderId="40" fillId="0" fontId="28" numFmtId="166" xfId="0" applyAlignment="1" applyBorder="1" applyFont="1" applyNumberFormat="1">
      <alignment horizontal="center" shrinkToFit="0" vertical="bottom" wrapText="0"/>
    </xf>
    <xf borderId="75" fillId="0" fontId="7" numFmtId="1" xfId="0" applyAlignment="1" applyBorder="1" applyFont="1" applyNumberFormat="1">
      <alignment horizontal="center" shrinkToFit="0" vertical="bottom" wrapText="0"/>
    </xf>
    <xf borderId="79" fillId="0" fontId="24" numFmtId="0" xfId="0" applyAlignment="1" applyBorder="1" applyFont="1">
      <alignment horizontal="center" shrinkToFit="0" vertical="center" wrapText="0"/>
    </xf>
    <xf borderId="37" fillId="2" fontId="19" numFmtId="0" xfId="0" applyAlignment="1" applyBorder="1" applyFont="1">
      <alignment horizontal="center" shrinkToFit="0" vertical="bottom" wrapText="0"/>
    </xf>
    <xf borderId="0" fillId="0" fontId="7" numFmtId="166" xfId="0" applyAlignment="1" applyFont="1" applyNumberFormat="1">
      <alignment shrinkToFit="0" vertical="center" wrapText="0"/>
    </xf>
    <xf borderId="127" fillId="9" fontId="48" numFmtId="0" xfId="0" applyAlignment="1" applyBorder="1" applyFont="1">
      <alignment shrinkToFit="0" vertical="bottom" wrapText="0"/>
    </xf>
    <xf borderId="5" fillId="0" fontId="49" numFmtId="0" xfId="0" applyAlignment="1" applyBorder="1" applyFont="1">
      <alignment horizontal="center" shrinkToFit="0" vertical="bottom" wrapText="0"/>
    </xf>
    <xf borderId="16" fillId="0" fontId="22" numFmtId="0" xfId="0" applyAlignment="1" applyBorder="1" applyFont="1">
      <alignment horizontal="center" shrinkToFit="0" vertical="center" wrapText="1"/>
    </xf>
    <xf borderId="61" fillId="8" fontId="12" numFmtId="164" xfId="0" applyAlignment="1" applyBorder="1" applyFont="1" applyNumberFormat="1">
      <alignment horizontal="center" shrinkToFit="0" vertical="center" wrapText="0"/>
    </xf>
    <xf borderId="75" fillId="0" fontId="8" numFmtId="171" xfId="0" applyAlignment="1" applyBorder="1" applyFont="1" applyNumberFormat="1">
      <alignment horizontal="center" shrinkToFit="0" vertical="center" wrapText="0"/>
    </xf>
    <xf borderId="75" fillId="0" fontId="8" numFmtId="168" xfId="0" applyAlignment="1" applyBorder="1" applyFont="1" applyNumberFormat="1">
      <alignment horizontal="center" shrinkToFit="0" vertical="center" wrapText="0"/>
    </xf>
    <xf borderId="128" fillId="0" fontId="8" numFmtId="0" xfId="0" applyAlignment="1" applyBorder="1" applyFont="1">
      <alignment shrinkToFit="0" vertical="bottom" wrapText="0"/>
    </xf>
    <xf borderId="129" fillId="0" fontId="3" numFmtId="0" xfId="0" applyBorder="1" applyFont="1"/>
    <xf borderId="42" fillId="0" fontId="7" numFmtId="0" xfId="0" applyAlignment="1" applyBorder="1" applyFont="1">
      <alignment shrinkToFit="0" vertical="center" wrapText="0"/>
    </xf>
    <xf borderId="44" fillId="0" fontId="7" numFmtId="0" xfId="0" applyAlignment="1" applyBorder="1" applyFont="1">
      <alignment shrinkToFit="0" vertical="center" wrapText="0"/>
    </xf>
    <xf borderId="41" fillId="0" fontId="7" numFmtId="0" xfId="0" applyAlignment="1" applyBorder="1" applyFont="1">
      <alignment shrinkToFit="0" vertical="center" wrapText="0"/>
    </xf>
    <xf borderId="42" fillId="0" fontId="8" numFmtId="171" xfId="0" applyAlignment="1" applyBorder="1" applyFont="1" applyNumberFormat="1">
      <alignment shrinkToFit="0" vertical="bottom" wrapText="0"/>
    </xf>
    <xf borderId="41" fillId="0" fontId="8" numFmtId="171" xfId="0" applyAlignment="1" applyBorder="1" applyFont="1" applyNumberFormat="1">
      <alignment shrinkToFit="0" vertical="bottom" wrapText="0"/>
    </xf>
    <xf borderId="130" fillId="0" fontId="8" numFmtId="171" xfId="0" applyAlignment="1" applyBorder="1" applyFont="1" applyNumberFormat="1">
      <alignment shrinkToFit="0" vertical="bottom" wrapText="0"/>
    </xf>
    <xf borderId="0" fillId="0" fontId="36" numFmtId="0" xfId="0" applyAlignment="1" applyFont="1">
      <alignment horizontal="center" shrinkToFit="0" vertical="bottom" wrapText="0"/>
    </xf>
    <xf borderId="87" fillId="0" fontId="8" numFmtId="171" xfId="0" applyAlignment="1" applyBorder="1" applyFont="1" applyNumberFormat="1">
      <alignment shrinkToFit="0" vertical="bottom" wrapText="0"/>
    </xf>
    <xf borderId="37" fillId="0" fontId="8" numFmtId="2" xfId="0" applyAlignment="1" applyBorder="1" applyFont="1" applyNumberFormat="1">
      <alignment shrinkToFit="0" vertical="bottom" wrapText="0"/>
    </xf>
    <xf borderId="79" fillId="0" fontId="8" numFmtId="2" xfId="0" applyAlignment="1" applyBorder="1" applyFont="1" applyNumberFormat="1">
      <alignment shrinkToFit="0" vertical="bottom" wrapText="0"/>
    </xf>
    <xf borderId="42" fillId="0" fontId="22" numFmtId="0" xfId="0" applyAlignment="1" applyBorder="1" applyFont="1">
      <alignment horizontal="center" shrinkToFit="0" vertical="center" wrapText="1"/>
    </xf>
    <xf borderId="42" fillId="0" fontId="14" numFmtId="0" xfId="0" applyAlignment="1" applyBorder="1" applyFont="1">
      <alignment horizontal="center" shrinkToFit="0" vertical="center" wrapText="1"/>
    </xf>
    <xf borderId="5" fillId="13" fontId="22" numFmtId="0" xfId="0" applyAlignment="1" applyBorder="1" applyFont="1">
      <alignment horizontal="center" shrinkToFit="0" vertical="bottom" wrapText="1"/>
    </xf>
    <xf borderId="85" fillId="13" fontId="14" numFmtId="0" xfId="0" applyAlignment="1" applyBorder="1" applyFont="1">
      <alignment horizontal="center" shrinkToFit="0" vertical="center" wrapText="1"/>
    </xf>
    <xf borderId="86" fillId="13" fontId="22" numFmtId="0" xfId="0" applyAlignment="1" applyBorder="1" applyFont="1">
      <alignment horizontal="center" shrinkToFit="0" vertical="bottom" wrapText="1"/>
    </xf>
    <xf borderId="48" fillId="16" fontId="50" numFmtId="0" xfId="0" applyAlignment="1" applyBorder="1" applyFont="1">
      <alignment horizontal="center" shrinkToFit="0" vertical="center" wrapText="0"/>
    </xf>
    <xf borderId="68" fillId="12" fontId="22" numFmtId="0" xfId="0" applyAlignment="1" applyBorder="1" applyFont="1">
      <alignment horizontal="center" shrinkToFit="0" vertical="bottom" wrapText="0"/>
    </xf>
    <xf borderId="40" fillId="0" fontId="8" numFmtId="3" xfId="0" applyAlignment="1" applyBorder="1" applyFont="1" applyNumberFormat="1">
      <alignment horizontal="center" shrinkToFit="0" vertical="bottom" wrapText="0"/>
    </xf>
    <xf borderId="37" fillId="2" fontId="28" numFmtId="0" xfId="0" applyAlignment="1" applyBorder="1" applyFont="1">
      <alignment horizontal="center" shrinkToFit="0" vertical="bottom" wrapText="0"/>
    </xf>
    <xf borderId="5" fillId="0" fontId="22" numFmtId="0" xfId="0" applyAlignment="1" applyBorder="1" applyFont="1">
      <alignment horizontal="center" shrinkToFit="0" vertical="bottom" wrapText="1"/>
    </xf>
    <xf borderId="5" fillId="7" fontId="20" numFmtId="0" xfId="0" applyAlignment="1" applyBorder="1" applyFont="1">
      <alignment horizontal="center" shrinkToFit="0" vertical="center" wrapText="0"/>
    </xf>
    <xf borderId="37" fillId="0" fontId="8" numFmtId="170" xfId="0" applyAlignment="1" applyBorder="1" applyFont="1" applyNumberFormat="1">
      <alignment horizontal="center" shrinkToFit="0" vertical="center" wrapText="0"/>
    </xf>
    <xf borderId="61" fillId="8" fontId="23" numFmtId="0" xfId="0" applyAlignment="1" applyBorder="1" applyFont="1">
      <alignment horizontal="center" shrinkToFit="0" vertical="center" wrapText="0"/>
    </xf>
    <xf borderId="42" fillId="0" fontId="51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bottom" wrapText="0"/>
    </xf>
    <xf borderId="40" fillId="0" fontId="8" numFmtId="1" xfId="0" applyAlignment="1" applyBorder="1" applyFont="1" applyNumberFormat="1">
      <alignment horizontal="center" shrinkToFit="0" vertical="bottom" wrapText="0"/>
    </xf>
    <xf borderId="32" fillId="0" fontId="8" numFmtId="170" xfId="0" applyAlignment="1" applyBorder="1" applyFont="1" applyNumberFormat="1">
      <alignment horizontal="center" shrinkToFit="0" vertical="center" wrapText="0"/>
    </xf>
    <xf borderId="61" fillId="8" fontId="52" numFmtId="0" xfId="0" applyAlignment="1" applyBorder="1" applyFont="1">
      <alignment horizontal="center" shrinkToFit="0" vertical="center" wrapText="0"/>
    </xf>
    <xf borderId="37" fillId="2" fontId="25" numFmtId="0" xfId="0" applyAlignment="1" applyBorder="1" applyFont="1">
      <alignment horizontal="center" shrinkToFit="0" vertical="bottom" wrapText="0"/>
    </xf>
    <xf borderId="5" fillId="0" fontId="53" numFmtId="0" xfId="0" applyAlignment="1" applyBorder="1" applyFont="1">
      <alignment horizontal="center" shrinkToFit="0" vertical="bottom" wrapText="0"/>
    </xf>
    <xf borderId="76" fillId="0" fontId="8" numFmtId="3" xfId="0" applyAlignment="1" applyBorder="1" applyFont="1" applyNumberFormat="1">
      <alignment horizontal="center" shrinkToFit="0" vertical="center" wrapText="0"/>
    </xf>
    <xf borderId="79" fillId="0" fontId="5" numFmtId="0" xfId="0" applyAlignment="1" applyBorder="1" applyFont="1">
      <alignment horizontal="center" shrinkToFit="0" vertical="center" wrapText="0"/>
    </xf>
    <xf borderId="81" fillId="0" fontId="22" numFmtId="0" xfId="0" applyAlignment="1" applyBorder="1" applyFont="1">
      <alignment shrinkToFit="0" vertical="center" wrapText="1"/>
    </xf>
    <xf borderId="82" fillId="0" fontId="22" numFmtId="0" xfId="0" applyAlignment="1" applyBorder="1" applyFont="1">
      <alignment shrinkToFit="0" vertical="center" wrapText="1"/>
    </xf>
    <xf borderId="86" fillId="13" fontId="14" numFmtId="0" xfId="0" applyAlignment="1" applyBorder="1" applyFont="1">
      <alignment horizontal="center" shrinkToFit="0" vertical="bottom" wrapText="1"/>
    </xf>
    <xf borderId="52" fillId="8" fontId="47" numFmtId="0" xfId="0" applyAlignment="1" applyBorder="1" applyFont="1">
      <alignment horizontal="center" shrinkToFit="0" vertical="bottom" wrapText="0"/>
    </xf>
    <xf borderId="37" fillId="0" fontId="5" numFmtId="0" xfId="0" applyAlignment="1" applyBorder="1" applyFont="1">
      <alignment shrinkToFit="0" vertical="bottom" wrapText="0"/>
    </xf>
    <xf borderId="86" fillId="13" fontId="29" numFmtId="0" xfId="0" applyAlignment="1" applyBorder="1" applyFont="1">
      <alignment horizontal="center" shrinkToFit="0" vertical="bottom" wrapText="1"/>
    </xf>
    <xf borderId="1" fillId="4" fontId="13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31" fillId="0" fontId="3" numFmtId="0" xfId="0" applyBorder="1" applyFont="1"/>
    <xf borderId="92" fillId="0" fontId="17" numFmtId="0" xfId="0" applyAlignment="1" applyBorder="1" applyFont="1">
      <alignment horizontal="center" shrinkToFit="0" vertical="bottom" wrapText="0"/>
    </xf>
    <xf borderId="76" fillId="0" fontId="17" numFmtId="0" xfId="0" applyAlignment="1" applyBorder="1" applyFont="1">
      <alignment horizontal="center" shrinkToFit="0" vertical="bottom" wrapText="0"/>
    </xf>
    <xf borderId="76" fillId="0" fontId="17" numFmtId="170" xfId="0" applyAlignment="1" applyBorder="1" applyFont="1" applyNumberFormat="1">
      <alignment horizontal="center" shrinkToFit="0" vertical="bottom" wrapText="0"/>
    </xf>
    <xf borderId="132" fillId="4" fontId="15" numFmtId="0" xfId="0" applyAlignment="1" applyBorder="1" applyFont="1">
      <alignment horizontal="center" shrinkToFit="0" vertical="center" wrapText="0"/>
    </xf>
    <xf borderId="133" fillId="0" fontId="3" numFmtId="0" xfId="0" applyBorder="1" applyFont="1"/>
    <xf borderId="37" fillId="8" fontId="8" numFmtId="169" xfId="0" applyAlignment="1" applyBorder="1" applyFont="1" applyNumberFormat="1">
      <alignment horizontal="center" shrinkToFit="0" vertical="center" wrapText="0"/>
    </xf>
    <xf borderId="48" fillId="24" fontId="54" numFmtId="0" xfId="0" applyAlignment="1" applyBorder="1" applyFill="1" applyFont="1">
      <alignment horizontal="center" shrinkToFit="0" vertical="center" wrapText="0"/>
    </xf>
    <xf borderId="48" fillId="24" fontId="4" numFmtId="0" xfId="0" applyAlignment="1" applyBorder="1" applyFont="1">
      <alignment horizontal="center" shrinkToFit="0" vertical="center" wrapText="0"/>
    </xf>
    <xf borderId="42" fillId="0" fontId="8" numFmtId="1" xfId="0" applyAlignment="1" applyBorder="1" applyFont="1" applyNumberFormat="1">
      <alignment shrinkToFit="0" vertical="center" wrapText="0"/>
    </xf>
    <xf borderId="127" fillId="9" fontId="28" numFmtId="0" xfId="0" applyAlignment="1" applyBorder="1" applyFont="1">
      <alignment shrinkToFit="0" vertical="bottom" wrapText="0"/>
    </xf>
    <xf borderId="124" fillId="9" fontId="8" numFmtId="1" xfId="0" applyAlignment="1" applyBorder="1" applyFont="1" applyNumberFormat="1">
      <alignment horizontal="center" shrinkToFit="0" vertical="center" wrapText="0"/>
    </xf>
    <xf borderId="40" fillId="9" fontId="8" numFmtId="0" xfId="0" applyAlignment="1" applyBorder="1" applyFont="1">
      <alignment horizontal="center" shrinkToFit="0" vertical="center" wrapText="0"/>
    </xf>
    <xf borderId="37" fillId="0" fontId="8" numFmtId="0" xfId="0" applyAlignment="1" applyBorder="1" applyFont="1">
      <alignment horizontal="center" shrinkToFit="0" vertical="center" wrapText="1"/>
    </xf>
    <xf borderId="58" fillId="8" fontId="8" numFmtId="0" xfId="0" applyAlignment="1" applyBorder="1" applyFont="1">
      <alignment shrinkToFit="0" vertical="bottom" wrapText="0"/>
    </xf>
    <xf borderId="38" fillId="8" fontId="8" numFmtId="0" xfId="0" applyAlignment="1" applyBorder="1" applyFont="1">
      <alignment horizontal="center" shrinkToFit="0" vertical="bottom" wrapText="0"/>
    </xf>
    <xf borderId="40" fillId="0" fontId="8" numFmtId="166" xfId="0" applyAlignment="1" applyBorder="1" applyFont="1" applyNumberFormat="1">
      <alignment shrinkToFit="0" vertical="bottom" wrapText="0"/>
    </xf>
    <xf borderId="92" fillId="0" fontId="7" numFmtId="0" xfId="0" applyAlignment="1" applyBorder="1" applyFont="1">
      <alignment shrinkToFit="0" vertical="bottom" wrapText="1"/>
    </xf>
    <xf borderId="130" fillId="0" fontId="7" numFmtId="0" xfId="0" applyAlignment="1" applyBorder="1" applyFont="1">
      <alignment shrinkToFit="0" vertical="bottom" wrapText="1"/>
    </xf>
    <xf borderId="5" fillId="0" fontId="55" numFmtId="0" xfId="0" applyAlignment="1" applyBorder="1" applyFont="1">
      <alignment horizontal="center" shrinkToFit="0" vertical="bottom" wrapText="0"/>
    </xf>
    <xf borderId="14" fillId="0" fontId="14" numFmtId="0" xfId="0" applyAlignment="1" applyBorder="1" applyFont="1">
      <alignment horizontal="center" shrinkToFit="0" vertical="center" wrapText="1"/>
    </xf>
    <xf borderId="61" fillId="8" fontId="56" numFmtId="0" xfId="0" applyAlignment="1" applyBorder="1" applyFont="1">
      <alignment horizontal="center" shrinkToFit="0" vertical="center" wrapText="0"/>
    </xf>
    <xf borderId="37" fillId="2" fontId="12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0"/>
    </xf>
    <xf borderId="37" fillId="2" fontId="4" numFmtId="0" xfId="0" applyAlignment="1" applyBorder="1" applyFont="1">
      <alignment horizontal="center" shrinkToFit="0" vertical="bottom" wrapText="0"/>
    </xf>
    <xf borderId="7" fillId="0" fontId="8" numFmtId="1" xfId="0" applyAlignment="1" applyBorder="1" applyFont="1" applyNumberFormat="1">
      <alignment horizontal="center" shrinkToFit="0" vertical="center" wrapText="0"/>
    </xf>
    <xf borderId="6" fillId="0" fontId="12" numFmtId="0" xfId="0" applyAlignment="1" applyBorder="1" applyFont="1">
      <alignment horizontal="center" shrinkToFit="0" vertical="center" wrapText="1"/>
    </xf>
    <xf borderId="2" fillId="9" fontId="8" numFmtId="0" xfId="0" applyAlignment="1" applyBorder="1" applyFont="1">
      <alignment shrinkToFit="0" vertical="bottom" wrapText="0"/>
    </xf>
    <xf borderId="68" fillId="10" fontId="23" numFmtId="0" xfId="0" applyAlignment="1" applyBorder="1" applyFont="1">
      <alignment horizontal="center" shrinkToFit="0" vertical="top" wrapText="0"/>
    </xf>
    <xf borderId="5" fillId="0" fontId="8" numFmtId="0" xfId="0" applyAlignment="1" applyBorder="1" applyFont="1">
      <alignment horizontal="left" shrinkToFit="0" vertical="top" wrapText="0"/>
    </xf>
    <xf borderId="0" fillId="0" fontId="24" numFmtId="0" xfId="0" applyAlignment="1" applyFont="1">
      <alignment shrinkToFit="0" vertical="bottom" wrapText="0"/>
    </xf>
    <xf borderId="87" fillId="0" fontId="22" numFmtId="0" xfId="0" applyAlignment="1" applyBorder="1" applyFont="1">
      <alignment shrinkToFit="0" vertical="bottom" wrapText="1"/>
    </xf>
    <xf borderId="0" fillId="0" fontId="22" numFmtId="0" xfId="0" applyAlignment="1" applyFont="1">
      <alignment shrinkToFit="0" vertical="bottom" wrapText="1"/>
    </xf>
    <xf borderId="14" fillId="0" fontId="57" numFmtId="0" xfId="0" applyAlignment="1" applyBorder="1" applyFont="1">
      <alignment horizontal="center" shrinkToFit="0" vertical="center" wrapText="1"/>
    </xf>
    <xf borderId="16" fillId="0" fontId="58" numFmtId="0" xfId="0" applyAlignment="1" applyBorder="1" applyFont="1">
      <alignment horizontal="center" shrinkToFit="0" vertical="center" wrapText="1"/>
    </xf>
    <xf borderId="6" fillId="0" fontId="59" numFmtId="0" xfId="0" applyAlignment="1" applyBorder="1" applyFont="1">
      <alignment horizontal="center" shrinkToFit="0" vertical="center" wrapText="1"/>
    </xf>
    <xf borderId="5" fillId="2" fontId="19" numFmtId="0" xfId="0" applyAlignment="1" applyBorder="1" applyFont="1">
      <alignment horizontal="center" shrinkToFit="0" vertical="center" wrapText="0"/>
    </xf>
    <xf borderId="48" fillId="7" fontId="25" numFmtId="0" xfId="0" applyAlignment="1" applyBorder="1" applyFont="1">
      <alignment horizontal="center" shrinkToFit="0" vertical="center" wrapText="1"/>
    </xf>
    <xf borderId="37" fillId="0" fontId="33" numFmtId="169" xfId="0" applyAlignment="1" applyBorder="1" applyFont="1" applyNumberFormat="1">
      <alignment horizontal="center" shrinkToFit="0" vertical="bottom" wrapText="0"/>
    </xf>
    <xf borderId="40" fillId="0" fontId="7" numFmtId="166" xfId="0" applyAlignment="1" applyBorder="1" applyFont="1" applyNumberFormat="1">
      <alignment horizontal="center" shrinkToFit="0" vertical="bottom" wrapText="0"/>
    </xf>
    <xf borderId="79" fillId="0" fontId="12" numFmtId="0" xfId="0" applyAlignment="1" applyBorder="1" applyFont="1">
      <alignment horizontal="center" shrinkToFit="0" vertical="center" wrapText="0"/>
    </xf>
    <xf borderId="82" fillId="0" fontId="29" numFmtId="0" xfId="0" applyAlignment="1" applyBorder="1" applyFont="1">
      <alignment shrinkToFit="0" vertical="center" wrapText="1"/>
    </xf>
    <xf borderId="87" fillId="0" fontId="12" numFmtId="0" xfId="0" applyAlignment="1" applyBorder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16" fillId="0" fontId="1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5" fillId="7" fontId="25" numFmtId="0" xfId="0" applyAlignment="1" applyBorder="1" applyFont="1">
      <alignment horizontal="center" shrinkToFit="0" vertical="center" wrapText="0"/>
    </xf>
    <xf borderId="78" fillId="0" fontId="8" numFmtId="169" xfId="0" applyAlignment="1" applyBorder="1" applyFont="1" applyNumberFormat="1">
      <alignment horizontal="center" shrinkToFit="0" vertical="bottom" wrapText="0"/>
    </xf>
    <xf borderId="79" fillId="0" fontId="8" numFmtId="0" xfId="0" applyAlignment="1" applyBorder="1" applyFont="1">
      <alignment horizontal="center" shrinkToFit="0" vertical="bottom" wrapText="0"/>
    </xf>
    <xf borderId="134" fillId="8" fontId="8" numFmtId="169" xfId="0" applyAlignment="1" applyBorder="1" applyFont="1" applyNumberFormat="1">
      <alignment horizontal="center" shrinkToFit="0" vertical="bottom" wrapText="0"/>
    </xf>
    <xf borderId="61" fillId="8" fontId="60" numFmtId="0" xfId="0" applyAlignment="1" applyBorder="1" applyFont="1">
      <alignment horizontal="center" shrinkToFit="0" vertical="center" wrapText="0"/>
    </xf>
    <xf borderId="135" fillId="4" fontId="15" numFmtId="0" xfId="0" applyAlignment="1" applyBorder="1" applyFont="1">
      <alignment horizontal="center" shrinkToFit="0" vertical="center" wrapText="0"/>
    </xf>
    <xf borderId="21" fillId="4" fontId="16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horizontal="center" shrinkToFit="0" vertical="bottom" wrapText="0"/>
    </xf>
    <xf borderId="42" fillId="4" fontId="15" numFmtId="0" xfId="0" applyAlignment="1" applyBorder="1" applyFont="1">
      <alignment horizontal="center" shrinkToFit="0" vertical="center" wrapText="0"/>
    </xf>
    <xf borderId="42" fillId="4" fontId="15" numFmtId="0" xfId="0" applyAlignment="1" applyBorder="1" applyFont="1">
      <alignment horizontal="center" shrinkToFit="0" vertical="center" wrapText="1"/>
    </xf>
    <xf borderId="42" fillId="0" fontId="17" numFmtId="0" xfId="0" applyAlignment="1" applyBorder="1" applyFont="1">
      <alignment horizontal="center" shrinkToFit="0" vertical="center" wrapText="0"/>
    </xf>
    <xf borderId="40" fillId="0" fontId="8" numFmtId="166" xfId="0" applyAlignment="1" applyBorder="1" applyFont="1" applyNumberFormat="1">
      <alignment shrinkToFit="0" vertical="center" wrapText="0"/>
    </xf>
    <xf borderId="55" fillId="8" fontId="25" numFmtId="169" xfId="0" applyAlignment="1" applyBorder="1" applyFont="1" applyNumberFormat="1">
      <alignment horizontal="center" shrinkToFit="0" vertical="bottom" wrapText="0"/>
    </xf>
    <xf borderId="58" fillId="9" fontId="25" numFmtId="0" xfId="0" applyAlignment="1" applyBorder="1" applyFont="1">
      <alignment shrinkToFit="0" vertical="bottom" wrapText="0"/>
    </xf>
    <xf borderId="16" fillId="0" fontId="4" numFmtId="0" xfId="0" applyAlignment="1" applyBorder="1" applyFont="1">
      <alignment horizontal="center" shrinkToFit="0" vertical="center" wrapText="0"/>
    </xf>
    <xf borderId="7" fillId="0" fontId="12" numFmtId="0" xfId="0" applyAlignment="1" applyBorder="1" applyFont="1">
      <alignment horizontal="center" shrinkToFit="0" vertical="center" wrapText="1"/>
    </xf>
    <xf borderId="32" fillId="0" fontId="7" numFmtId="0" xfId="0" applyAlignment="1" applyBorder="1" applyFont="1">
      <alignment horizontal="center" shrinkToFit="0" vertical="bottom" wrapText="0"/>
    </xf>
    <xf borderId="113" fillId="2" fontId="7" numFmtId="0" xfId="0" applyAlignment="1" applyBorder="1" applyFont="1">
      <alignment horizontal="center" shrinkToFit="0" vertical="center" wrapText="0"/>
    </xf>
    <xf borderId="40" fillId="0" fontId="7" numFmtId="0" xfId="0" applyAlignment="1" applyBorder="1" applyFont="1">
      <alignment shrinkToFit="0" vertical="bottom" wrapText="0"/>
    </xf>
    <xf borderId="40" fillId="0" fontId="7" numFmtId="1" xfId="0" applyAlignment="1" applyBorder="1" applyFont="1" applyNumberFormat="1">
      <alignment horizontal="center" shrinkToFit="0" vertical="center" wrapText="0"/>
    </xf>
    <xf borderId="40" fillId="0" fontId="14" numFmtId="0" xfId="0" applyAlignment="1" applyBorder="1" applyFont="1">
      <alignment shrinkToFit="0" vertical="bottom" wrapText="0"/>
    </xf>
    <xf borderId="40" fillId="0" fontId="7" numFmtId="170" xfId="0" applyAlignment="1" applyBorder="1" applyFont="1" applyNumberFormat="1">
      <alignment horizontal="center" shrinkToFit="0" vertical="center" wrapText="0"/>
    </xf>
    <xf borderId="40" fillId="0" fontId="27" numFmtId="0" xfId="0" applyAlignment="1" applyBorder="1" applyFont="1">
      <alignment shrinkToFit="0" vertical="bottom" wrapText="0"/>
    </xf>
    <xf borderId="113" fillId="18" fontId="7" numFmtId="173" xfId="0" applyAlignment="1" applyBorder="1" applyFont="1" applyNumberFormat="1">
      <alignment horizontal="center" shrinkToFit="0" vertical="center" wrapText="0"/>
    </xf>
    <xf borderId="113" fillId="18" fontId="7" numFmtId="0" xfId="0" applyAlignment="1" applyBorder="1" applyFont="1">
      <alignment horizontal="center" shrinkToFit="0" vertical="center" wrapText="0"/>
    </xf>
    <xf borderId="40" fillId="9" fontId="7" numFmtId="1" xfId="0" applyAlignment="1" applyBorder="1" applyFont="1" applyNumberFormat="1">
      <alignment horizontal="center" shrinkToFit="0" vertical="center" wrapText="0"/>
    </xf>
    <xf borderId="42" fillId="0" fontId="7" numFmtId="0" xfId="0" applyAlignment="1" applyBorder="1" applyFont="1">
      <alignment horizontal="left" shrinkToFit="0" vertical="center" wrapText="0"/>
    </xf>
    <xf borderId="42" fillId="0" fontId="7" numFmtId="1" xfId="0" applyAlignment="1" applyBorder="1" applyFont="1" applyNumberFormat="1">
      <alignment horizontal="center" shrinkToFit="0" vertical="center" wrapText="0"/>
    </xf>
    <xf borderId="42" fillId="0" fontId="7" numFmtId="166" xfId="0" applyAlignment="1" applyBorder="1" applyFont="1" applyNumberFormat="1">
      <alignment horizontal="center" shrinkToFit="0" vertical="center" wrapText="0"/>
    </xf>
    <xf borderId="42" fillId="0" fontId="7" numFmtId="166" xfId="0" applyAlignment="1" applyBorder="1" applyFont="1" applyNumberFormat="1">
      <alignment shrinkToFit="0" vertical="center" wrapText="0"/>
    </xf>
    <xf borderId="37" fillId="0" fontId="7" numFmtId="169" xfId="0" applyAlignment="1" applyBorder="1" applyFont="1" applyNumberFormat="1">
      <alignment horizontal="center" shrinkToFit="0" vertical="bottom" wrapText="0"/>
    </xf>
    <xf borderId="61" fillId="8" fontId="18" numFmtId="164" xfId="0" applyAlignment="1" applyBorder="1" applyFont="1" applyNumberFormat="1">
      <alignment horizontal="center" shrinkToFit="0" vertical="center" wrapText="0"/>
    </xf>
    <xf borderId="82" fillId="0" fontId="14" numFmtId="0" xfId="0" applyAlignment="1" applyBorder="1" applyFont="1">
      <alignment horizontal="center" shrinkToFit="0" vertical="center" wrapText="0"/>
    </xf>
    <xf borderId="69" fillId="0" fontId="14" numFmtId="0" xfId="0" applyAlignment="1" applyBorder="1" applyFont="1">
      <alignment horizontal="center" shrinkToFit="0" vertical="center" wrapText="0"/>
    </xf>
    <xf borderId="135" fillId="14" fontId="8" numFmtId="0" xfId="0" applyAlignment="1" applyBorder="1" applyFont="1">
      <alignment horizontal="center" shrinkToFit="0" vertical="bottom" wrapText="0"/>
    </xf>
    <xf borderId="61" fillId="8" fontId="25" numFmtId="164" xfId="0" applyAlignment="1" applyBorder="1" applyFont="1" applyNumberFormat="1">
      <alignment horizontal="center" shrinkToFit="0" vertical="center" wrapText="0"/>
    </xf>
    <xf borderId="82" fillId="0" fontId="36" numFmtId="0" xfId="0" applyAlignment="1" applyBorder="1" applyFont="1">
      <alignment horizontal="center" shrinkToFit="0" vertical="center" wrapText="0"/>
    </xf>
    <xf borderId="68" fillId="0" fontId="36" numFmtId="0" xfId="0" applyAlignment="1" applyBorder="1" applyFont="1">
      <alignment horizontal="center" shrinkToFit="0" vertical="center" wrapText="0"/>
    </xf>
    <xf borderId="69" fillId="0" fontId="36" numFmtId="0" xfId="0" applyAlignment="1" applyBorder="1" applyFont="1">
      <alignment horizontal="center" shrinkToFit="0" vertical="center" wrapText="0"/>
    </xf>
    <xf borderId="76" fillId="15" fontId="4" numFmtId="0" xfId="0" applyAlignment="1" applyBorder="1" applyFont="1">
      <alignment horizontal="center" shrinkToFit="0" vertical="center" wrapText="0"/>
    </xf>
    <xf borderId="44" fillId="0" fontId="8" numFmtId="0" xfId="0" applyAlignment="1" applyBorder="1" applyFont="1">
      <alignment shrinkToFit="0" vertical="bottom" wrapText="0"/>
    </xf>
    <xf borderId="61" fillId="8" fontId="4" numFmtId="0" xfId="0" applyAlignment="1" applyBorder="1" applyFont="1">
      <alignment horizontal="center" shrinkToFit="0" vertical="center" wrapText="0"/>
    </xf>
    <xf borderId="82" fillId="0" fontId="22" numFmtId="0" xfId="0" applyAlignment="1" applyBorder="1" applyFont="1">
      <alignment shrinkToFit="0" vertical="bottom" wrapText="0"/>
    </xf>
    <xf borderId="82" fillId="21" fontId="12" numFmtId="1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horizontal="left" shrinkToFit="0" vertical="bottom" wrapText="0"/>
    </xf>
    <xf borderId="5" fillId="0" fontId="4" numFmtId="0" xfId="0" applyAlignment="1" applyBorder="1" applyFont="1">
      <alignment horizontal="center" shrinkToFit="0" vertical="bottom" wrapText="1"/>
    </xf>
    <xf borderId="5" fillId="0" fontId="7" numFmtId="167" xfId="0" applyAlignment="1" applyBorder="1" applyFont="1" applyNumberFormat="1">
      <alignment horizontal="center" shrinkToFit="0" vertical="center" wrapText="0"/>
    </xf>
    <xf borderId="5" fillId="0" fontId="7" numFmtId="167" xfId="0" applyAlignment="1" applyBorder="1" applyFont="1" applyNumberFormat="1">
      <alignment shrinkToFit="0" vertical="center" wrapText="0"/>
    </xf>
    <xf borderId="76" fillId="15" fontId="4" numFmtId="170" xfId="0" applyAlignment="1" applyBorder="1" applyFont="1" applyNumberFormat="1">
      <alignment horizontal="center" shrinkToFit="0" vertical="center" wrapText="0"/>
    </xf>
    <xf borderId="37" fillId="8" fontId="8" numFmtId="2" xfId="0" applyAlignment="1" applyBorder="1" applyFont="1" applyNumberFormat="1">
      <alignment horizontal="center" shrinkToFit="0" vertical="bottom" wrapText="0"/>
    </xf>
    <xf borderId="37" fillId="0" fontId="8" numFmtId="169" xfId="0" applyAlignment="1" applyBorder="1" applyFont="1" applyNumberFormat="1">
      <alignment horizontal="center" shrinkToFit="0" vertical="center" wrapText="0"/>
    </xf>
    <xf borderId="136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bottom" wrapText="0"/>
    </xf>
    <xf borderId="40" fillId="0" fontId="7" numFmtId="0" xfId="0" applyAlignment="1" applyBorder="1" applyFont="1">
      <alignment horizontal="center" shrinkToFit="0" vertical="bottom" wrapText="0"/>
    </xf>
    <xf borderId="40" fillId="0" fontId="8" numFmtId="174" xfId="0" applyAlignment="1" applyBorder="1" applyFont="1" applyNumberFormat="1">
      <alignment horizontal="center" shrinkToFit="0" vertical="bottom" wrapText="0"/>
    </xf>
    <xf borderId="40" fillId="0" fontId="8" numFmtId="175" xfId="0" applyAlignment="1" applyBorder="1" applyFont="1" applyNumberFormat="1">
      <alignment horizontal="center" shrinkToFit="0" vertical="bottom" wrapText="0"/>
    </xf>
    <xf borderId="77" fillId="0" fontId="7" numFmtId="0" xfId="0" applyAlignment="1" applyBorder="1" applyFont="1">
      <alignment horizontal="center" shrinkToFit="0" vertical="center" wrapText="0"/>
    </xf>
    <xf borderId="87" fillId="0" fontId="3" numFmtId="0" xfId="0" applyBorder="1" applyFont="1"/>
    <xf borderId="0" fillId="0" fontId="23" numFmtId="0" xfId="0" applyAlignment="1" applyFont="1">
      <alignment horizontal="center" shrinkToFit="0" vertical="center" wrapText="0"/>
    </xf>
    <xf borderId="47" fillId="0" fontId="3" numFmtId="0" xfId="0" applyBorder="1" applyFont="1"/>
    <xf borderId="137" fillId="0" fontId="3" numFmtId="0" xfId="0" applyBorder="1" applyFont="1"/>
    <xf borderId="68" fillId="22" fontId="7" numFmtId="0" xfId="0" applyAlignment="1" applyBorder="1" applyFont="1">
      <alignment horizontal="center" shrinkToFit="0" vertical="center" wrapText="1"/>
    </xf>
    <xf borderId="68" fillId="25" fontId="4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horizontal="center" shrinkToFit="0" vertical="bottom" wrapText="1"/>
    </xf>
    <xf borderId="85" fillId="9" fontId="4" numFmtId="0" xfId="0" applyAlignment="1" applyBorder="1" applyFont="1">
      <alignment horizontal="center" shrinkToFit="0" vertical="center" wrapText="0"/>
    </xf>
    <xf borderId="138" fillId="26" fontId="22" numFmtId="0" xfId="0" applyAlignment="1" applyBorder="1" applyFill="1" applyFont="1">
      <alignment horizontal="center" shrinkToFit="0" vertical="center" wrapText="0"/>
    </xf>
    <xf borderId="139" fillId="0" fontId="3" numFmtId="0" xfId="0" applyBorder="1" applyFont="1"/>
    <xf borderId="8" fillId="0" fontId="22" numFmtId="0" xfId="0" applyAlignment="1" applyBorder="1" applyFont="1">
      <alignment horizontal="center" shrinkToFit="0" vertical="center" wrapText="0"/>
    </xf>
    <xf borderId="85" fillId="0" fontId="22" numFmtId="0" xfId="0" applyAlignment="1" applyBorder="1" applyFont="1">
      <alignment horizontal="center" shrinkToFit="0" vertical="center" wrapText="0"/>
    </xf>
    <xf borderId="42" fillId="0" fontId="61" numFmtId="0" xfId="0" applyAlignment="1" applyBorder="1" applyFont="1">
      <alignment horizontal="center" shrinkToFit="0" vertical="center" wrapText="1"/>
    </xf>
    <xf borderId="82" fillId="0" fontId="36" numFmtId="0" xfId="0" applyAlignment="1" applyBorder="1" applyFont="1">
      <alignment horizontal="center" shrinkToFit="0" vertical="center" wrapText="1"/>
    </xf>
    <xf borderId="82" fillId="26" fontId="7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40" fillId="0" fontId="23" numFmtId="0" xfId="0" applyAlignment="1" applyBorder="1" applyFont="1">
      <alignment horizontal="center" shrinkToFit="0" vertical="center" wrapText="0"/>
    </xf>
    <xf borderId="76" fillId="2" fontId="7" numFmtId="176" xfId="0" applyAlignment="1" applyBorder="1" applyFont="1" applyNumberFormat="1">
      <alignment horizontal="center" shrinkToFit="0" vertical="center" wrapText="0"/>
    </xf>
    <xf borderId="41" fillId="0" fontId="8" numFmtId="0" xfId="0" applyAlignment="1" applyBorder="1" applyFont="1">
      <alignment horizontal="center" shrinkToFit="0" vertical="center" wrapText="0"/>
    </xf>
    <xf borderId="40" fillId="0" fontId="8" numFmtId="3" xfId="0" applyAlignment="1" applyBorder="1" applyFont="1" applyNumberFormat="1">
      <alignment shrinkToFit="0" vertical="bottom" wrapText="0"/>
    </xf>
    <xf borderId="40" fillId="0" fontId="12" numFmtId="176" xfId="0" applyAlignment="1" applyBorder="1" applyFont="1" applyNumberFormat="1">
      <alignment horizontal="center" shrinkToFit="0" vertical="center" wrapText="0"/>
    </xf>
    <xf borderId="40" fillId="26" fontId="25" numFmtId="0" xfId="0" applyAlignment="1" applyBorder="1" applyFont="1">
      <alignment shrinkToFit="0" vertical="bottom" wrapText="0"/>
    </xf>
    <xf borderId="40" fillId="0" fontId="25" numFmtId="0" xfId="0" applyAlignment="1" applyBorder="1" applyFont="1">
      <alignment shrinkToFit="0" vertical="bottom" wrapText="0"/>
    </xf>
    <xf borderId="40" fillId="0" fontId="25" numFmtId="0" xfId="0" applyAlignment="1" applyBorder="1" applyFont="1">
      <alignment shrinkToFit="0" vertical="center" wrapText="0"/>
    </xf>
    <xf borderId="76" fillId="2" fontId="7" numFmtId="174" xfId="0" applyAlignment="1" applyBorder="1" applyFont="1" applyNumberFormat="1">
      <alignment horizontal="center" shrinkToFit="0" vertical="center" wrapText="0"/>
    </xf>
    <xf borderId="40" fillId="0" fontId="62" numFmtId="0" xfId="0" applyAlignment="1" applyBorder="1" applyFont="1">
      <alignment shrinkToFit="0" vertical="bottom" wrapText="1"/>
    </xf>
    <xf borderId="140" fillId="0" fontId="3" numFmtId="0" xfId="0" applyBorder="1" applyFont="1"/>
    <xf borderId="40" fillId="0" fontId="8" numFmtId="175" xfId="0" applyAlignment="1" applyBorder="1" applyFont="1" applyNumberFormat="1">
      <alignment shrinkToFit="0" vertical="bottom" wrapText="0"/>
    </xf>
    <xf borderId="40" fillId="0" fontId="25" numFmtId="0" xfId="0" applyAlignment="1" applyBorder="1" applyFont="1">
      <alignment horizontal="center" shrinkToFit="0" vertical="bottom" wrapText="1"/>
    </xf>
    <xf borderId="0" fillId="0" fontId="8" numFmtId="3" xfId="0" applyAlignment="1" applyFont="1" applyNumberFormat="1">
      <alignment horizontal="center" shrinkToFit="0" vertical="bottom" wrapText="0"/>
    </xf>
    <xf borderId="4" fillId="27" fontId="7" numFmtId="0" xfId="0" applyAlignment="1" applyBorder="1" applyFill="1" applyFont="1">
      <alignment horizontal="center" shrinkToFit="0" vertical="bottom" wrapText="0"/>
    </xf>
    <xf borderId="40" fillId="27" fontId="8" numFmtId="0" xfId="0" applyAlignment="1" applyBorder="1" applyFont="1">
      <alignment shrinkToFit="0" vertical="bottom" wrapText="0"/>
    </xf>
    <xf borderId="127" fillId="27" fontId="8" numFmtId="0" xfId="0" applyAlignment="1" applyBorder="1" applyFont="1">
      <alignment horizontal="center" shrinkToFit="0" vertical="center" wrapText="0"/>
    </xf>
    <xf borderId="40" fillId="27" fontId="8" numFmtId="3" xfId="0" applyAlignment="1" applyBorder="1" applyFont="1" applyNumberFormat="1">
      <alignment shrinkToFit="0" vertical="bottom" wrapText="0"/>
    </xf>
    <xf borderId="4" fillId="28" fontId="7" numFmtId="0" xfId="0" applyAlignment="1" applyBorder="1" applyFill="1" applyFont="1">
      <alignment horizontal="center" shrinkToFit="0" vertical="bottom" wrapText="0"/>
    </xf>
    <xf borderId="40" fillId="28" fontId="8" numFmtId="0" xfId="0" applyAlignment="1" applyBorder="1" applyFont="1">
      <alignment shrinkToFit="0" vertical="bottom" wrapText="0"/>
    </xf>
    <xf borderId="40" fillId="0" fontId="8" numFmtId="49" xfId="0" applyAlignment="1" applyBorder="1" applyFont="1" applyNumberFormat="1">
      <alignment horizontal="right" shrinkToFit="0" vertical="bottom" wrapText="0"/>
    </xf>
    <xf borderId="127" fillId="27" fontId="8" numFmtId="49" xfId="0" applyAlignment="1" applyBorder="1" applyFont="1" applyNumberFormat="1">
      <alignment horizontal="center" shrinkToFit="0" vertical="center" wrapText="0"/>
    </xf>
    <xf borderId="0" fillId="0" fontId="8" numFmtId="164" xfId="0" applyAlignment="1" applyFont="1" applyNumberFormat="1">
      <alignment horizontal="center" shrinkToFit="0" vertical="bottom" wrapText="0"/>
    </xf>
    <xf borderId="41" fillId="0" fontId="8" numFmtId="49" xfId="0" applyAlignment="1" applyBorder="1" applyFont="1" applyNumberFormat="1">
      <alignment horizontal="center" shrinkToFit="0" vertical="center" wrapText="0"/>
    </xf>
    <xf borderId="40" fillId="26" fontId="8" numFmtId="0" xfId="0" applyAlignment="1" applyBorder="1" applyFont="1">
      <alignment shrinkToFit="0" vertical="bottom" wrapText="0"/>
    </xf>
    <xf borderId="82" fillId="0" fontId="8" numFmtId="0" xfId="0" applyAlignment="1" applyBorder="1" applyFont="1">
      <alignment shrinkToFit="0" vertical="bottom" wrapText="0"/>
    </xf>
    <xf borderId="68" fillId="0" fontId="8" numFmtId="0" xfId="0" applyAlignment="1" applyBorder="1" applyFont="1">
      <alignment horizontal="center" shrinkToFit="0" vertical="center" wrapText="0"/>
    </xf>
    <xf borderId="40" fillId="27" fontId="8" numFmtId="0" xfId="0" applyAlignment="1" applyBorder="1" applyFont="1">
      <alignment horizontal="center" shrinkToFit="0" vertical="center" wrapText="0"/>
    </xf>
    <xf borderId="40" fillId="27" fontId="8" numFmtId="0" xfId="0" applyAlignment="1" applyBorder="1" applyFont="1">
      <alignment horizontal="center" shrinkToFit="0" vertical="bottom" wrapText="0"/>
    </xf>
    <xf borderId="68" fillId="28" fontId="43" numFmtId="0" xfId="0" applyAlignment="1" applyBorder="1" applyFont="1">
      <alignment horizontal="center" shrinkToFit="0" vertical="center" wrapText="1"/>
    </xf>
    <xf borderId="82" fillId="27" fontId="23" numFmtId="0" xfId="0" applyAlignment="1" applyBorder="1" applyFont="1">
      <alignment horizontal="center" shrinkToFit="0" vertical="center" wrapText="0"/>
    </xf>
    <xf borderId="68" fillId="27" fontId="63" numFmtId="3" xfId="0" applyAlignment="1" applyBorder="1" applyFont="1" applyNumberForma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141" fillId="29" fontId="7" numFmtId="0" xfId="0" applyAlignment="1" applyBorder="1" applyFill="1" applyFont="1">
      <alignment horizontal="center" shrinkToFit="0" vertical="center" wrapText="0"/>
    </xf>
    <xf borderId="142" fillId="29" fontId="7" numFmtId="0" xfId="0" applyAlignment="1" applyBorder="1" applyFont="1">
      <alignment horizontal="center" shrinkToFit="0" vertical="center" wrapText="0"/>
    </xf>
    <xf borderId="143" fillId="0" fontId="3" numFmtId="0" xfId="0" applyBorder="1" applyFont="1"/>
    <xf borderId="144" fillId="0" fontId="3" numFmtId="0" xfId="0" applyBorder="1" applyFont="1"/>
    <xf borderId="145" fillId="0" fontId="3" numFmtId="0" xfId="0" applyBorder="1" applyFont="1"/>
    <xf borderId="146" fillId="0" fontId="3" numFmtId="0" xfId="0" applyBorder="1" applyFont="1"/>
    <xf borderId="147" fillId="29" fontId="29" numFmtId="0" xfId="0" applyAlignment="1" applyBorder="1" applyFont="1">
      <alignment horizontal="center" shrinkToFit="0" vertical="bottom" wrapText="1"/>
    </xf>
    <xf borderId="148" fillId="0" fontId="3" numFmtId="0" xfId="0" applyBorder="1" applyFont="1"/>
    <xf borderId="149" fillId="29" fontId="62" numFmtId="0" xfId="0" applyAlignment="1" applyBorder="1" applyFont="1">
      <alignment horizontal="center" shrinkToFit="0" vertical="top" wrapText="0"/>
    </xf>
    <xf borderId="141" fillId="29" fontId="8" numFmtId="176" xfId="0" applyAlignment="1" applyBorder="1" applyFont="1" applyNumberFormat="1">
      <alignment horizontal="center" shrinkToFit="0" vertical="center" wrapText="0"/>
    </xf>
    <xf borderId="150" fillId="29" fontId="8" numFmtId="0" xfId="0" applyAlignment="1" applyBorder="1" applyFont="1">
      <alignment horizontal="center" shrinkToFit="0" vertical="center" wrapText="0"/>
    </xf>
    <xf borderId="143" fillId="0" fontId="8" numFmtId="169" xfId="0" applyAlignment="1" applyBorder="1" applyFont="1" applyNumberFormat="1">
      <alignment horizontal="center" shrinkToFit="0" vertical="center" wrapText="0"/>
    </xf>
    <xf borderId="2" fillId="29" fontId="17" numFmtId="169" xfId="0" applyAlignment="1" applyBorder="1" applyFont="1" applyNumberFormat="1">
      <alignment horizontal="center" shrinkToFit="0" vertical="center" wrapText="0"/>
    </xf>
    <xf borderId="149" fillId="29" fontId="8" numFmtId="0" xfId="0" applyAlignment="1" applyBorder="1" applyFont="1">
      <alignment horizontal="center" shrinkToFit="0" vertical="center" wrapText="0"/>
    </xf>
    <xf borderId="147" fillId="29" fontId="8" numFmtId="0" xfId="0" applyAlignment="1" applyBorder="1" applyFont="1">
      <alignment horizontal="center" shrinkToFit="0" vertical="center" wrapText="0"/>
    </xf>
    <xf borderId="0" fillId="0" fontId="8" numFmtId="176" xfId="0" applyAlignment="1" applyFont="1" applyNumberFormat="1">
      <alignment shrinkToFit="0" vertical="bottom" wrapText="0"/>
    </xf>
    <xf borderId="0" fillId="0" fontId="8" numFmtId="169" xfId="0" applyAlignment="1" applyFont="1" applyNumberFormat="1">
      <alignment horizontal="center" shrinkToFit="0" vertical="center" wrapText="0"/>
    </xf>
    <xf borderId="151" fillId="0" fontId="8" numFmtId="169" xfId="0" applyAlignment="1" applyBorder="1" applyFont="1" applyNumberFormat="1">
      <alignment horizontal="center" shrinkToFit="0" vertical="center" wrapText="0"/>
    </xf>
    <xf borderId="72" fillId="0" fontId="8" numFmtId="169" xfId="0" applyAlignment="1" applyBorder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52" fillId="26" fontId="7" numFmtId="0" xfId="0" applyAlignment="1" applyBorder="1" applyFont="1">
      <alignment horizontal="center" shrinkToFit="0" vertical="center" wrapText="0"/>
    </xf>
    <xf borderId="152" fillId="8" fontId="7" numFmtId="0" xfId="0" applyAlignment="1" applyBorder="1" applyFont="1">
      <alignment horizontal="center" shrinkToFit="0" vertical="center" wrapText="0"/>
    </xf>
    <xf borderId="0" fillId="0" fontId="64" numFmtId="177" xfId="0" applyAlignment="1" applyFont="1" applyNumberFormat="1">
      <alignment horizontal="center" shrinkToFit="0" vertical="center" wrapText="0"/>
    </xf>
    <xf borderId="152" fillId="0" fontId="7" numFmtId="0" xfId="0" applyAlignment="1" applyBorder="1" applyFont="1">
      <alignment horizontal="center" shrinkToFit="0" vertical="center" wrapText="0"/>
    </xf>
    <xf borderId="1" fillId="8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2" fillId="26" fontId="7" numFmtId="0" xfId="0" applyAlignment="1" applyBorder="1" applyFont="1">
      <alignment horizontal="center" shrinkToFit="0" vertical="center" wrapText="0"/>
    </xf>
    <xf borderId="2" fillId="26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1"/>
    </xf>
    <xf borderId="2" fillId="8" fontId="7" numFmtId="0" xfId="0" applyAlignment="1" applyBorder="1" applyFont="1">
      <alignment horizontal="center" shrinkToFit="0" vertical="center" wrapText="1"/>
    </xf>
    <xf borderId="2" fillId="0" fontId="8" numFmtId="3" xfId="0" applyAlignment="1" applyBorder="1" applyFont="1" applyNumberFormat="1">
      <alignment horizontal="center" shrinkToFit="0" vertical="center" wrapText="0"/>
    </xf>
    <xf borderId="2" fillId="26" fontId="8" numFmtId="165" xfId="0" applyAlignment="1" applyBorder="1" applyFont="1" applyNumberFormat="1">
      <alignment horizontal="center" shrinkToFit="0" vertical="center" wrapText="0"/>
    </xf>
    <xf borderId="2" fillId="26" fontId="8" numFmtId="0" xfId="0" applyAlignment="1" applyBorder="1" applyFont="1">
      <alignment horizontal="center" shrinkToFit="0" vertical="center" wrapText="0"/>
    </xf>
    <xf borderId="2" fillId="0" fontId="8" numFmtId="165" xfId="0" applyAlignment="1" applyBorder="1" applyFont="1" applyNumberFormat="1">
      <alignment horizontal="center" shrinkToFit="0" vertical="center" wrapText="0"/>
    </xf>
    <xf borderId="2" fillId="0" fontId="8" numFmtId="0" xfId="0" applyAlignment="1" applyBorder="1" applyFont="1">
      <alignment horizontal="center" shrinkToFit="0" vertical="center" wrapText="0"/>
    </xf>
    <xf borderId="2" fillId="8" fontId="8" numFmtId="49" xfId="0" applyAlignment="1" applyBorder="1" applyFont="1" applyNumberFormat="1">
      <alignment horizontal="center" shrinkToFit="0" vertical="center" wrapText="0"/>
    </xf>
    <xf borderId="2" fillId="8" fontId="8" numFmtId="165" xfId="0" applyAlignment="1" applyBorder="1" applyFont="1" applyNumberFormat="1">
      <alignment horizontal="center" shrinkToFit="0" vertical="center" wrapText="0"/>
    </xf>
    <xf borderId="2" fillId="8" fontId="8" numFmtId="0" xfId="0" applyAlignment="1" applyBorder="1" applyFont="1">
      <alignment horizontal="center" shrinkToFit="0" vertical="center" wrapText="0"/>
    </xf>
    <xf borderId="153" fillId="9" fontId="65" numFmtId="0" xfId="0" applyAlignment="1" applyBorder="1" applyFont="1">
      <alignment horizontal="center" shrinkToFit="0" vertical="bottom" wrapText="0"/>
    </xf>
    <xf borderId="109" fillId="9" fontId="65" numFmtId="0" xfId="0" applyAlignment="1" applyBorder="1" applyFont="1">
      <alignment horizontal="center" shrinkToFit="0" vertical="bottom" wrapText="0"/>
    </xf>
    <xf borderId="154" fillId="9" fontId="65" numFmtId="0" xfId="0" applyAlignment="1" applyBorder="1" applyFont="1">
      <alignment horizontal="center" shrinkToFit="0" vertical="bottom" wrapText="0"/>
    </xf>
    <xf borderId="5" fillId="0" fontId="66" numFmtId="0" xfId="0" applyAlignment="1" applyBorder="1" applyFont="1">
      <alignment horizontal="center" shrinkToFit="0" vertical="center" wrapText="0"/>
    </xf>
    <xf borderId="155" fillId="0" fontId="67" numFmtId="177" xfId="0" applyAlignment="1" applyBorder="1" applyFont="1" applyNumberFormat="1">
      <alignment horizontal="center" shrinkToFit="0" vertical="top" wrapText="0"/>
    </xf>
    <xf borderId="89" fillId="0" fontId="3" numFmtId="0" xfId="0" applyBorder="1" applyFont="1"/>
    <xf borderId="116" fillId="9" fontId="65" numFmtId="0" xfId="0" applyAlignment="1" applyBorder="1" applyFont="1">
      <alignment horizontal="center" shrinkToFit="0" vertical="bottom" wrapText="0"/>
    </xf>
    <xf borderId="117" fillId="9" fontId="65" numFmtId="0" xfId="0" applyAlignment="1" applyBorder="1" applyFont="1">
      <alignment horizontal="center" shrinkToFit="0" vertical="bottom" wrapText="0"/>
    </xf>
    <xf borderId="119" fillId="9" fontId="65" numFmtId="0" xfId="0" applyAlignment="1" applyBorder="1" applyFont="1">
      <alignment horizontal="center" shrinkToFit="0" vertical="bottom" wrapText="0"/>
    </xf>
    <xf borderId="4" fillId="9" fontId="65" numFmtId="0" xfId="0" applyAlignment="1" applyBorder="1" applyFont="1">
      <alignment shrinkToFit="0" vertical="bottom" wrapText="0"/>
    </xf>
    <xf borderId="85" fillId="0" fontId="68" numFmtId="0" xfId="0" applyAlignment="1" applyBorder="1" applyFont="1">
      <alignment horizontal="center" shrinkToFit="0" textRotation="255" vertical="center" wrapText="0"/>
    </xf>
    <xf borderId="156" fillId="9" fontId="68" numFmtId="0" xfId="0" applyAlignment="1" applyBorder="1" applyFont="1">
      <alignment horizontal="center" shrinkToFit="0" vertical="center" wrapText="1"/>
    </xf>
    <xf borderId="157" fillId="0" fontId="3" numFmtId="0" xfId="0" applyBorder="1" applyFont="1"/>
    <xf borderId="120" fillId="9" fontId="68" numFmtId="0" xfId="0" applyAlignment="1" applyBorder="1" applyFont="1">
      <alignment horizontal="center" shrinkToFit="0" vertical="center" wrapText="1"/>
    </xf>
    <xf borderId="158" fillId="0" fontId="3" numFmtId="0" xfId="0" applyBorder="1" applyFont="1"/>
    <xf borderId="121" fillId="0" fontId="68" numFmtId="0" xfId="0" applyAlignment="1" applyBorder="1" applyFont="1">
      <alignment horizontal="center" shrinkToFit="0" vertical="center" wrapText="0"/>
    </xf>
    <xf borderId="0" fillId="0" fontId="68" numFmtId="0" xfId="0" applyAlignment="1" applyFont="1">
      <alignment horizontal="center" shrinkToFit="0" vertical="center" wrapText="0"/>
    </xf>
    <xf borderId="44" fillId="0" fontId="68" numFmtId="0" xfId="0" applyAlignment="1" applyBorder="1" applyFont="1">
      <alignment horizontal="center" shrinkToFit="0" vertical="center" wrapText="0"/>
    </xf>
    <xf borderId="42" fillId="0" fontId="68" numFmtId="0" xfId="0" applyAlignment="1" applyBorder="1" applyFont="1">
      <alignment horizontal="center" shrinkToFit="0" vertical="center" wrapText="0"/>
    </xf>
    <xf borderId="159" fillId="0" fontId="68" numFmtId="0" xfId="0" applyAlignment="1" applyBorder="1" applyFont="1">
      <alignment horizontal="center" shrinkToFit="0" vertical="center" wrapText="0"/>
    </xf>
    <xf borderId="160" fillId="0" fontId="3" numFmtId="0" xfId="0" applyBorder="1" applyFont="1"/>
    <xf borderId="118" fillId="0" fontId="68" numFmtId="0" xfId="0" applyAlignment="1" applyBorder="1" applyFont="1">
      <alignment horizontal="center" shrinkToFit="0" vertical="center" wrapText="0"/>
    </xf>
    <xf borderId="126" fillId="0" fontId="68" numFmtId="0" xfId="0" applyAlignment="1" applyBorder="1" applyFont="1">
      <alignment horizontal="center" shrinkToFit="0" vertical="center" wrapText="0"/>
    </xf>
    <xf borderId="88" fillId="0" fontId="68" numFmtId="0" xfId="0" applyAlignment="1" applyBorder="1" applyFont="1">
      <alignment horizontal="center" shrinkToFit="0" vertical="center" wrapText="0"/>
    </xf>
    <xf borderId="161" fillId="0" fontId="68" numFmtId="0" xfId="0" applyAlignment="1" applyBorder="1" applyFont="1">
      <alignment horizontal="center" shrinkToFit="0" vertical="center" wrapText="0"/>
    </xf>
    <xf borderId="126" fillId="0" fontId="69" numFmtId="0" xfId="0" applyAlignment="1" applyBorder="1" applyFont="1">
      <alignment horizontal="center" shrinkToFit="0" vertical="center" wrapText="0"/>
    </xf>
    <xf borderId="46" fillId="0" fontId="68" numFmtId="0" xfId="0" applyAlignment="1" applyBorder="1" applyFont="1">
      <alignment horizontal="center" shrinkToFit="0" vertical="center" wrapText="0"/>
    </xf>
    <xf borderId="120" fillId="0" fontId="70" numFmtId="0" xfId="0" applyAlignment="1" applyBorder="1" applyFont="1">
      <alignment horizontal="center" shrinkToFit="0" vertical="center" wrapText="0"/>
    </xf>
    <xf borderId="162" fillId="0" fontId="71" numFmtId="1" xfId="0" applyAlignment="1" applyBorder="1" applyFont="1" applyNumberFormat="1">
      <alignment horizontal="center" shrinkToFit="0" vertical="center" wrapText="0"/>
    </xf>
    <xf borderId="163" fillId="0" fontId="71" numFmtId="1" xfId="0" applyAlignment="1" applyBorder="1" applyFont="1" applyNumberFormat="1">
      <alignment horizontal="center" shrinkToFit="0" vertical="center" wrapText="0"/>
    </xf>
    <xf borderId="40" fillId="0" fontId="71" numFmtId="169" xfId="0" applyAlignment="1" applyBorder="1" applyFont="1" applyNumberFormat="1">
      <alignment horizontal="center" shrinkToFit="0" vertical="center" wrapText="0"/>
    </xf>
    <xf borderId="163" fillId="0" fontId="71" numFmtId="169" xfId="0" applyAlignment="1" applyBorder="1" applyFont="1" applyNumberFormat="1">
      <alignment horizontal="center" shrinkToFit="0" vertical="center" wrapText="0"/>
    </xf>
    <xf borderId="135" fillId="0" fontId="71" numFmtId="169" xfId="0" applyAlignment="1" applyBorder="1" applyFont="1" applyNumberFormat="1">
      <alignment horizontal="center" shrinkToFit="0" vertical="center" wrapText="0"/>
    </xf>
    <xf borderId="162" fillId="0" fontId="71" numFmtId="169" xfId="0" applyAlignment="1" applyBorder="1" applyFont="1" applyNumberFormat="1">
      <alignment horizontal="center" shrinkToFit="0" vertical="center" wrapText="0"/>
    </xf>
    <xf borderId="163" fillId="0" fontId="71" numFmtId="171" xfId="0" applyAlignment="1" applyBorder="1" applyFont="1" applyNumberFormat="1">
      <alignment horizontal="center" shrinkToFit="0" vertical="center" wrapText="0"/>
    </xf>
    <xf borderId="164" fillId="0" fontId="71" numFmtId="171" xfId="0" applyAlignment="1" applyBorder="1" applyFont="1" applyNumberFormat="1">
      <alignment horizontal="center" shrinkToFit="0" vertical="center" wrapText="0"/>
    </xf>
    <xf borderId="122" fillId="0" fontId="71" numFmtId="171" xfId="0" applyAlignment="1" applyBorder="1" applyFont="1" applyNumberFormat="1">
      <alignment horizontal="center" shrinkToFit="0" vertical="center" wrapText="0"/>
    </xf>
    <xf borderId="159" fillId="0" fontId="70" numFmtId="0" xfId="0" applyAlignment="1" applyBorder="1" applyFont="1">
      <alignment horizontal="center" shrinkToFit="0" vertical="center" wrapText="0"/>
    </xf>
    <xf borderId="91" fillId="0" fontId="71" numFmtId="1" xfId="0" applyAlignment="1" applyBorder="1" applyFont="1" applyNumberFormat="1">
      <alignment horizontal="center" shrinkToFit="0" vertical="center" wrapText="0"/>
    </xf>
    <xf borderId="40" fillId="0" fontId="71" numFmtId="1" xfId="0" applyAlignment="1" applyBorder="1" applyFont="1" applyNumberFormat="1">
      <alignment horizontal="center" shrinkToFit="0" vertical="center" wrapText="0"/>
    </xf>
    <xf borderId="42" fillId="0" fontId="71" numFmtId="169" xfId="0" applyAlignment="1" applyBorder="1" applyFont="1" applyNumberFormat="1">
      <alignment horizontal="center" shrinkToFit="0" vertical="center" wrapText="0"/>
    </xf>
    <xf borderId="91" fillId="0" fontId="71" numFmtId="169" xfId="0" applyAlignment="1" applyBorder="1" applyFont="1" applyNumberFormat="1">
      <alignment horizontal="center" shrinkToFit="0" vertical="center" wrapText="0"/>
    </xf>
    <xf borderId="40" fillId="0" fontId="71" numFmtId="171" xfId="0" applyAlignment="1" applyBorder="1" applyFont="1" applyNumberFormat="1">
      <alignment horizontal="center" shrinkToFit="0" vertical="center" wrapText="0"/>
    </xf>
    <xf borderId="45" fillId="0" fontId="71" numFmtId="171" xfId="0" applyAlignment="1" applyBorder="1" applyFont="1" applyNumberFormat="1">
      <alignment horizontal="center" shrinkToFit="0" vertical="center" wrapText="0"/>
    </xf>
    <xf borderId="41" fillId="0" fontId="71" numFmtId="171" xfId="0" applyAlignment="1" applyBorder="1" applyFont="1" applyNumberFormat="1">
      <alignment horizontal="center" shrinkToFit="0" vertical="center" wrapText="0"/>
    </xf>
    <xf borderId="42" fillId="0" fontId="71" numFmtId="171" xfId="0" applyAlignment="1" applyBorder="1" applyFont="1" applyNumberFormat="1">
      <alignment horizontal="center" shrinkToFit="0" vertical="center" wrapText="0"/>
    </xf>
    <xf borderId="91" fillId="0" fontId="71" numFmtId="171" xfId="0" applyAlignment="1" applyBorder="1" applyFont="1" applyNumberFormat="1">
      <alignment horizontal="center" shrinkToFit="0" vertical="center" wrapText="0"/>
    </xf>
    <xf borderId="40" fillId="0" fontId="68" numFmtId="169" xfId="0" applyAlignment="1" applyBorder="1" applyFont="1" applyNumberFormat="1">
      <alignment horizontal="center" shrinkToFit="0" vertical="center" wrapText="0"/>
    </xf>
    <xf borderId="17" fillId="0" fontId="70" numFmtId="0" xfId="0" applyAlignment="1" applyBorder="1" applyFont="1">
      <alignment horizontal="center" shrinkToFit="0" vertical="center" wrapText="0"/>
    </xf>
    <xf borderId="76" fillId="0" fontId="71" numFmtId="1" xfId="0" applyAlignment="1" applyBorder="1" applyFont="1" applyNumberFormat="1">
      <alignment horizontal="center" shrinkToFit="0" vertical="center" wrapText="0"/>
    </xf>
    <xf borderId="76" fillId="0" fontId="71" numFmtId="169" xfId="0" applyAlignment="1" applyBorder="1" applyFont="1" applyNumberFormat="1">
      <alignment horizontal="center" shrinkToFit="0" vertical="center" wrapText="0"/>
    </xf>
    <xf borderId="77" fillId="0" fontId="71" numFmtId="169" xfId="0" applyAlignment="1" applyBorder="1" applyFont="1" applyNumberFormat="1">
      <alignment horizontal="center" shrinkToFit="0" vertical="center" wrapText="0"/>
    </xf>
    <xf borderId="104" fillId="14" fontId="70" numFmtId="0" xfId="0" applyAlignment="1" applyBorder="1" applyFont="1">
      <alignment horizontal="center" shrinkToFit="0" vertical="center" wrapText="0"/>
    </xf>
    <xf borderId="165" fillId="0" fontId="72" numFmtId="1" xfId="0" applyAlignment="1" applyBorder="1" applyFont="1" applyNumberFormat="1">
      <alignment horizontal="center" shrinkToFit="0" vertical="center" wrapText="0"/>
    </xf>
    <xf borderId="166" fillId="0" fontId="72" numFmtId="1" xfId="0" applyAlignment="1" applyBorder="1" applyFont="1" applyNumberFormat="1">
      <alignment horizontal="center" shrinkToFit="0" vertical="center" wrapText="0"/>
    </xf>
    <xf borderId="167" fillId="0" fontId="72" numFmtId="1" xfId="0" applyAlignment="1" applyBorder="1" applyFont="1" applyNumberFormat="1">
      <alignment horizontal="center" shrinkToFit="0" vertical="center" wrapText="0"/>
    </xf>
    <xf borderId="68" fillId="0" fontId="72" numFmtId="1" xfId="0" applyAlignment="1" applyBorder="1" applyFont="1" applyNumberFormat="1">
      <alignment horizontal="center" shrinkToFit="0" vertical="center" wrapText="0"/>
    </xf>
    <xf borderId="69" fillId="0" fontId="72" numFmtId="1" xfId="0" applyAlignment="1" applyBorder="1" applyFont="1" applyNumberFormat="1">
      <alignment horizontal="center" shrinkToFit="0" vertical="center" wrapText="0"/>
    </xf>
    <xf borderId="70" fillId="0" fontId="72" numFmtId="1" xfId="0" applyAlignment="1" applyBorder="1" applyFont="1" applyNumberFormat="1">
      <alignment horizontal="center" shrinkToFit="0" vertical="center" wrapText="0"/>
    </xf>
    <xf borderId="68" fillId="0" fontId="72" numFmtId="0" xfId="0" applyAlignment="1" applyBorder="1" applyFont="1">
      <alignment horizontal="center" shrinkToFit="0" vertical="center" wrapText="0"/>
    </xf>
    <xf borderId="168" fillId="0" fontId="72" numFmtId="178" xfId="0" applyAlignment="1" applyBorder="1" applyFont="1" applyNumberFormat="1">
      <alignment horizontal="center" shrinkToFit="0" vertical="center" wrapText="0"/>
    </xf>
    <xf borderId="169" fillId="0" fontId="72" numFmtId="178" xfId="0" applyAlignment="1" applyBorder="1" applyFont="1" applyNumberFormat="1">
      <alignment horizontal="center" shrinkToFit="0" vertical="center" wrapText="0"/>
    </xf>
    <xf borderId="165" fillId="0" fontId="72" numFmtId="178" xfId="0" applyAlignment="1" applyBorder="1" applyFont="1" applyNumberFormat="1">
      <alignment horizontal="center" shrinkToFit="0" vertical="center" wrapText="0"/>
    </xf>
    <xf borderId="166" fillId="0" fontId="72" numFmtId="178" xfId="0" applyAlignment="1" applyBorder="1" applyFont="1" applyNumberFormat="1">
      <alignment horizontal="center" shrinkToFit="0" vertical="center" wrapText="0"/>
    </xf>
    <xf borderId="153" fillId="9" fontId="68" numFmtId="0" xfId="0" applyAlignment="1" applyBorder="1" applyFont="1">
      <alignment horizontal="left" shrinkToFit="0" vertical="bottom" wrapText="0"/>
    </xf>
    <xf borderId="109" fillId="9" fontId="68" numFmtId="0" xfId="0" applyAlignment="1" applyBorder="1" applyFont="1">
      <alignment horizontal="left" shrinkToFit="0" vertical="bottom" wrapText="0"/>
    </xf>
    <xf borderId="170" fillId="9" fontId="70" numFmtId="0" xfId="0" applyAlignment="1" applyBorder="1" applyFont="1">
      <alignment horizontal="left" shrinkToFit="0" vertical="bottom" wrapText="0"/>
    </xf>
    <xf borderId="171" fillId="0" fontId="3" numFmtId="0" xfId="0" applyBorder="1" applyFont="1"/>
    <xf borderId="172" fillId="0" fontId="3" numFmtId="0" xfId="0" applyBorder="1" applyFont="1"/>
    <xf borderId="173" fillId="9" fontId="68" numFmtId="0" xfId="0" applyAlignment="1" applyBorder="1" applyFont="1">
      <alignment horizontal="center" shrinkToFit="0" vertical="bottom" wrapText="0"/>
    </xf>
    <xf borderId="42" fillId="9" fontId="73" numFmtId="0" xfId="0" applyAlignment="1" applyBorder="1" applyFont="1">
      <alignment horizontal="left" shrinkToFit="0" vertical="bottom" wrapText="0"/>
    </xf>
    <xf borderId="4" fillId="9" fontId="68" numFmtId="0" xfId="0" applyAlignment="1" applyBorder="1" applyFont="1">
      <alignment horizontal="left" shrinkToFit="0" vertical="bottom" wrapText="0"/>
    </xf>
    <xf borderId="0" fillId="0" fontId="68" numFmtId="0" xfId="0" applyAlignment="1" applyFont="1">
      <alignment shrinkToFit="0" vertical="bottom" wrapText="0"/>
    </xf>
    <xf borderId="108" fillId="9" fontId="68" numFmtId="0" xfId="0" applyAlignment="1" applyBorder="1" applyFont="1">
      <alignment horizontal="left" shrinkToFit="0" vertical="bottom" wrapText="0"/>
    </xf>
    <xf borderId="174" fillId="9" fontId="68" numFmtId="0" xfId="0" applyAlignment="1" applyBorder="1" applyFont="1">
      <alignment horizontal="left" shrinkToFit="0" vertical="bottom" wrapText="0"/>
    </xf>
    <xf borderId="175" fillId="0" fontId="3" numFmtId="0" xfId="0" applyBorder="1" applyFont="1"/>
    <xf borderId="176" fillId="9" fontId="68" numFmtId="0" xfId="0" applyAlignment="1" applyBorder="1" applyFont="1">
      <alignment horizontal="center" shrinkToFit="0" vertical="bottom" wrapText="0"/>
    </xf>
    <xf borderId="177" fillId="0" fontId="3" numFmtId="0" xfId="0" applyBorder="1" applyFont="1"/>
    <xf borderId="178" fillId="0" fontId="3" numFmtId="0" xfId="0" applyBorder="1" applyFont="1"/>
    <xf borderId="179" fillId="9" fontId="68" numFmtId="0" xfId="0" applyAlignment="1" applyBorder="1" applyFont="1">
      <alignment shrinkToFit="0" vertical="bottom" wrapText="0"/>
    </xf>
    <xf borderId="180" fillId="9" fontId="68" numFmtId="0" xfId="0" applyAlignment="1" applyBorder="1" applyFont="1">
      <alignment shrinkToFit="0" vertical="bottom" wrapText="0"/>
    </xf>
    <xf borderId="104" fillId="9" fontId="68" numFmtId="0" xfId="0" applyAlignment="1" applyBorder="1" applyFont="1">
      <alignment shrinkToFit="0" vertical="bottom" wrapText="0"/>
    </xf>
    <xf borderId="4" fillId="9" fontId="68" numFmtId="0" xfId="0" applyAlignment="1" applyBorder="1" applyFont="1">
      <alignment shrinkToFit="0" vertical="bottom" wrapText="0"/>
    </xf>
    <xf borderId="4" fillId="9" fontId="68" numFmtId="0" xfId="0" applyAlignment="1" applyBorder="1" applyFont="1">
      <alignment shrinkToFit="0" vertical="top" wrapText="0"/>
    </xf>
    <xf borderId="4" fillId="9" fontId="65" numFmtId="0" xfId="0" applyAlignment="1" applyBorder="1" applyFont="1">
      <alignment horizontal="center" shrinkToFit="0" vertical="bottom" wrapText="0"/>
    </xf>
    <xf borderId="4" fillId="9" fontId="74" numFmtId="0" xfId="0" applyAlignment="1" applyBorder="1" applyFont="1">
      <alignment horizontal="center" shrinkToFit="0" vertical="bottom" wrapText="0"/>
    </xf>
    <xf borderId="108" fillId="9" fontId="65" numFmtId="0" xfId="0" applyAlignment="1" applyBorder="1" applyFont="1">
      <alignment horizontal="center" shrinkToFit="0" vertical="bottom" wrapText="0"/>
    </xf>
    <xf borderId="116" fillId="9" fontId="68" numFmtId="0" xfId="0" applyAlignment="1" applyBorder="1" applyFont="1">
      <alignment shrinkToFit="0" vertical="bottom" wrapText="0"/>
    </xf>
    <xf borderId="117" fillId="9" fontId="68" numFmtId="0" xfId="0" applyAlignment="1" applyBorder="1" applyFont="1">
      <alignment shrinkToFit="0" vertical="bottom" wrapText="0"/>
    </xf>
    <xf borderId="176" fillId="9" fontId="68" numFmtId="0" xfId="0" applyAlignment="1" applyBorder="1" applyFont="1">
      <alignment horizontal="left" shrinkToFit="0" vertical="top" wrapText="0"/>
    </xf>
    <xf borderId="68" fillId="0" fontId="70" numFmtId="0" xfId="0" applyAlignment="1" applyBorder="1" applyFont="1">
      <alignment horizontal="center" shrinkToFit="0" vertical="bottom" wrapText="0"/>
    </xf>
    <xf borderId="68" fillId="0" fontId="75" numFmtId="0" xfId="0" applyAlignment="1" applyBorder="1" applyFont="1">
      <alignment horizontal="center" shrinkToFit="0" vertical="bottom" wrapText="0"/>
    </xf>
    <xf borderId="0" fillId="0" fontId="75" numFmtId="0" xfId="0" applyAlignment="1" applyFont="1">
      <alignment shrinkToFit="0" vertical="bottom" wrapText="0"/>
    </xf>
    <xf borderId="68" fillId="0" fontId="76" numFmtId="0" xfId="0" applyAlignment="1" applyBorder="1" applyFont="1">
      <alignment horizontal="center" shrinkToFit="0" vertical="bottom" wrapText="0"/>
    </xf>
    <xf borderId="17" fillId="0" fontId="75" numFmtId="0" xfId="0" applyAlignment="1" applyBorder="1" applyFont="1">
      <alignment shrinkToFit="0" vertical="bottom" wrapText="0"/>
    </xf>
    <xf borderId="40" fillId="0" fontId="68" numFmtId="171" xfId="0" applyAlignment="1" applyBorder="1" applyFont="1" applyNumberFormat="1">
      <alignment shrinkToFit="0" vertical="bottom" wrapText="0"/>
    </xf>
    <xf borderId="32" fillId="0" fontId="68" numFmtId="171" xfId="0" applyAlignment="1" applyBorder="1" applyFont="1" applyNumberFormat="1">
      <alignment shrinkToFit="0" vertical="bottom" wrapText="0"/>
    </xf>
    <xf borderId="91" fillId="0" fontId="68" numFmtId="1" xfId="0" applyAlignment="1" applyBorder="1" applyFont="1" applyNumberFormat="1">
      <alignment horizontal="center" shrinkToFit="0" vertical="center" wrapText="0"/>
    </xf>
    <xf borderId="40" fillId="0" fontId="68" numFmtId="1" xfId="0" applyAlignment="1" applyBorder="1" applyFont="1" applyNumberFormat="1">
      <alignment shrinkToFit="0" vertical="bottom" wrapText="0"/>
    </xf>
    <xf borderId="40" fillId="0" fontId="68" numFmtId="1" xfId="0" applyAlignment="1" applyBorder="1" applyFont="1" applyNumberFormat="1">
      <alignment horizontal="center" shrinkToFit="0" vertical="bottom" wrapText="0"/>
    </xf>
    <xf borderId="40" fillId="0" fontId="68" numFmtId="169" xfId="0" applyAlignment="1" applyBorder="1" applyFont="1" applyNumberFormat="1">
      <alignment shrinkToFit="0" vertical="bottom" wrapText="0"/>
    </xf>
    <xf borderId="40" fillId="0" fontId="68" numFmtId="0" xfId="0" applyAlignment="1" applyBorder="1" applyFont="1">
      <alignment shrinkToFit="0" vertical="bottom" wrapText="0"/>
    </xf>
    <xf borderId="40" fillId="0" fontId="68" numFmtId="0" xfId="0" applyAlignment="1" applyBorder="1" applyFont="1">
      <alignment horizontal="center" shrinkToFit="0" vertical="bottom" wrapText="0"/>
    </xf>
    <xf borderId="76" fillId="0" fontId="68" numFmtId="0" xfId="0" applyAlignment="1" applyBorder="1" applyFont="1">
      <alignment shrinkToFit="0" vertical="bottom" wrapText="0"/>
    </xf>
    <xf borderId="76" fillId="0" fontId="68" numFmtId="0" xfId="0" applyAlignment="1" applyBorder="1" applyFont="1">
      <alignment horizontal="center" shrinkToFit="0" vertical="bottom" wrapText="0"/>
    </xf>
    <xf borderId="82" fillId="0" fontId="70" numFmtId="0" xfId="0" applyAlignment="1" applyBorder="1" applyFont="1">
      <alignment shrinkToFit="0" vertical="bottom" wrapText="0"/>
    </xf>
    <xf borderId="70" fillId="0" fontId="70" numFmtId="0" xfId="0" applyAlignment="1" applyBorder="1" applyFont="1">
      <alignment horizontal="center" shrinkToFit="0" vertical="bottom" wrapText="0"/>
    </xf>
    <xf borderId="81" fillId="0" fontId="75" numFmtId="0" xfId="0" applyAlignment="1" applyBorder="1" applyFont="1">
      <alignment horizontal="left" shrinkToFit="0" vertical="bottom" wrapText="0"/>
    </xf>
    <xf borderId="81" fillId="0" fontId="75" numFmtId="0" xfId="0" applyAlignment="1" applyBorder="1" applyFont="1">
      <alignment shrinkToFit="0" vertical="bottom" wrapText="0"/>
    </xf>
    <xf borderId="82" fillId="0" fontId="75" numFmtId="0" xfId="0" applyAlignment="1" applyBorder="1" applyFont="1">
      <alignment horizontal="center" shrinkToFit="0" vertical="bottom" wrapText="0"/>
    </xf>
    <xf borderId="81" fillId="0" fontId="75" numFmtId="0" xfId="0" applyAlignment="1" applyBorder="1" applyFont="1">
      <alignment horizontal="center" shrinkToFit="0" vertical="bottom" wrapText="0"/>
    </xf>
    <xf borderId="82" fillId="0" fontId="68" numFmtId="171" xfId="0" applyAlignment="1" applyBorder="1" applyFont="1" applyNumberFormat="1">
      <alignment horizontal="center" shrinkToFit="0" vertical="bottom" wrapText="0"/>
    </xf>
    <xf borderId="82" fillId="0" fontId="68" numFmtId="1" xfId="0" applyAlignment="1" applyBorder="1" applyFont="1" applyNumberFormat="1">
      <alignment horizontal="center" shrinkToFit="0" vertical="bottom" wrapText="0"/>
    </xf>
    <xf borderId="82" fillId="0" fontId="70" numFmtId="171" xfId="0" applyAlignment="1" applyBorder="1" applyFont="1" applyNumberFormat="1">
      <alignment horizontal="center" shrinkToFit="0" vertical="bottom" wrapText="0"/>
    </xf>
    <xf borderId="82" fillId="0" fontId="68" numFmtId="169" xfId="0" applyAlignment="1" applyBorder="1" applyFont="1" applyNumberFormat="1">
      <alignment horizontal="center" shrinkToFit="0" vertical="bottom" wrapText="0"/>
    </xf>
    <xf borderId="82" fillId="0" fontId="68" numFmtId="0" xfId="0" applyAlignment="1" applyBorder="1" applyFont="1">
      <alignment horizontal="center" shrinkToFit="0" vertical="bottom" wrapText="0"/>
    </xf>
    <xf borderId="5" fillId="0" fontId="77" numFmtId="0" xfId="0" applyAlignment="1" applyBorder="1" applyFont="1">
      <alignment horizontal="center" shrinkToFit="0" vertical="top" wrapText="1"/>
    </xf>
    <xf borderId="68" fillId="0" fontId="67" numFmtId="177" xfId="0" applyAlignment="1" applyBorder="1" applyFont="1" applyNumberFormat="1">
      <alignment horizontal="center" shrinkToFit="0" vertical="top" wrapText="0"/>
    </xf>
    <xf borderId="108" fillId="9" fontId="65" numFmtId="0" xfId="0" applyAlignment="1" applyBorder="1" applyFont="1">
      <alignment shrinkToFit="0" vertical="bottom" wrapText="0"/>
    </xf>
    <xf borderId="135" fillId="0" fontId="68" numFmtId="0" xfId="0" applyAlignment="1" applyBorder="1" applyFont="1">
      <alignment horizontal="center" shrinkToFit="0" vertical="center" wrapText="0"/>
    </xf>
    <xf borderId="87" fillId="0" fontId="68" numFmtId="0" xfId="0" applyAlignment="1" applyBorder="1" applyFont="1">
      <alignment horizontal="center" shrinkToFit="0" vertical="bottom" wrapText="1"/>
    </xf>
    <xf borderId="77" fillId="0" fontId="68" numFmtId="0" xfId="0" applyAlignment="1" applyBorder="1" applyFont="1">
      <alignment horizontal="center" shrinkToFit="0" vertical="bottom" wrapText="1"/>
    </xf>
    <xf borderId="76" fillId="0" fontId="68" numFmtId="0" xfId="0" applyAlignment="1" applyBorder="1" applyFont="1">
      <alignment horizontal="center" shrinkToFit="0" vertical="center" wrapText="0"/>
    </xf>
    <xf borderId="181" fillId="0" fontId="68" numFmtId="0" xfId="0" applyAlignment="1" applyBorder="1" applyFont="1">
      <alignment horizontal="center" shrinkToFit="0" vertical="center" wrapText="0"/>
    </xf>
    <xf borderId="39" fillId="0" fontId="48" numFmtId="0" xfId="0" applyAlignment="1" applyBorder="1" applyFont="1">
      <alignment horizontal="center" shrinkToFit="0" vertical="top" wrapText="0"/>
    </xf>
    <xf borderId="47" fillId="0" fontId="48" numFmtId="0" xfId="0" applyAlignment="1" applyBorder="1" applyFont="1">
      <alignment horizontal="center" shrinkToFit="0" vertical="top" wrapText="0"/>
    </xf>
    <xf borderId="182" fillId="0" fontId="3" numFmtId="0" xfId="0" applyBorder="1" applyFont="1"/>
    <xf borderId="169" fillId="0" fontId="3" numFmtId="0" xfId="0" applyBorder="1" applyFont="1"/>
    <xf borderId="183" fillId="0" fontId="3" numFmtId="0" xfId="0" applyBorder="1" applyFont="1"/>
    <xf borderId="120" fillId="0" fontId="68" numFmtId="0" xfId="0" applyAlignment="1" applyBorder="1" applyFont="1">
      <alignment horizontal="center" shrinkToFit="0" vertical="center" wrapText="0"/>
    </xf>
    <xf borderId="162" fillId="0" fontId="68" numFmtId="171" xfId="0" applyAlignment="1" applyBorder="1" applyFont="1" applyNumberFormat="1">
      <alignment horizontal="center" shrinkToFit="0" vertical="center" wrapText="0"/>
    </xf>
    <xf borderId="163" fillId="0" fontId="68" numFmtId="171" xfId="0" applyAlignment="1" applyBorder="1" applyFont="1" applyNumberFormat="1">
      <alignment horizontal="center" shrinkToFit="0" vertical="center" wrapText="0"/>
    </xf>
    <xf borderId="163" fillId="0" fontId="68" numFmtId="169" xfId="0" applyAlignment="1" applyBorder="1" applyFont="1" applyNumberFormat="1">
      <alignment horizontal="center" shrinkToFit="0" vertical="center" wrapText="0"/>
    </xf>
    <xf borderId="163" fillId="0" fontId="71" numFmtId="2" xfId="0" applyAlignment="1" applyBorder="1" applyFont="1" applyNumberFormat="1">
      <alignment horizontal="center" shrinkToFit="0" vertical="center" wrapText="0"/>
    </xf>
    <xf borderId="164" fillId="0" fontId="71" numFmtId="2" xfId="0" applyAlignment="1" applyBorder="1" applyFont="1" applyNumberFormat="1">
      <alignment horizontal="center" shrinkToFit="0" vertical="center" wrapText="0"/>
    </xf>
    <xf borderId="91" fillId="0" fontId="68" numFmtId="171" xfId="0" applyAlignment="1" applyBorder="1" applyFont="1" applyNumberFormat="1">
      <alignment horizontal="center" shrinkToFit="0" vertical="center" wrapText="0"/>
    </xf>
    <xf borderId="40" fillId="0" fontId="68" numFmtId="171" xfId="0" applyAlignment="1" applyBorder="1" applyFont="1" applyNumberFormat="1">
      <alignment horizontal="center" shrinkToFit="0" vertical="center" wrapText="0"/>
    </xf>
    <xf borderId="40" fillId="0" fontId="71" numFmtId="2" xfId="0" applyAlignment="1" applyBorder="1" applyFont="1" applyNumberFormat="1">
      <alignment horizontal="center" shrinkToFit="0" vertical="center" wrapText="0"/>
    </xf>
    <xf borderId="45" fillId="0" fontId="71" numFmtId="2" xfId="0" applyAlignment="1" applyBorder="1" applyFont="1" applyNumberFormat="1">
      <alignment horizontal="center" shrinkToFit="0" vertical="center" wrapText="0"/>
    </xf>
    <xf borderId="165" fillId="0" fontId="72" numFmtId="0" xfId="0" applyAlignment="1" applyBorder="1" applyFont="1">
      <alignment shrinkToFit="0" vertical="center" wrapText="0"/>
    </xf>
    <xf borderId="166" fillId="0" fontId="72" numFmtId="179" xfId="0" applyAlignment="1" applyBorder="1" applyFont="1" applyNumberFormat="1">
      <alignment horizontal="center" shrinkToFit="0" vertical="center" wrapText="0"/>
    </xf>
    <xf borderId="153" fillId="9" fontId="68" numFmtId="0" xfId="0" applyAlignment="1" applyBorder="1" applyFont="1">
      <alignment shrinkToFit="0" vertical="bottom" wrapText="0"/>
    </xf>
    <xf borderId="109" fillId="9" fontId="68" numFmtId="0" xfId="0" applyAlignment="1" applyBorder="1" applyFont="1">
      <alignment shrinkToFit="0" vertical="bottom" wrapText="0"/>
    </xf>
    <xf borderId="108" fillId="9" fontId="74" numFmtId="0" xfId="0" applyAlignment="1" applyBorder="1" applyFont="1">
      <alignment horizontal="center" shrinkToFit="0" vertical="bottom" wrapText="0"/>
    </xf>
    <xf borderId="138" fillId="9" fontId="68" numFmtId="0" xfId="0" applyAlignment="1" applyBorder="1" applyFont="1">
      <alignment horizontal="left" shrinkToFit="0" vertical="top" wrapText="0"/>
    </xf>
    <xf borderId="184" fillId="0" fontId="3" numFmtId="0" xfId="0" applyBorder="1" applyFont="1"/>
    <xf borderId="2" fillId="9" fontId="65" numFmtId="0" xfId="0" applyAlignment="1" applyBorder="1" applyFont="1">
      <alignment horizontal="center" shrinkToFit="0" vertical="bottom" wrapText="0"/>
    </xf>
    <xf borderId="185" fillId="0" fontId="66" numFmtId="0" xfId="0" applyAlignment="1" applyBorder="1" applyFont="1">
      <alignment horizontal="center" shrinkToFit="0" vertical="center" wrapText="0"/>
    </xf>
    <xf borderId="151" fillId="0" fontId="3" numFmtId="0" xfId="0" applyBorder="1" applyFont="1"/>
    <xf borderId="186" fillId="0" fontId="3" numFmtId="0" xfId="0" applyBorder="1" applyFont="1"/>
    <xf borderId="152" fillId="0" fontId="67" numFmtId="177" xfId="0" applyAlignment="1" applyBorder="1" applyFont="1" applyNumberFormat="1">
      <alignment horizontal="center" shrinkToFit="0" vertical="top" wrapText="0"/>
    </xf>
    <xf borderId="2" fillId="0" fontId="8" numFmtId="0" xfId="0" applyAlignment="1" applyBorder="1" applyFont="1">
      <alignment shrinkToFit="0" vertical="bottom" wrapText="0"/>
    </xf>
    <xf borderId="71" fillId="0" fontId="3" numFmtId="0" xfId="0" applyBorder="1" applyFont="1"/>
    <xf borderId="2" fillId="0" fontId="8" numFmtId="177" xfId="0" applyAlignment="1" applyBorder="1" applyFont="1" applyNumberFormat="1">
      <alignment shrinkToFit="0" vertical="bottom" wrapText="0"/>
    </xf>
    <xf borderId="2" fillId="9" fontId="65" numFmtId="0" xfId="0" applyAlignment="1" applyBorder="1" applyFont="1">
      <alignment shrinkToFit="0" vertical="bottom" wrapText="0"/>
    </xf>
    <xf borderId="2" fillId="9" fontId="68" numFmtId="0" xfId="0" applyAlignment="1" applyBorder="1" applyFont="1">
      <alignment shrinkToFit="0" vertical="bottom" wrapText="0"/>
    </xf>
    <xf borderId="1" fillId="0" fontId="68" numFmtId="0" xfId="0" applyAlignment="1" applyBorder="1" applyFont="1">
      <alignment horizontal="center" shrinkToFit="0" textRotation="255" vertical="center" wrapText="0"/>
    </xf>
    <xf borderId="152" fillId="30" fontId="69" numFmtId="0" xfId="0" applyAlignment="1" applyBorder="1" applyFill="1" applyFont="1">
      <alignment horizontal="center" shrinkToFit="0" vertical="center" wrapText="1"/>
    </xf>
    <xf borderId="152" fillId="0" fontId="69" numFmtId="0" xfId="0" applyAlignment="1" applyBorder="1" applyFont="1">
      <alignment horizontal="center" shrinkToFit="0" vertical="center" wrapText="0"/>
    </xf>
    <xf borderId="152" fillId="9" fontId="69" numFmtId="0" xfId="0" applyAlignment="1" applyBorder="1" applyFont="1">
      <alignment horizontal="center" shrinkToFit="0" vertical="center" wrapText="1"/>
    </xf>
    <xf borderId="185" fillId="8" fontId="69" numFmtId="0" xfId="0" applyAlignment="1" applyBorder="1" applyFont="1">
      <alignment horizontal="center" shrinkToFit="0" vertical="center" wrapText="1"/>
    </xf>
    <xf borderId="1" fillId="0" fontId="74" numFmtId="0" xfId="0" applyAlignment="1" applyBorder="1" applyFont="1">
      <alignment horizontal="center" shrinkToFit="0" vertical="center" wrapText="1"/>
    </xf>
    <xf borderId="1" fillId="31" fontId="76" numFmtId="0" xfId="0" applyAlignment="1" applyBorder="1" applyFill="1" applyFont="1">
      <alignment shrinkToFit="0" vertical="center" wrapText="1"/>
    </xf>
    <xf borderId="1" fillId="32" fontId="76" numFmtId="0" xfId="0" applyAlignment="1" applyBorder="1" applyFill="1" applyFont="1">
      <alignment shrinkToFit="0" vertical="center" wrapText="1"/>
    </xf>
    <xf borderId="1" fillId="33" fontId="76" numFmtId="0" xfId="0" applyAlignment="1" applyBorder="1" applyFill="1" applyFont="1">
      <alignment shrinkToFit="0" vertical="center" wrapText="1"/>
    </xf>
    <xf borderId="1" fillId="33" fontId="69" numFmtId="0" xfId="0" applyAlignment="1" applyBorder="1" applyFont="1">
      <alignment shrinkToFit="0" vertical="center" wrapText="1"/>
    </xf>
    <xf borderId="1" fillId="8" fontId="74" numFmtId="0" xfId="0" applyAlignment="1" applyBorder="1" applyFont="1">
      <alignment shrinkToFit="0" vertical="center" wrapText="1"/>
    </xf>
    <xf borderId="1" fillId="8" fontId="76" numFmtId="0" xfId="0" applyAlignment="1" applyBorder="1" applyFont="1">
      <alignment shrinkToFit="0" vertical="center" wrapText="1"/>
    </xf>
    <xf borderId="152" fillId="34" fontId="72" numFmtId="0" xfId="0" applyAlignment="1" applyBorder="1" applyFill="1" applyFont="1">
      <alignment horizontal="center" shrinkToFit="0" vertical="center" wrapText="1"/>
    </xf>
    <xf borderId="152" fillId="35" fontId="73" numFmtId="0" xfId="0" applyAlignment="1" applyBorder="1" applyFill="1" applyFont="1">
      <alignment horizontal="center" shrinkToFit="0" vertical="center" wrapText="1"/>
    </xf>
    <xf borderId="2" fillId="30" fontId="69" numFmtId="0" xfId="0" applyAlignment="1" applyBorder="1" applyFont="1">
      <alignment horizontal="center" shrinkToFit="0" vertical="center" wrapText="1"/>
    </xf>
    <xf borderId="2" fillId="30" fontId="68" numFmtId="0" xfId="0" applyAlignment="1" applyBorder="1" applyFont="1">
      <alignment horizontal="center" shrinkToFit="0" vertical="center" wrapText="1"/>
    </xf>
    <xf borderId="2" fillId="0" fontId="69" numFmtId="0" xfId="0" applyAlignment="1" applyBorder="1" applyFont="1">
      <alignment horizontal="center" shrinkToFit="0" vertical="center" wrapText="1"/>
    </xf>
    <xf borderId="152" fillId="0" fontId="69" numFmtId="0" xfId="0" applyAlignment="1" applyBorder="1" applyFont="1">
      <alignment horizontal="center" shrinkToFit="0" vertical="center" wrapText="1"/>
    </xf>
    <xf borderId="1" fillId="9" fontId="69" numFmtId="0" xfId="0" applyAlignment="1" applyBorder="1" applyFont="1">
      <alignment horizontal="center" shrinkToFit="0" vertical="center" wrapText="1"/>
    </xf>
    <xf borderId="1" fillId="0" fontId="69" numFmtId="0" xfId="0" applyAlignment="1" applyBorder="1" applyFont="1">
      <alignment horizontal="center" shrinkToFit="0" textRotation="90" vertical="center" wrapText="1"/>
    </xf>
    <xf borderId="1" fillId="0" fontId="74" numFmtId="0" xfId="0" applyAlignment="1" applyBorder="1" applyFont="1">
      <alignment horizontal="center" shrinkToFit="0" textRotation="90" vertical="center" wrapText="1"/>
    </xf>
    <xf borderId="1" fillId="34" fontId="75" numFmtId="0" xfId="0" applyAlignment="1" applyBorder="1" applyFont="1">
      <alignment horizontal="center" shrinkToFit="0" vertical="center" wrapText="1"/>
    </xf>
    <xf borderId="1" fillId="35" fontId="73" numFmtId="0" xfId="0" applyAlignment="1" applyBorder="1" applyFont="1">
      <alignment horizontal="center" shrinkToFit="0" vertical="center" wrapText="1"/>
    </xf>
    <xf borderId="2" fillId="30" fontId="69" numFmtId="0" xfId="0" applyAlignment="1" applyBorder="1" applyFont="1">
      <alignment horizontal="center" shrinkToFit="0" vertical="center" wrapText="0"/>
    </xf>
    <xf borderId="2" fillId="0" fontId="69" numFmtId="0" xfId="0" applyAlignment="1" applyBorder="1" applyFont="1">
      <alignment horizontal="center" shrinkToFit="0" vertical="center" wrapText="0"/>
    </xf>
    <xf borderId="2" fillId="8" fontId="69" numFmtId="0" xfId="0" applyAlignment="1" applyBorder="1" applyFont="1">
      <alignment horizontal="center" shrinkToFit="0" vertical="center" wrapText="0"/>
    </xf>
    <xf borderId="2" fillId="0" fontId="68" numFmtId="0" xfId="0" applyAlignment="1" applyBorder="1" applyFont="1">
      <alignment horizontal="center" shrinkToFit="0" vertical="center" wrapText="0"/>
    </xf>
    <xf borderId="2" fillId="30" fontId="71" numFmtId="171" xfId="0" applyAlignment="1" applyBorder="1" applyFont="1" applyNumberFormat="1">
      <alignment horizontal="center" shrinkToFit="0" vertical="center" wrapText="0"/>
    </xf>
    <xf borderId="2" fillId="0" fontId="71" numFmtId="3" xfId="0" applyAlignment="1" applyBorder="1" applyFont="1" applyNumberFormat="1">
      <alignment horizontal="center" shrinkToFit="0" vertical="center" wrapText="0"/>
    </xf>
    <xf borderId="2" fillId="0" fontId="71" numFmtId="171" xfId="0" applyAlignment="1" applyBorder="1" applyFont="1" applyNumberFormat="1">
      <alignment horizontal="center" shrinkToFit="0" vertical="center" wrapText="0"/>
    </xf>
    <xf borderId="2" fillId="0" fontId="71" numFmtId="1" xfId="0" applyAlignment="1" applyBorder="1" applyFont="1" applyNumberFormat="1">
      <alignment horizontal="center" shrinkToFit="0" vertical="center" wrapText="0"/>
    </xf>
    <xf borderId="2" fillId="0" fontId="71" numFmtId="169" xfId="0" applyAlignment="1" applyBorder="1" applyFont="1" applyNumberFormat="1">
      <alignment horizontal="center" shrinkToFit="0" vertical="center" wrapText="0"/>
    </xf>
    <xf borderId="2" fillId="8" fontId="71" numFmtId="171" xfId="0" applyAlignment="1" applyBorder="1" applyFont="1" applyNumberFormat="1">
      <alignment horizontal="center" shrinkToFit="0" vertical="center" wrapText="0"/>
    </xf>
    <xf borderId="2" fillId="0" fontId="78" numFmtId="166" xfId="0" applyAlignment="1" applyBorder="1" applyFont="1" applyNumberFormat="1">
      <alignment horizontal="center" shrinkToFit="0" vertical="center" wrapText="0"/>
    </xf>
    <xf borderId="2" fillId="0" fontId="68" numFmtId="180" xfId="0" applyAlignment="1" applyBorder="1" applyFont="1" applyNumberFormat="1">
      <alignment horizontal="center" shrinkToFit="0" vertical="center" wrapText="0"/>
    </xf>
    <xf borderId="2" fillId="0" fontId="68" numFmtId="3" xfId="0" applyAlignment="1" applyBorder="1" applyFont="1" applyNumberFormat="1">
      <alignment horizontal="center" shrinkToFit="0" vertical="center" wrapText="0"/>
    </xf>
    <xf borderId="2" fillId="31" fontId="71" numFmtId="1" xfId="0" applyAlignment="1" applyBorder="1" applyFont="1" applyNumberFormat="1">
      <alignment horizontal="center" shrinkToFit="0" vertical="center" wrapText="0"/>
    </xf>
    <xf borderId="2" fillId="32" fontId="8" numFmtId="1" xfId="0" applyAlignment="1" applyBorder="1" applyFont="1" applyNumberFormat="1">
      <alignment horizontal="center" shrinkToFit="0" vertical="bottom" wrapText="0"/>
    </xf>
    <xf borderId="2" fillId="33" fontId="71" numFmtId="1" xfId="0" applyAlignment="1" applyBorder="1" applyFont="1" applyNumberFormat="1">
      <alignment horizontal="center" shrinkToFit="0" vertical="bottom" wrapText="0"/>
    </xf>
    <xf borderId="2" fillId="8" fontId="71" numFmtId="1" xfId="0" applyAlignment="1" applyBorder="1" applyFont="1" applyNumberFormat="1">
      <alignment horizontal="center" shrinkToFit="0" vertical="center" wrapText="0"/>
    </xf>
    <xf borderId="2" fillId="8" fontId="8" numFmtId="1" xfId="0" applyAlignment="1" applyBorder="1" applyFont="1" applyNumberFormat="1">
      <alignment horizontal="center" shrinkToFit="0" vertical="bottom" wrapText="0"/>
    </xf>
    <xf borderId="2" fillId="34" fontId="8" numFmtId="1" xfId="0" applyAlignment="1" applyBorder="1" applyFont="1" applyNumberFormat="1">
      <alignment horizontal="center" shrinkToFit="0" vertical="bottom" wrapText="0"/>
    </xf>
    <xf borderId="2" fillId="35" fontId="8" numFmtId="1" xfId="0" applyAlignment="1" applyBorder="1" applyFont="1" applyNumberFormat="1">
      <alignment horizontal="center" shrinkToFit="0" vertical="bottom" wrapText="0"/>
    </xf>
    <xf borderId="2" fillId="35" fontId="8" numFmtId="2" xfId="0" applyAlignment="1" applyBorder="1" applyFont="1" applyNumberFormat="1">
      <alignment horizontal="center" shrinkToFit="0" vertical="center" wrapText="0"/>
    </xf>
    <xf borderId="2" fillId="30" fontId="71" numFmtId="169" xfId="0" applyAlignment="1" applyBorder="1" applyFont="1" applyNumberFormat="1">
      <alignment horizontal="center" shrinkToFit="0" vertical="center" wrapText="0"/>
    </xf>
    <xf borderId="2" fillId="30" fontId="71" numFmtId="2" xfId="0" applyAlignment="1" applyBorder="1" applyFont="1" applyNumberFormat="1">
      <alignment horizontal="center" shrinkToFit="0" vertical="center" wrapText="0"/>
    </xf>
    <xf borderId="2" fillId="0" fontId="70" numFmtId="0" xfId="0" applyAlignment="1" applyBorder="1" applyFont="1">
      <alignment horizontal="center" shrinkToFit="0" vertical="center" wrapText="0"/>
    </xf>
    <xf borderId="0" fillId="0" fontId="78" numFmtId="166" xfId="0" applyAlignment="1" applyFont="1" applyNumberFormat="1">
      <alignment horizontal="center" shrinkToFit="0" vertical="center" wrapText="0"/>
    </xf>
    <xf borderId="152" fillId="0" fontId="71" numFmtId="1" xfId="0" applyAlignment="1" applyBorder="1" applyFont="1" applyNumberFormat="1">
      <alignment horizontal="center" shrinkToFit="0" vertical="center" wrapText="0"/>
    </xf>
    <xf borderId="2" fillId="0" fontId="72" numFmtId="0" xfId="0" applyAlignment="1" applyBorder="1" applyFont="1">
      <alignment horizontal="center" shrinkToFit="0" vertical="center" wrapText="0"/>
    </xf>
    <xf borderId="2" fillId="0" fontId="72" numFmtId="0" xfId="0" applyAlignment="1" applyBorder="1" applyFont="1">
      <alignment shrinkToFit="0" vertical="center" wrapText="0"/>
    </xf>
    <xf borderId="152" fillId="0" fontId="72" numFmtId="3" xfId="0" applyAlignment="1" applyBorder="1" applyFont="1" applyNumberFormat="1">
      <alignment horizontal="center" shrinkToFit="0" vertical="center" wrapText="0"/>
    </xf>
    <xf borderId="152" fillId="0" fontId="75" numFmtId="3" xfId="0" applyAlignment="1" applyBorder="1" applyFont="1" applyNumberFormat="1">
      <alignment horizontal="center" shrinkToFit="0" vertical="center" wrapText="1"/>
    </xf>
    <xf borderId="2" fillId="0" fontId="72" numFmtId="3" xfId="0" applyAlignment="1" applyBorder="1" applyFont="1" applyNumberFormat="1">
      <alignment horizontal="center" shrinkToFit="0" vertical="center" wrapText="0"/>
    </xf>
    <xf borderId="2" fillId="0" fontId="72" numFmtId="3" xfId="0" applyAlignment="1" applyBorder="1" applyFont="1" applyNumberFormat="1">
      <alignment shrinkToFit="0" vertical="center" wrapText="0"/>
    </xf>
    <xf borderId="2" fillId="0" fontId="72" numFmtId="3" xfId="0" applyAlignment="1" applyBorder="1" applyFont="1" applyNumberFormat="1">
      <alignment horizontal="left" shrinkToFit="0" vertical="center" wrapText="0"/>
    </xf>
    <xf borderId="2" fillId="0" fontId="8" numFmtId="3" xfId="0" applyAlignment="1" applyBorder="1" applyFont="1" applyNumberFormat="1">
      <alignment horizontal="center" shrinkToFit="0" vertical="bottom" wrapText="0"/>
    </xf>
    <xf borderId="2" fillId="0" fontId="72" numFmtId="181" xfId="0" applyAlignment="1" applyBorder="1" applyFont="1" applyNumberFormat="1">
      <alignment horizontal="center" shrinkToFit="0" vertical="center" wrapText="0"/>
    </xf>
    <xf borderId="152" fillId="0" fontId="72" numFmtId="178" xfId="0" applyAlignment="1" applyBorder="1" applyFont="1" applyNumberFormat="1">
      <alignment horizontal="center" shrinkToFit="0" vertical="center" wrapText="0"/>
    </xf>
    <xf borderId="2" fillId="0" fontId="72" numFmtId="178" xfId="0" applyAlignment="1" applyBorder="1" applyFont="1" applyNumberFormat="1">
      <alignment horizontal="center" shrinkToFit="0" vertical="center" wrapText="0"/>
    </xf>
    <xf borderId="2" fillId="31" fontId="71" numFmtId="3" xfId="0" applyAlignment="1" applyBorder="1" applyFont="1" applyNumberFormat="1">
      <alignment horizontal="center" shrinkToFit="0" vertical="center" wrapText="0"/>
    </xf>
    <xf borderId="104" fillId="9" fontId="48" numFmtId="0" xfId="0" applyAlignment="1" applyBorder="1" applyFont="1">
      <alignment shrinkToFit="0" vertical="bottom" wrapText="0"/>
    </xf>
    <xf borderId="4" fillId="9" fontId="48" numFmtId="1" xfId="0" applyAlignment="1" applyBorder="1" applyFont="1" applyNumberFormat="1">
      <alignment shrinkToFit="0" vertical="bottom" wrapText="0"/>
    </xf>
    <xf borderId="180" fillId="9" fontId="48" numFmtId="0" xfId="0" applyAlignment="1" applyBorder="1" applyFont="1">
      <alignment shrinkToFit="0" vertical="bottom" wrapText="0"/>
    </xf>
    <xf borderId="176" fillId="9" fontId="48" numFmtId="0" xfId="0" applyAlignment="1" applyBorder="1" applyFont="1">
      <alignment horizontal="center" shrinkToFit="0" vertical="bottom" wrapText="0"/>
    </xf>
    <xf borderId="179" fillId="9" fontId="73" numFmtId="0" xfId="0" applyAlignment="1" applyBorder="1" applyFont="1">
      <alignment shrinkToFit="0" vertical="bottom" wrapText="0"/>
    </xf>
    <xf borderId="180" fillId="9" fontId="48" numFmtId="1" xfId="0" applyAlignment="1" applyBorder="1" applyFont="1" applyNumberFormat="1">
      <alignment shrinkToFit="0" vertical="bottom" wrapText="0"/>
    </xf>
    <xf borderId="104" fillId="9" fontId="48" numFmtId="0" xfId="0" applyAlignment="1" applyBorder="1" applyFont="1">
      <alignment horizontal="left" shrinkToFit="0" vertical="bottom" wrapText="0"/>
    </xf>
    <xf borderId="4" fillId="9" fontId="48" numFmtId="0" xfId="0" applyAlignment="1" applyBorder="1" applyFont="1">
      <alignment horizontal="left" shrinkToFit="0" vertical="bottom" wrapText="0"/>
    </xf>
    <xf borderId="187" fillId="9" fontId="48" numFmtId="0" xfId="0" applyAlignment="1" applyBorder="1" applyFont="1">
      <alignment horizontal="center" shrinkToFit="0" vertical="bottom" wrapText="0"/>
    </xf>
    <xf borderId="188" fillId="0" fontId="3" numFmtId="0" xfId="0" applyBorder="1" applyFont="1"/>
    <xf borderId="187" fillId="9" fontId="48" numFmtId="164" xfId="0" applyAlignment="1" applyBorder="1" applyFont="1" applyNumberFormat="1">
      <alignment horizontal="center" shrinkToFit="0" vertical="bottom" wrapText="0"/>
    </xf>
    <xf borderId="4" fillId="9" fontId="48" numFmtId="0" xfId="0" applyAlignment="1" applyBorder="1" applyFont="1">
      <alignment horizontal="center" shrinkToFit="0" vertical="bottom" wrapText="0"/>
    </xf>
    <xf borderId="108" fillId="9" fontId="48" numFmtId="0" xfId="0" applyAlignment="1" applyBorder="1" applyFont="1">
      <alignment horizontal="left" shrinkToFit="0" vertical="bottom" wrapText="0"/>
    </xf>
    <xf borderId="179" fillId="9" fontId="48" numFmtId="0" xfId="0" applyAlignment="1" applyBorder="1" applyFont="1">
      <alignment shrinkToFit="0" vertical="bottom" wrapText="0"/>
    </xf>
    <xf borderId="4" fillId="9" fontId="48" numFmtId="0" xfId="0" applyAlignment="1" applyBorder="1" applyFont="1">
      <alignment shrinkToFit="0" vertical="bottom" wrapText="0"/>
    </xf>
    <xf borderId="4" fillId="9" fontId="48" numFmtId="0" xfId="0" applyAlignment="1" applyBorder="1" applyFont="1">
      <alignment shrinkToFit="0" vertical="top" wrapText="0"/>
    </xf>
    <xf borderId="108" fillId="9" fontId="48" numFmtId="0" xfId="0" applyAlignment="1" applyBorder="1" applyFont="1">
      <alignment horizontal="center" shrinkToFit="0" vertical="bottom" wrapText="0"/>
    </xf>
    <xf borderId="116" fillId="9" fontId="48" numFmtId="0" xfId="0" applyAlignment="1" applyBorder="1" applyFont="1">
      <alignment shrinkToFit="0" vertical="bottom" wrapText="0"/>
    </xf>
    <xf borderId="117" fillId="9" fontId="48" numFmtId="1" xfId="0" applyAlignment="1" applyBorder="1" applyFont="1" applyNumberFormat="1">
      <alignment shrinkToFit="0" vertical="bottom" wrapText="0"/>
    </xf>
    <xf borderId="117" fillId="9" fontId="48" numFmtId="0" xfId="0" applyAlignment="1" applyBorder="1" applyFont="1">
      <alignment shrinkToFit="0" vertical="bottom" wrapText="0"/>
    </xf>
    <xf borderId="138" fillId="9" fontId="48" numFmtId="0" xfId="0" applyAlignment="1" applyBorder="1" applyFont="1">
      <alignment horizontal="center" shrinkToFit="0" vertical="bottom" wrapText="0"/>
    </xf>
    <xf borderId="0" fillId="0" fontId="72" numFmtId="0" xfId="0" applyAlignment="1" applyFont="1">
      <alignment horizontal="center" shrinkToFit="0" vertical="center" wrapText="0"/>
    </xf>
    <xf borderId="0" fillId="0" fontId="72" numFmtId="178" xfId="0" applyAlignment="1" applyFont="1" applyNumberFormat="1">
      <alignment horizontal="center" shrinkToFit="0" vertical="center" wrapText="0"/>
    </xf>
    <xf borderId="4" fillId="9" fontId="72" numFmtId="178" xfId="0" applyAlignment="1" applyBorder="1" applyFont="1" applyNumberFormat="1">
      <alignment horizontal="center" shrinkToFit="0" vertical="center" wrapText="0"/>
    </xf>
    <xf borderId="4" fillId="9" fontId="71" numFmtId="3" xfId="0" applyAlignment="1" applyBorder="1" applyFont="1" applyNumberFormat="1">
      <alignment horizontal="center" shrinkToFit="0" vertical="center" wrapText="0"/>
    </xf>
    <xf borderId="4" fillId="9" fontId="71" numFmtId="0" xfId="0" applyAlignment="1" applyBorder="1" applyFont="1">
      <alignment horizontal="center" shrinkToFit="0" vertical="bottom" wrapText="0"/>
    </xf>
    <xf borderId="40" fillId="35" fontId="68" numFmtId="0" xfId="0" applyAlignment="1" applyBorder="1" applyFont="1">
      <alignment shrinkToFit="0" vertical="bottom" wrapText="0"/>
    </xf>
    <xf borderId="40" fillId="35" fontId="68" numFmtId="4" xfId="0" applyAlignment="1" applyBorder="1" applyFont="1" applyNumberFormat="1">
      <alignment shrinkToFit="0" vertical="bottom" wrapText="0"/>
    </xf>
    <xf borderId="0" fillId="0" fontId="68" numFmtId="3" xfId="0" applyAlignment="1" applyFont="1" applyNumberFormat="1">
      <alignment shrinkToFit="0" vertical="bottom" wrapText="0"/>
    </xf>
    <xf borderId="44" fillId="0" fontId="70" numFmtId="0" xfId="0" applyAlignment="1" applyBorder="1" applyFont="1">
      <alignment horizontal="center" shrinkToFit="0" vertical="bottom" wrapText="0"/>
    </xf>
    <xf borderId="32" fillId="0" fontId="68" numFmtId="0" xfId="0" applyAlignment="1" applyBorder="1" applyFont="1">
      <alignment shrinkToFit="0" vertical="bottom" wrapText="0"/>
    </xf>
    <xf borderId="39" fillId="0" fontId="68" numFmtId="0" xfId="0" applyAlignment="1" applyBorder="1" applyFont="1">
      <alignment horizontal="center" shrinkToFit="0" vertical="bottom" wrapText="0"/>
    </xf>
    <xf borderId="98" fillId="0" fontId="68" numFmtId="0" xfId="0" applyAlignment="1" applyBorder="1" applyFont="1">
      <alignment horizontal="center" shrinkToFit="0" vertical="bottom" wrapText="0"/>
    </xf>
    <xf borderId="189" fillId="0" fontId="68" numFmtId="0" xfId="0" applyAlignment="1" applyBorder="1" applyFont="1">
      <alignment horizontal="center" shrinkToFit="0" vertical="center" wrapText="0"/>
    </xf>
    <xf borderId="40" fillId="0" fontId="68" numFmtId="171" xfId="0" applyAlignment="1" applyBorder="1" applyFont="1" applyNumberFormat="1">
      <alignment horizontal="center" shrinkToFit="0" vertical="bottom" wrapText="0"/>
    </xf>
    <xf borderId="0" fillId="0" fontId="68" numFmtId="171" xfId="0" applyAlignment="1" applyFont="1" applyNumberFormat="1">
      <alignment shrinkToFit="0" vertical="bottom" wrapText="0"/>
    </xf>
    <xf borderId="91" fillId="0" fontId="68" numFmtId="0" xfId="0" applyAlignment="1" applyBorder="1" applyFont="1">
      <alignment horizontal="center" shrinkToFit="0" vertical="center" wrapText="0"/>
    </xf>
    <xf borderId="40" fillId="0" fontId="76" numFmtId="171" xfId="0" applyAlignment="1" applyBorder="1" applyFont="1" applyNumberFormat="1">
      <alignment shrinkToFit="0" vertical="bottom" wrapText="0"/>
    </xf>
    <xf borderId="40" fillId="0" fontId="75" numFmtId="0" xfId="0" applyAlignment="1" applyBorder="1" applyFont="1">
      <alignment shrinkToFit="0" vertical="bottom" wrapText="0"/>
    </xf>
    <xf borderId="40" fillId="0" fontId="68" numFmtId="169" xfId="0" applyAlignment="1" applyBorder="1" applyFont="1" applyNumberFormat="1">
      <alignment horizontal="center" shrinkToFit="0" vertical="bottom" wrapText="0"/>
    </xf>
    <xf borderId="76" fillId="0" fontId="68" numFmtId="169" xfId="0" applyAlignment="1" applyBorder="1" applyFont="1" applyNumberFormat="1">
      <alignment horizontal="center" shrinkToFit="0" vertical="bottom" wrapText="0"/>
    </xf>
    <xf borderId="5" fillId="0" fontId="70" numFmtId="0" xfId="0" applyAlignment="1" applyBorder="1" applyFont="1">
      <alignment horizontal="center" shrinkToFit="0" vertical="bottom" wrapText="0"/>
    </xf>
    <xf borderId="165" fillId="0" fontId="68" numFmtId="169" xfId="0" applyAlignment="1" applyBorder="1" applyFont="1" applyNumberFormat="1">
      <alignment horizontal="center" shrinkToFit="0" vertical="bottom" wrapText="0"/>
    </xf>
    <xf borderId="166" fillId="0" fontId="68" numFmtId="169" xfId="0" applyAlignment="1" applyBorder="1" applyFont="1" applyNumberFormat="1">
      <alignment horizontal="center" shrinkToFit="0" vertical="bottom" wrapText="0"/>
    </xf>
    <xf borderId="167" fillId="0" fontId="68" numFmtId="169" xfId="0" applyAlignment="1" applyBorder="1" applyFont="1" applyNumberFormat="1">
      <alignment horizontal="center" shrinkToFit="0" vertical="bottom" wrapText="0"/>
    </xf>
    <xf borderId="5" fillId="9" fontId="79" numFmtId="0" xfId="0" applyAlignment="1" applyBorder="1" applyFont="1">
      <alignment horizontal="center" shrinkToFit="0" vertical="center" wrapText="0"/>
    </xf>
    <xf borderId="5" fillId="0" fontId="80" numFmtId="0" xfId="0" applyAlignment="1" applyBorder="1" applyFont="1">
      <alignment horizontal="center" shrinkToFit="0" vertical="center" wrapText="0"/>
    </xf>
    <xf borderId="5" fillId="0" fontId="81" numFmtId="0" xfId="0" applyAlignment="1" applyBorder="1" applyFont="1">
      <alignment horizontal="center" shrinkToFit="0" vertical="center" wrapText="1"/>
    </xf>
    <xf borderId="68" fillId="0" fontId="67" numFmtId="182" xfId="0" applyAlignment="1" applyBorder="1" applyFont="1" applyNumberFormat="1">
      <alignment horizontal="center" shrinkToFit="0" vertical="center" wrapText="0"/>
    </xf>
    <xf borderId="173" fillId="9" fontId="82" numFmtId="0" xfId="0" applyAlignment="1" applyBorder="1" applyFont="1">
      <alignment horizontal="center" shrinkToFit="0" vertical="bottom" wrapText="1"/>
    </xf>
    <xf borderId="0" fillId="0" fontId="71" numFmtId="2" xfId="0" applyAlignment="1" applyFont="1" applyNumberFormat="1">
      <alignment horizontal="center" shrinkToFit="0" vertical="center" wrapText="0"/>
    </xf>
    <xf borderId="8" fillId="0" fontId="83" numFmtId="0" xfId="0" applyAlignment="1" applyBorder="1" applyFont="1">
      <alignment horizontal="center" shrinkToFit="0" vertical="top" wrapText="0"/>
    </xf>
    <xf borderId="120" fillId="0" fontId="48" numFmtId="0" xfId="0" applyAlignment="1" applyBorder="1" applyFont="1">
      <alignment horizontal="center" shrinkToFit="0" vertical="center" wrapText="0"/>
    </xf>
    <xf borderId="135" fillId="0" fontId="48" numFmtId="0" xfId="0" applyAlignment="1" applyBorder="1" applyFont="1">
      <alignment horizontal="center" shrinkToFit="0" vertical="center" wrapText="0"/>
    </xf>
    <xf borderId="190" fillId="0" fontId="68" numFmtId="0" xfId="0" applyAlignment="1" applyBorder="1" applyFont="1">
      <alignment horizontal="center" shrinkToFit="0" vertical="center" wrapText="0"/>
    </xf>
    <xf borderId="76" fillId="0" fontId="69" numFmtId="0" xfId="0" applyAlignment="1" applyBorder="1" applyFont="1">
      <alignment horizontal="center" shrinkToFit="0" vertical="center" wrapText="0"/>
    </xf>
    <xf borderId="159" fillId="0" fontId="68" numFmtId="0" xfId="0" applyAlignment="1" applyBorder="1" applyFont="1">
      <alignment horizontal="center" shrinkToFit="0" textRotation="255" vertical="center" wrapText="0"/>
    </xf>
    <xf borderId="162" fillId="0" fontId="68" numFmtId="169" xfId="0" applyAlignment="1" applyBorder="1" applyFont="1" applyNumberFormat="1">
      <alignment horizontal="center" shrinkToFit="0" vertical="center" wrapText="0"/>
    </xf>
    <xf borderId="164" fillId="0" fontId="68" numFmtId="169" xfId="0" applyAlignment="1" applyBorder="1" applyFont="1" applyNumberFormat="1">
      <alignment horizontal="center" shrinkToFit="0" vertical="center" wrapText="0"/>
    </xf>
    <xf borderId="191" fillId="0" fontId="68" numFmtId="0" xfId="0" applyAlignment="1" applyBorder="1" applyFont="1">
      <alignment horizontal="center" shrinkToFit="0" vertical="center" wrapText="0"/>
    </xf>
    <xf borderId="0" fillId="0" fontId="72" numFmtId="171" xfId="0" applyAlignment="1" applyFont="1" applyNumberFormat="1">
      <alignment horizontal="center" shrinkToFit="0" vertical="center" wrapText="0"/>
    </xf>
    <xf borderId="82" fillId="0" fontId="72" numFmtId="171" xfId="0" applyAlignment="1" applyBorder="1" applyFont="1" applyNumberFormat="1">
      <alignment horizontal="center" shrinkToFit="0" vertical="center" wrapText="0"/>
    </xf>
    <xf borderId="69" fillId="0" fontId="72" numFmtId="171" xfId="0" applyAlignment="1" applyBorder="1" applyFont="1" applyNumberFormat="1">
      <alignment horizontal="center" shrinkToFit="0" vertical="center" wrapText="0"/>
    </xf>
    <xf borderId="68" fillId="0" fontId="72" numFmtId="171" xfId="0" applyAlignment="1" applyBorder="1" applyFont="1" applyNumberFormat="1">
      <alignment horizontal="center" shrinkToFit="0" vertical="center" wrapText="0"/>
    </xf>
    <xf borderId="68" fillId="0" fontId="68" numFmtId="0" xfId="0" applyAlignment="1" applyBorder="1" applyFont="1">
      <alignment horizontal="center" shrinkToFit="0" vertical="bottom" wrapText="0"/>
    </xf>
    <xf borderId="5" fillId="0" fontId="68" numFmtId="0" xfId="0" applyAlignment="1" applyBorder="1" applyFont="1">
      <alignment horizontal="center" shrinkToFit="0" vertical="bottom" wrapText="0"/>
    </xf>
    <xf borderId="8" fillId="0" fontId="68" numFmtId="0" xfId="0" applyAlignment="1" applyBorder="1" applyFont="1">
      <alignment horizontal="center" shrinkToFit="0" vertical="bottom" wrapText="0"/>
    </xf>
    <xf borderId="192" fillId="0" fontId="3" numFmtId="0" xfId="0" applyBorder="1" applyFont="1"/>
    <xf borderId="193" fillId="0" fontId="68" numFmtId="0" xfId="0" applyAlignment="1" applyBorder="1" applyFont="1">
      <alignment horizontal="center" shrinkToFit="0" vertical="bottom" wrapText="0"/>
    </xf>
    <xf borderId="68" fillId="0" fontId="68" numFmtId="171" xfId="0" applyAlignment="1" applyBorder="1" applyFont="1" applyNumberFormat="1">
      <alignment horizontal="center" shrinkToFit="0" vertical="bottom" wrapText="0"/>
    </xf>
    <xf borderId="68" fillId="0" fontId="68" numFmtId="169" xfId="0" applyAlignment="1" applyBorder="1" applyFont="1" applyNumberFormat="1">
      <alignment horizontal="center" shrinkToFit="0" vertical="bottom" wrapText="0"/>
    </xf>
    <xf borderId="193" fillId="0" fontId="68" numFmtId="2" xfId="0" applyAlignment="1" applyBorder="1" applyFont="1" applyNumberFormat="1">
      <alignment horizontal="center" shrinkToFit="0" vertical="bottom" wrapText="0"/>
    </xf>
    <xf borderId="193" fillId="0" fontId="68" numFmtId="169" xfId="0" applyAlignment="1" applyBorder="1" applyFont="1" applyNumberFormat="1">
      <alignment horizontal="center" shrinkToFit="0" vertical="bottom" wrapText="0"/>
    </xf>
    <xf borderId="5" fillId="0" fontId="84" numFmtId="0" xfId="0" applyAlignment="1" applyBorder="1" applyFont="1">
      <alignment horizontal="center" shrinkToFit="0" vertical="center" wrapText="1"/>
    </xf>
    <xf borderId="9" fillId="0" fontId="67" numFmtId="182" xfId="0" applyAlignment="1" applyBorder="1" applyFont="1" applyNumberFormat="1">
      <alignment horizontal="center" shrinkToFit="0" vertical="center" wrapText="0"/>
    </xf>
    <xf borderId="91" fillId="0" fontId="68" numFmtId="169" xfId="0" applyAlignment="1" applyBorder="1" applyFont="1" applyNumberFormat="1">
      <alignment horizontal="center" shrinkToFit="0" vertical="center" wrapText="0"/>
    </xf>
    <xf borderId="194" fillId="0" fontId="68" numFmtId="0" xfId="0" applyAlignment="1" applyBorder="1" applyFont="1">
      <alignment horizontal="center" shrinkToFit="0" vertical="center" wrapText="0"/>
    </xf>
    <xf borderId="68" fillId="0" fontId="68" numFmtId="0" xfId="0" applyAlignment="1" applyBorder="1" applyFont="1">
      <alignment horizontal="left" shrinkToFit="0" vertical="bottom" wrapText="0"/>
    </xf>
    <xf borderId="185" fillId="9" fontId="85" numFmtId="0" xfId="0" applyAlignment="1" applyBorder="1" applyFont="1">
      <alignment horizontal="right" shrinkToFit="0" vertical="bottom" wrapText="0"/>
    </xf>
    <xf borderId="185" fillId="9" fontId="86" numFmtId="0" xfId="0" applyAlignment="1" applyBorder="1" applyFont="1">
      <alignment horizontal="center" shrinkToFit="0" vertical="center" wrapText="0"/>
    </xf>
    <xf borderId="1" fillId="9" fontId="86" numFmtId="0" xfId="0" applyAlignment="1" applyBorder="1" applyFont="1">
      <alignment horizontal="center" shrinkToFit="0" vertical="center" wrapText="0"/>
    </xf>
    <xf borderId="128" fillId="0" fontId="3" numFmtId="0" xfId="0" applyBorder="1" applyFont="1"/>
    <xf borderId="195" fillId="0" fontId="3" numFmtId="0" xfId="0" applyBorder="1" applyFont="1"/>
    <xf borderId="2" fillId="9" fontId="87" numFmtId="177" xfId="0" applyAlignment="1" applyBorder="1" applyFont="1" applyNumberFormat="1">
      <alignment horizontal="center" shrinkToFit="0" vertical="center" wrapText="0"/>
    </xf>
    <xf borderId="185" fillId="9" fontId="88" numFmtId="0" xfId="0" applyAlignment="1" applyBorder="1" applyFont="1">
      <alignment horizontal="center" shrinkToFit="0" vertical="center" wrapText="0"/>
    </xf>
    <xf borderId="1" fillId="9" fontId="89" numFmtId="0" xfId="0" applyAlignment="1" applyBorder="1" applyFont="1">
      <alignment horizontal="center" shrinkToFit="0" vertical="center" wrapText="0"/>
    </xf>
    <xf borderId="185" fillId="9" fontId="67" numFmtId="0" xfId="0" applyAlignment="1" applyBorder="1" applyFont="1">
      <alignment horizontal="center" shrinkToFit="0" vertical="center" wrapText="0"/>
    </xf>
    <xf borderId="1" fillId="0" fontId="73" numFmtId="0" xfId="0" applyAlignment="1" applyBorder="1" applyFont="1">
      <alignment horizontal="center" shrinkToFit="0" vertical="center" wrapText="0"/>
    </xf>
    <xf borderId="1" fillId="0" fontId="70" numFmtId="0" xfId="0" applyAlignment="1" applyBorder="1" applyFont="1">
      <alignment horizontal="center" shrinkToFit="0" vertical="center" wrapText="1"/>
    </xf>
    <xf borderId="1" fillId="0" fontId="73" numFmtId="0" xfId="0" applyAlignment="1" applyBorder="1" applyFont="1">
      <alignment horizontal="center" shrinkToFit="0" vertical="center" wrapText="1"/>
    </xf>
    <xf borderId="152" fillId="0" fontId="73" numFmtId="0" xfId="0" applyAlignment="1" applyBorder="1" applyFont="1">
      <alignment horizontal="center" shrinkToFit="0" vertical="bottom" wrapText="0"/>
    </xf>
    <xf borderId="2" fillId="0" fontId="72" numFmtId="0" xfId="0" applyAlignment="1" applyBorder="1" applyFont="1">
      <alignment horizontal="center" shrinkToFit="0" vertical="bottom" wrapText="0"/>
    </xf>
    <xf borderId="0" fillId="0" fontId="72" numFmtId="0" xfId="0" applyAlignment="1" applyFont="1">
      <alignment horizontal="left" shrinkToFit="0" vertical="bottom" wrapText="0"/>
    </xf>
    <xf borderId="0" fillId="0" fontId="72" numFmtId="0" xfId="0" applyAlignment="1" applyFont="1">
      <alignment shrinkToFit="0" vertical="bottom" wrapText="0"/>
    </xf>
    <xf borderId="2" fillId="0" fontId="73" numFmtId="0" xfId="0" applyAlignment="1" applyBorder="1" applyFont="1">
      <alignment horizontal="center" shrinkToFit="0" vertical="bottom" wrapText="0"/>
    </xf>
    <xf borderId="0" fillId="0" fontId="71" numFmtId="0" xfId="0" applyAlignment="1" applyFont="1">
      <alignment shrinkToFit="0" vertical="bottom" wrapText="0"/>
    </xf>
    <xf borderId="2" fillId="0" fontId="89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bottom" wrapText="0"/>
    </xf>
    <xf borderId="2" fillId="0" fontId="4" numFmtId="166" xfId="0" applyAlignment="1" applyBorder="1" applyFont="1" applyNumberFormat="1">
      <alignment horizontal="center" shrinkToFit="0" vertical="bottom" wrapText="0"/>
    </xf>
    <xf borderId="2" fillId="0" fontId="4" numFmtId="2" xfId="0" applyAlignment="1" applyBorder="1" applyFont="1" applyNumberFormat="1">
      <alignment horizontal="center" shrinkToFit="0" vertical="bottom" wrapText="0"/>
    </xf>
    <xf borderId="2" fillId="0" fontId="4" numFmtId="169" xfId="0" applyAlignment="1" applyBorder="1" applyFont="1" applyNumberFormat="1">
      <alignment horizontal="center" shrinkToFit="0" vertical="bottom" wrapText="0"/>
    </xf>
    <xf borderId="2" fillId="0" fontId="4" numFmtId="1" xfId="0" applyAlignment="1" applyBorder="1" applyFont="1" applyNumberFormat="1">
      <alignment horizontal="center" shrinkToFit="0" vertical="bottom" wrapText="0"/>
    </xf>
    <xf borderId="2" fillId="0" fontId="90" numFmtId="169" xfId="0" applyAlignment="1" applyBorder="1" applyFont="1" applyNumberFormat="1">
      <alignment horizontal="center" shrinkToFit="0" vertical="bottom" wrapText="0"/>
    </xf>
    <xf borderId="0" fillId="0" fontId="73" numFmtId="0" xfId="0" applyAlignment="1" applyFont="1">
      <alignment shrinkToFit="0" vertical="bottom" wrapText="0"/>
    </xf>
    <xf borderId="0" fillId="0" fontId="83" numFmtId="0" xfId="0" applyAlignment="1" applyFont="1">
      <alignment shrinkToFit="0" vertical="bottom" wrapText="0"/>
    </xf>
    <xf borderId="0" fillId="0" fontId="48" numFmtId="0" xfId="0" applyAlignment="1" applyFont="1">
      <alignment shrinkToFit="0" vertical="bottom" wrapText="0"/>
    </xf>
    <xf borderId="0" fillId="0" fontId="48" numFmtId="0" xfId="0" applyAlignment="1" applyFont="1">
      <alignment horizontal="right" shrinkToFit="0" vertical="bottom" wrapText="0"/>
    </xf>
    <xf borderId="2" fillId="9" fontId="89" numFmtId="0" xfId="0" applyAlignment="1" applyBorder="1" applyFont="1">
      <alignment shrinkToFit="0" vertical="bottom" wrapText="0"/>
    </xf>
    <xf borderId="2" fillId="9" fontId="89" numFmtId="1" xfId="0" applyAlignment="1" applyBorder="1" applyFont="1" applyNumberFormat="1">
      <alignment horizontal="center" shrinkToFit="0" vertical="bottom" wrapText="0"/>
    </xf>
    <xf borderId="2" fillId="9" fontId="89" numFmtId="169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horizontal="right" shrinkToFit="0" vertical="bottom" wrapText="0"/>
    </xf>
    <xf borderId="152" fillId="9" fontId="89" numFmtId="0" xfId="0" applyAlignment="1" applyBorder="1" applyFont="1">
      <alignment horizontal="center" shrinkToFit="0" vertical="bottom" wrapText="0"/>
    </xf>
    <xf borderId="2" fillId="9" fontId="89" numFmtId="0" xfId="0" applyAlignment="1" applyBorder="1" applyFont="1">
      <alignment horizontal="center" shrinkToFit="0" vertical="bottom" wrapText="0"/>
    </xf>
    <xf borderId="2" fillId="4" fontId="89" numFmtId="0" xfId="0" applyAlignment="1" applyBorder="1" applyFont="1">
      <alignment shrinkToFit="0" vertical="bottom" wrapText="0"/>
    </xf>
    <xf borderId="152" fillId="9" fontId="89" numFmtId="0" xfId="0" applyAlignment="1" applyBorder="1" applyFont="1">
      <alignment horizontal="left" shrinkToFit="0" vertical="bottom" wrapText="0"/>
    </xf>
    <xf borderId="152" fillId="9" fontId="89" numFmtId="3" xfId="0" applyAlignment="1" applyBorder="1" applyFont="1" applyNumberFormat="1">
      <alignment horizontal="center" shrinkToFit="0" vertical="bottom" wrapText="0"/>
    </xf>
    <xf borderId="2" fillId="36" fontId="89" numFmtId="0" xfId="0" applyAlignment="1" applyBorder="1" applyFill="1" applyFont="1">
      <alignment horizontal="center" shrinkToFit="0" vertical="bottom" wrapText="0"/>
    </xf>
    <xf borderId="152" fillId="0" fontId="89" numFmtId="3" xfId="0" applyAlignment="1" applyBorder="1" applyFont="1" applyNumberFormat="1">
      <alignment horizontal="center" shrinkToFit="0" vertical="center" wrapText="0"/>
    </xf>
    <xf borderId="152" fillId="9" fontId="73" numFmtId="0" xfId="0" applyAlignment="1" applyBorder="1" applyFont="1">
      <alignment horizontal="center" shrinkToFit="0" vertical="center" wrapText="0"/>
    </xf>
    <xf borderId="152" fillId="9" fontId="91" numFmtId="0" xfId="0" applyAlignment="1" applyBorder="1" applyFont="1">
      <alignment horizontal="center" shrinkToFit="0" vertical="center" wrapText="0"/>
    </xf>
    <xf borderId="39" fillId="0" fontId="48" numFmtId="0" xfId="0" applyAlignment="1" applyBorder="1" applyFont="1">
      <alignment horizontal="center" shrinkToFit="0" vertical="bottom" wrapText="0"/>
    </xf>
    <xf borderId="40" fillId="0" fontId="89" numFmtId="0" xfId="0" applyAlignment="1" applyBorder="1" applyFont="1">
      <alignment horizontal="center" shrinkToFit="0" vertical="center" wrapText="0"/>
    </xf>
    <xf borderId="64" fillId="9" fontId="89" numFmtId="0" xfId="0" applyAlignment="1" applyBorder="1" applyFont="1">
      <alignment shrinkToFit="0" vertical="bottom" wrapText="0"/>
    </xf>
    <xf borderId="66" fillId="9" fontId="89" numFmtId="0" xfId="0" applyAlignment="1" applyBorder="1" applyFont="1">
      <alignment shrinkToFit="0" vertical="bottom" wrapText="0"/>
    </xf>
    <xf borderId="68" fillId="9" fontId="89" numFmtId="0" xfId="0" applyAlignment="1" applyBorder="1" applyFont="1">
      <alignment horizontal="center" shrinkToFit="0" vertical="bottom" wrapText="0"/>
    </xf>
    <xf borderId="68" fillId="9" fontId="89" numFmtId="0" xfId="0" applyAlignment="1" applyBorder="1" applyFont="1">
      <alignment horizontal="left" shrinkToFit="0" vertical="bottom" wrapText="0"/>
    </xf>
    <xf borderId="120" fillId="9" fontId="89" numFmtId="3" xfId="0" applyAlignment="1" applyBorder="1" applyFont="1" applyNumberFormat="1">
      <alignment horizontal="center" shrinkToFit="0" vertical="bottom" wrapText="0"/>
    </xf>
    <xf borderId="159" fillId="9" fontId="89" numFmtId="3" xfId="0" applyAlignment="1" applyBorder="1" applyFont="1" applyNumberFormat="1">
      <alignment horizontal="center" shrinkToFit="0" vertical="bottom" wrapText="0"/>
    </xf>
    <xf borderId="155" fillId="0" fontId="89" numFmtId="3" xfId="0" applyAlignment="1" applyBorder="1" applyFont="1" applyNumberFormat="1">
      <alignment horizontal="center" shrinkToFit="0" vertical="center" wrapText="0"/>
    </xf>
    <xf borderId="68" fillId="0" fontId="89" numFmtId="0" xfId="0" applyAlignment="1" applyBorder="1" applyFont="1">
      <alignment horizontal="left" shrinkToFit="0" vertical="bottom" wrapText="0"/>
    </xf>
    <xf borderId="68" fillId="0" fontId="89" numFmtId="0" xfId="0" applyAlignment="1" applyBorder="1" applyFont="1">
      <alignment horizontal="center" shrinkToFit="0" vertical="bottom" wrapText="0"/>
    </xf>
    <xf borderId="6" fillId="0" fontId="83" numFmtId="0" xfId="0" applyAlignment="1" applyBorder="1" applyFont="1">
      <alignment horizontal="center" shrinkToFit="0" vertical="bottom" wrapText="0"/>
    </xf>
    <xf borderId="85" fillId="0" fontId="73" numFmtId="0" xfId="0" applyAlignment="1" applyBorder="1" applyFont="1">
      <alignment horizontal="center" shrinkToFit="0" vertical="bottom" wrapText="0"/>
    </xf>
    <xf borderId="85" fillId="0" fontId="73" numFmtId="169" xfId="0" applyAlignment="1" applyBorder="1" applyFont="1" applyNumberFormat="1">
      <alignment horizontal="center" shrinkToFit="0" vertical="bottom" wrapText="0"/>
    </xf>
    <xf borderId="96" fillId="0" fontId="73" numFmtId="169" xfId="0" applyAlignment="1" applyBorder="1" applyFont="1" applyNumberFormat="1">
      <alignment horizontal="center" shrinkToFit="0" vertical="bottom" wrapText="0"/>
    </xf>
    <xf borderId="40" fillId="0" fontId="73" numFmtId="0" xfId="0" applyAlignment="1" applyBorder="1" applyFont="1">
      <alignment shrinkToFit="0" vertical="bottom" wrapText="0"/>
    </xf>
    <xf borderId="68" fillId="0" fontId="92" numFmtId="0" xfId="0" applyAlignment="1" applyBorder="1" applyFont="1">
      <alignment horizontal="center" shrinkToFit="0" vertical="center" wrapText="0"/>
    </xf>
    <xf borderId="69" fillId="0" fontId="92" numFmtId="0" xfId="0" applyAlignment="1" applyBorder="1" applyFont="1">
      <alignment shrinkToFit="0" vertical="center" wrapText="0"/>
    </xf>
    <xf borderId="42" fillId="0" fontId="93" numFmtId="182" xfId="0" applyAlignment="1" applyBorder="1" applyFont="1" applyNumberFormat="1">
      <alignment horizontal="center" shrinkToFit="0" vertical="center" wrapText="0"/>
    </xf>
    <xf borderId="42" fillId="0" fontId="89" numFmtId="182" xfId="0" applyAlignment="1" applyBorder="1" applyFont="1" applyNumberFormat="1">
      <alignment horizontal="center" shrinkToFit="0" vertical="center" wrapText="0"/>
    </xf>
    <xf borderId="69" fillId="0" fontId="93" numFmtId="0" xfId="0" applyAlignment="1" applyBorder="1" applyFont="1">
      <alignment horizontal="center" shrinkToFit="0" vertical="center" wrapText="0"/>
    </xf>
    <xf borderId="70" fillId="0" fontId="92" numFmtId="0" xfId="0" applyAlignment="1" applyBorder="1" applyFont="1">
      <alignment shrinkToFit="0" vertical="center" wrapText="0"/>
    </xf>
    <xf borderId="196" fillId="4" fontId="94" numFmtId="0" xfId="0" applyAlignment="1" applyBorder="1" applyFont="1">
      <alignment shrinkToFit="0" vertical="bottom" wrapText="0"/>
    </xf>
    <xf borderId="68" fillId="0" fontId="94" numFmtId="0" xfId="0" applyAlignment="1" applyBorder="1" applyFont="1">
      <alignment horizontal="center" shrinkToFit="0" vertical="center" wrapText="1"/>
    </xf>
    <xf borderId="120" fillId="33" fontId="94" numFmtId="0" xfId="0" applyAlignment="1" applyBorder="1" applyFont="1">
      <alignment horizontal="center" shrinkToFit="0" vertical="center" wrapText="1"/>
    </xf>
    <xf borderId="120" fillId="37" fontId="94" numFmtId="0" xfId="0" applyAlignment="1" applyBorder="1" applyFill="1" applyFont="1">
      <alignment horizontal="center" shrinkToFit="0" vertical="center" wrapText="1"/>
    </xf>
    <xf borderId="120" fillId="35" fontId="94" numFmtId="0" xfId="0" applyAlignment="1" applyBorder="1" applyFont="1">
      <alignment horizontal="center" shrinkToFit="0" vertical="center" wrapText="1"/>
    </xf>
    <xf borderId="121" fillId="0" fontId="94" numFmtId="0" xfId="0" applyAlignment="1" applyBorder="1" applyFont="1">
      <alignment horizontal="center" shrinkToFit="0" vertical="center" wrapText="1"/>
    </xf>
    <xf borderId="120" fillId="0" fontId="94" numFmtId="0" xfId="0" applyAlignment="1" applyBorder="1" applyFont="1">
      <alignment horizontal="center" shrinkToFit="0" vertical="center" wrapText="0"/>
    </xf>
    <xf borderId="121" fillId="0" fontId="94" numFmtId="0" xfId="0" applyAlignment="1" applyBorder="1" applyFont="1">
      <alignment horizontal="center" shrinkToFit="0" vertical="center" wrapText="0"/>
    </xf>
    <xf borderId="120" fillId="35" fontId="94" numFmtId="0" xfId="0" applyAlignment="1" applyBorder="1" applyFont="1">
      <alignment horizontal="center" shrinkToFit="0" vertical="center" wrapText="0"/>
    </xf>
    <xf borderId="5" fillId="8" fontId="94" numFmtId="0" xfId="0" applyAlignment="1" applyBorder="1" applyFont="1">
      <alignment horizontal="center" shrinkToFit="0" vertical="center" wrapText="1"/>
    </xf>
    <xf borderId="194" fillId="0" fontId="94" numFmtId="0" xfId="0" applyAlignment="1" applyBorder="1" applyFont="1">
      <alignment horizontal="center" shrinkToFit="0" vertical="center" wrapText="0"/>
    </xf>
    <xf borderId="197" fillId="0" fontId="94" numFmtId="0" xfId="0" applyAlignment="1" applyBorder="1" applyFont="1">
      <alignment horizontal="center" shrinkToFit="0" vertical="center" wrapText="0"/>
    </xf>
    <xf borderId="19" fillId="31" fontId="94" numFmtId="0" xfId="0" applyAlignment="1" applyBorder="1" applyFont="1">
      <alignment horizontal="center" shrinkToFit="0" vertical="center" wrapText="1"/>
    </xf>
    <xf borderId="19" fillId="31" fontId="95" numFmtId="0" xfId="0" applyAlignment="1" applyBorder="1" applyFont="1">
      <alignment horizontal="center" shrinkToFit="0" vertical="center" wrapText="1"/>
    </xf>
    <xf borderId="19" fillId="32" fontId="94" numFmtId="0" xfId="0" applyAlignment="1" applyBorder="1" applyFont="1">
      <alignment horizontal="center" shrinkToFit="0" vertical="center" wrapText="1"/>
    </xf>
    <xf borderId="19" fillId="8" fontId="94" numFmtId="0" xfId="0" applyAlignment="1" applyBorder="1" applyFont="1">
      <alignment horizontal="center" shrinkToFit="0" vertical="center" wrapText="1"/>
    </xf>
    <xf borderId="198" fillId="8" fontId="94" numFmtId="0" xfId="0" applyAlignment="1" applyBorder="1" applyFont="1">
      <alignment horizontal="center" shrinkToFit="0" vertical="center" wrapText="1"/>
    </xf>
    <xf borderId="190" fillId="33" fontId="94" numFmtId="0" xfId="0" applyAlignment="1" applyBorder="1" applyFont="1">
      <alignment horizontal="center" shrinkToFit="0" vertical="center" wrapText="0"/>
    </xf>
    <xf borderId="76" fillId="33" fontId="94" numFmtId="0" xfId="0" applyAlignment="1" applyBorder="1" applyFont="1">
      <alignment horizontal="center" shrinkToFit="0" vertical="center" wrapText="1"/>
    </xf>
    <xf borderId="181" fillId="33" fontId="94" numFmtId="0" xfId="0" applyAlignment="1" applyBorder="1" applyFont="1">
      <alignment horizontal="center" shrinkToFit="0" vertical="center" wrapText="1"/>
    </xf>
    <xf borderId="181" fillId="37" fontId="94" numFmtId="0" xfId="0" applyAlignment="1" applyBorder="1" applyFont="1">
      <alignment horizontal="center" shrinkToFit="0" vertical="center" wrapText="1"/>
    </xf>
    <xf borderId="181" fillId="37" fontId="78" numFmtId="0" xfId="0" applyAlignment="1" applyBorder="1" applyFont="1">
      <alignment horizontal="center" shrinkToFit="0" vertical="center" wrapText="1"/>
    </xf>
    <xf borderId="199" fillId="35" fontId="94" numFmtId="0" xfId="0" applyAlignment="1" applyBorder="1" applyFont="1">
      <alignment horizontal="center" shrinkToFit="0" vertical="center" wrapText="0"/>
    </xf>
    <xf borderId="76" fillId="35" fontId="94" numFmtId="0" xfId="0" applyAlignment="1" applyBorder="1" applyFont="1">
      <alignment horizontal="center" shrinkToFit="0" vertical="center" wrapText="0"/>
    </xf>
    <xf borderId="92" fillId="0" fontId="94" numFmtId="0" xfId="0" applyAlignment="1" applyBorder="1" applyFont="1">
      <alignment horizontal="center" shrinkToFit="0" vertical="center" wrapText="0"/>
    </xf>
    <xf borderId="76" fillId="0" fontId="94" numFmtId="0" xfId="0" applyAlignment="1" applyBorder="1" applyFont="1">
      <alignment horizontal="center" shrinkToFit="0" vertical="center" wrapText="0"/>
    </xf>
    <xf borderId="181" fillId="0" fontId="94" numFmtId="0" xfId="0" applyAlignment="1" applyBorder="1" applyFont="1">
      <alignment horizontal="center" shrinkToFit="0" vertical="center" wrapText="1"/>
    </xf>
    <xf borderId="159" fillId="0" fontId="94" numFmtId="0" xfId="0" applyAlignment="1" applyBorder="1" applyFont="1">
      <alignment horizontal="center" shrinkToFit="0" vertical="center" wrapText="0"/>
    </xf>
    <xf borderId="42" fillId="0" fontId="94" numFmtId="0" xfId="0" applyAlignment="1" applyBorder="1" applyFont="1">
      <alignment horizontal="center" shrinkToFit="0" vertical="center" wrapText="0"/>
    </xf>
    <xf borderId="44" fillId="0" fontId="94" numFmtId="0" xfId="0" applyAlignment="1" applyBorder="1" applyFont="1">
      <alignment horizontal="center" shrinkToFit="0" vertical="center" wrapText="0"/>
    </xf>
    <xf borderId="23" fillId="35" fontId="94" numFmtId="0" xfId="0" applyAlignment="1" applyBorder="1" applyFont="1">
      <alignment horizontal="center" shrinkToFit="0" vertical="center" wrapText="0"/>
    </xf>
    <xf borderId="191" fillId="0" fontId="3" numFmtId="0" xfId="0" applyBorder="1" applyFont="1"/>
    <xf borderId="197" fillId="0" fontId="3" numFmtId="0" xfId="0" applyBorder="1" applyFont="1"/>
    <xf borderId="200" fillId="0" fontId="3" numFmtId="0" xfId="0" applyBorder="1" applyFont="1"/>
    <xf borderId="201" fillId="0" fontId="3" numFmtId="0" xfId="0" applyBorder="1" applyFont="1"/>
    <xf borderId="130" fillId="0" fontId="3" numFmtId="0" xfId="0" applyBorder="1" applyFont="1"/>
    <xf borderId="190" fillId="0" fontId="94" numFmtId="0" xfId="0" applyAlignment="1" applyBorder="1" applyFont="1">
      <alignment horizontal="center" shrinkToFit="0" vertical="center" wrapText="0"/>
    </xf>
    <xf borderId="181" fillId="0" fontId="94" numFmtId="0" xfId="0" applyAlignment="1" applyBorder="1" applyFont="1">
      <alignment horizontal="center" shrinkToFit="0" vertical="center" wrapText="0"/>
    </xf>
    <xf borderId="77" fillId="0" fontId="94" numFmtId="0" xfId="0" applyAlignment="1" applyBorder="1" applyFont="1">
      <alignment horizontal="center" shrinkToFit="0" vertical="center" wrapText="0"/>
    </xf>
    <xf borderId="126" fillId="0" fontId="94" numFmtId="0" xfId="0" applyAlignment="1" applyBorder="1" applyFont="1">
      <alignment horizontal="center" shrinkToFit="0" vertical="center" wrapText="0"/>
    </xf>
    <xf borderId="88" fillId="0" fontId="94" numFmtId="0" xfId="0" applyAlignment="1" applyBorder="1" applyFont="1">
      <alignment horizontal="center" shrinkToFit="0" vertical="center" wrapText="0"/>
    </xf>
    <xf borderId="161" fillId="35" fontId="94" numFmtId="0" xfId="0" applyAlignment="1" applyBorder="1" applyFont="1">
      <alignment horizontal="center" shrinkToFit="0" vertical="center" wrapText="1"/>
    </xf>
    <xf borderId="34" fillId="35" fontId="94" numFmtId="0" xfId="0" applyAlignment="1" applyBorder="1" applyFont="1">
      <alignment horizontal="center" shrinkToFit="0" vertical="center" wrapText="1"/>
    </xf>
    <xf borderId="35" fillId="35" fontId="94" numFmtId="0" xfId="0" applyAlignment="1" applyBorder="1" applyFont="1">
      <alignment horizontal="center" shrinkToFit="0" vertical="center" wrapText="1"/>
    </xf>
    <xf borderId="202" fillId="8" fontId="94" numFmtId="0" xfId="0" applyAlignment="1" applyBorder="1" applyFont="1">
      <alignment horizontal="center" shrinkToFit="0" vertical="center" wrapText="1"/>
    </xf>
    <xf borderId="34" fillId="8" fontId="94" numFmtId="0" xfId="0" applyAlignment="1" applyBorder="1" applyFont="1">
      <alignment horizontal="center" shrinkToFit="0" vertical="center" wrapText="1"/>
    </xf>
    <xf borderId="203" fillId="8" fontId="94" numFmtId="0" xfId="0" applyAlignment="1" applyBorder="1" applyFont="1">
      <alignment horizontal="center" shrinkToFit="0" vertical="center" wrapText="1"/>
    </xf>
    <xf borderId="120" fillId="0" fontId="96" numFmtId="0" xfId="0" applyAlignment="1" applyBorder="1" applyFont="1">
      <alignment horizontal="left" shrinkToFit="0" vertical="bottom" wrapText="0"/>
    </xf>
    <xf borderId="204" fillId="0" fontId="96" numFmtId="3" xfId="0" applyAlignment="1" applyBorder="1" applyFont="1" applyNumberFormat="1">
      <alignment horizontal="center" shrinkToFit="0" vertical="bottom" wrapText="0"/>
    </xf>
    <xf borderId="110" fillId="31" fontId="96" numFmtId="3" xfId="0" applyAlignment="1" applyBorder="1" applyFont="1" applyNumberFormat="1">
      <alignment horizontal="center" shrinkToFit="0" vertical="bottom" wrapText="0"/>
    </xf>
    <xf borderId="110" fillId="32" fontId="96" numFmtId="3" xfId="0" applyAlignment="1" applyBorder="1" applyFont="1" applyNumberFormat="1">
      <alignment horizontal="center" shrinkToFit="0" vertical="bottom" wrapText="0"/>
    </xf>
    <xf borderId="110" fillId="32" fontId="96" numFmtId="1" xfId="0" applyAlignment="1" applyBorder="1" applyFont="1" applyNumberFormat="1">
      <alignment horizontal="center" shrinkToFit="0" vertical="bottom" wrapText="0"/>
    </xf>
    <xf borderId="110" fillId="8" fontId="96" numFmtId="1" xfId="0" applyAlignment="1" applyBorder="1" applyFont="1" applyNumberFormat="1">
      <alignment horizontal="center" shrinkToFit="0" vertical="bottom" wrapText="1"/>
    </xf>
    <xf borderId="154" fillId="8" fontId="96" numFmtId="1" xfId="0" applyAlignment="1" applyBorder="1" applyFont="1" applyNumberFormat="1">
      <alignment horizontal="center" shrinkToFit="0" vertical="bottom" wrapText="1"/>
    </xf>
    <xf borderId="205" fillId="33" fontId="96" numFmtId="3" xfId="0" applyAlignment="1" applyBorder="1" applyFont="1" applyNumberFormat="1">
      <alignment horizontal="center" shrinkToFit="0" vertical="bottom" wrapText="0"/>
    </xf>
    <xf borderId="110" fillId="33" fontId="96" numFmtId="1" xfId="0" applyAlignment="1" applyBorder="1" applyFont="1" applyNumberFormat="1">
      <alignment horizontal="center" shrinkToFit="0" vertical="bottom" wrapText="0"/>
    </xf>
    <xf borderId="110" fillId="33" fontId="96" numFmtId="1" xfId="0" applyAlignment="1" applyBorder="1" applyFont="1" applyNumberFormat="1">
      <alignment horizontal="center" shrinkToFit="0" vertical="bottom" wrapText="1"/>
    </xf>
    <xf borderId="206" fillId="33" fontId="96" numFmtId="1" xfId="0" applyAlignment="1" applyBorder="1" applyFont="1" applyNumberFormat="1">
      <alignment horizontal="center" shrinkToFit="0" vertical="bottom" wrapText="1"/>
    </xf>
    <xf borderId="206" fillId="37" fontId="96" numFmtId="1" xfId="0" applyAlignment="1" applyBorder="1" applyFont="1" applyNumberFormat="1">
      <alignment horizontal="center" shrinkToFit="0" vertical="bottom" wrapText="1"/>
    </xf>
    <xf borderId="205" fillId="35" fontId="96" numFmtId="3" xfId="0" applyAlignment="1" applyBorder="1" applyFont="1" applyNumberFormat="1">
      <alignment horizontal="center" shrinkToFit="0" vertical="bottom" wrapText="0"/>
    </xf>
    <xf borderId="110" fillId="35" fontId="96" numFmtId="1" xfId="0" applyAlignment="1" applyBorder="1" applyFont="1" applyNumberFormat="1">
      <alignment horizontal="center" shrinkToFit="0" vertical="bottom" wrapText="0"/>
    </xf>
    <xf borderId="205" fillId="4" fontId="96" numFmtId="3" xfId="0" applyAlignment="1" applyBorder="1" applyFont="1" applyNumberFormat="1">
      <alignment horizontal="center" shrinkToFit="0" vertical="bottom" wrapText="0"/>
    </xf>
    <xf borderId="110" fillId="4" fontId="96" numFmtId="3" xfId="0" applyAlignment="1" applyBorder="1" applyFont="1" applyNumberFormat="1">
      <alignment horizontal="center" shrinkToFit="0" vertical="bottom" wrapText="0"/>
    </xf>
    <xf borderId="154" fillId="4" fontId="96" numFmtId="3" xfId="0" applyAlignment="1" applyBorder="1" applyFont="1" applyNumberFormat="1">
      <alignment horizontal="center" shrinkToFit="0" vertical="bottom" wrapText="1"/>
    </xf>
    <xf borderId="207" fillId="0" fontId="96" numFmtId="171" xfId="0" applyAlignment="1" applyBorder="1" applyFont="1" applyNumberFormat="1">
      <alignment horizontal="center" shrinkToFit="0" vertical="bottom" wrapText="0"/>
    </xf>
    <xf borderId="110" fillId="4" fontId="96" numFmtId="183" xfId="0" applyAlignment="1" applyBorder="1" applyFont="1" applyNumberFormat="1">
      <alignment horizontal="center" shrinkToFit="0" vertical="bottom" wrapText="0"/>
    </xf>
    <xf borderId="110" fillId="4" fontId="96" numFmtId="183" xfId="0" applyAlignment="1" applyBorder="1" applyFont="1" applyNumberFormat="1">
      <alignment horizontal="center" shrinkToFit="0" vertical="bottom" wrapText="1"/>
    </xf>
    <xf borderId="21" fillId="0" fontId="96" numFmtId="171" xfId="0" applyAlignment="1" applyBorder="1" applyFont="1" applyNumberFormat="1">
      <alignment horizontal="center" shrinkToFit="0" vertical="bottom" wrapText="0"/>
    </xf>
    <xf borderId="110" fillId="4" fontId="96" numFmtId="184" xfId="0" applyAlignment="1" applyBorder="1" applyFont="1" applyNumberFormat="1">
      <alignment horizontal="center" shrinkToFit="0" vertical="bottom" wrapText="0"/>
    </xf>
    <xf borderId="110" fillId="4" fontId="96" numFmtId="184" xfId="0" applyAlignment="1" applyBorder="1" applyFont="1" applyNumberFormat="1">
      <alignment horizontal="center" shrinkToFit="0" vertical="bottom" wrapText="1"/>
    </xf>
    <xf borderId="207" fillId="0" fontId="96" numFmtId="169" xfId="0" applyAlignment="1" applyBorder="1" applyFont="1" applyNumberFormat="1">
      <alignment horizontal="center" shrinkToFit="0" vertical="bottom" wrapText="0"/>
    </xf>
    <xf borderId="163" fillId="9" fontId="96" numFmtId="169" xfId="0" applyAlignment="1" applyBorder="1" applyFont="1" applyNumberFormat="1">
      <alignment horizontal="center" shrinkToFit="0" vertical="bottom" wrapText="0"/>
    </xf>
    <xf borderId="164" fillId="9" fontId="96" numFmtId="169" xfId="0" applyAlignment="1" applyBorder="1" applyFont="1" applyNumberFormat="1">
      <alignment horizontal="center" shrinkToFit="0" vertical="bottom" wrapText="0"/>
    </xf>
    <xf borderId="110" fillId="35" fontId="96" numFmtId="2" xfId="0" applyAlignment="1" applyBorder="1" applyFont="1" applyNumberFormat="1">
      <alignment horizontal="center" shrinkToFit="0" vertical="bottom" wrapText="1"/>
    </xf>
    <xf borderId="208" fillId="35" fontId="96" numFmtId="2" xfId="0" applyAlignment="1" applyBorder="1" applyFont="1" applyNumberFormat="1">
      <alignment horizontal="center" shrinkToFit="0" vertical="bottom" wrapText="1"/>
    </xf>
    <xf borderId="205" fillId="8" fontId="96" numFmtId="169" xfId="0" applyAlignment="1" applyBorder="1" applyFont="1" applyNumberFormat="1">
      <alignment horizontal="center" shrinkToFit="0" vertical="bottom" wrapText="1"/>
    </xf>
    <xf borderId="208" fillId="8" fontId="96" numFmtId="169" xfId="0" applyAlignment="1" applyBorder="1" applyFont="1" applyNumberFormat="1">
      <alignment horizontal="center" shrinkToFit="0" vertical="bottom" wrapText="1"/>
    </xf>
    <xf borderId="206" fillId="8" fontId="96" numFmtId="169" xfId="0" applyAlignment="1" applyBorder="1" applyFont="1" applyNumberFormat="1">
      <alignment horizontal="center" shrinkToFit="0" vertical="bottom" wrapText="1"/>
    </xf>
    <xf borderId="168" fillId="0" fontId="96" numFmtId="0" xfId="0" applyAlignment="1" applyBorder="1" applyFont="1">
      <alignment shrinkToFit="0" vertical="bottom" wrapText="0"/>
    </xf>
    <xf borderId="166" fillId="0" fontId="96" numFmtId="3" xfId="0" applyAlignment="1" applyBorder="1" applyFont="1" applyNumberFormat="1">
      <alignment horizontal="center" shrinkToFit="0" vertical="center" wrapText="0"/>
    </xf>
    <xf borderId="166" fillId="31" fontId="96" numFmtId="3" xfId="0" applyAlignment="1" applyBorder="1" applyFont="1" applyNumberFormat="1">
      <alignment horizontal="center" shrinkToFit="0" vertical="center" wrapText="0"/>
    </xf>
    <xf borderId="166" fillId="32" fontId="96" numFmtId="3" xfId="0" applyAlignment="1" applyBorder="1" applyFont="1" applyNumberFormat="1">
      <alignment horizontal="center" shrinkToFit="0" vertical="center" wrapText="0"/>
    </xf>
    <xf borderId="166" fillId="8" fontId="96" numFmtId="3" xfId="0" applyAlignment="1" applyBorder="1" applyFont="1" applyNumberFormat="1">
      <alignment horizontal="center" shrinkToFit="0" vertical="center" wrapText="0"/>
    </xf>
    <xf borderId="166" fillId="33" fontId="96" numFmtId="3" xfId="0" applyAlignment="1" applyBorder="1" applyFont="1" applyNumberFormat="1">
      <alignment horizontal="center" shrinkToFit="0" vertical="center" wrapText="0"/>
    </xf>
    <xf borderId="209" fillId="33" fontId="96" numFmtId="3" xfId="0" applyAlignment="1" applyBorder="1" applyFont="1" applyNumberFormat="1">
      <alignment horizontal="center" shrinkToFit="0" vertical="center" wrapText="0"/>
    </xf>
    <xf borderId="209" fillId="37" fontId="96" numFmtId="3" xfId="0" applyAlignment="1" applyBorder="1" applyFont="1" applyNumberFormat="1">
      <alignment horizontal="center" shrinkToFit="0" vertical="center" wrapText="0"/>
    </xf>
    <xf borderId="166" fillId="35" fontId="96" numFmtId="3" xfId="0" applyAlignment="1" applyBorder="1" applyFont="1" applyNumberFormat="1">
      <alignment horizontal="center" shrinkToFit="0" vertical="center" wrapText="0"/>
    </xf>
    <xf borderId="210" fillId="4" fontId="96" numFmtId="3" xfId="0" applyAlignment="1" applyBorder="1" applyFont="1" applyNumberFormat="1">
      <alignment horizontal="center" shrinkToFit="0" vertical="center" wrapText="0"/>
    </xf>
    <xf borderId="211" fillId="4" fontId="96" numFmtId="3" xfId="0" applyAlignment="1" applyBorder="1" applyFont="1" applyNumberFormat="1">
      <alignment horizontal="center" shrinkToFit="0" vertical="center" wrapText="0"/>
    </xf>
    <xf borderId="212" fillId="4" fontId="96" numFmtId="3" xfId="0" applyAlignment="1" applyBorder="1" applyFont="1" applyNumberFormat="1">
      <alignment horizontal="center" shrinkToFit="0" vertical="center" wrapText="0"/>
    </xf>
    <xf borderId="165" fillId="9" fontId="96" numFmtId="0" xfId="0" applyAlignment="1" applyBorder="1" applyFont="1">
      <alignment horizontal="center" shrinkToFit="0" vertical="center" wrapText="0"/>
    </xf>
    <xf borderId="166" fillId="9" fontId="96" numFmtId="0" xfId="0" applyAlignment="1" applyBorder="1" applyFont="1">
      <alignment horizontal="center" shrinkToFit="0" vertical="center" wrapText="0"/>
    </xf>
    <xf borderId="166" fillId="4" fontId="96" numFmtId="0" xfId="0" applyAlignment="1" applyBorder="1" applyFont="1">
      <alignment horizontal="center" shrinkToFit="0" vertical="center" wrapText="0"/>
    </xf>
    <xf borderId="167" fillId="4" fontId="96" numFmtId="0" xfId="0" applyAlignment="1" applyBorder="1" applyFont="1">
      <alignment horizontal="center" shrinkToFit="0" vertical="center" wrapText="0"/>
    </xf>
    <xf borderId="165" fillId="4" fontId="96" numFmtId="0" xfId="0" applyAlignment="1" applyBorder="1" applyFont="1">
      <alignment horizontal="center" shrinkToFit="0" vertical="center" wrapText="0"/>
    </xf>
    <xf borderId="136" fillId="0" fontId="97" numFmtId="0" xfId="0" applyAlignment="1" applyBorder="1" applyFont="1">
      <alignment horizontal="left" shrinkToFit="0" vertical="bottom" wrapText="0"/>
    </xf>
    <xf borderId="0" fillId="0" fontId="95" numFmtId="0" xfId="0" applyAlignment="1" applyFont="1">
      <alignment shrinkToFit="0" vertical="bottom" wrapText="0"/>
    </xf>
    <xf borderId="0" fillId="0" fontId="95" numFmtId="3" xfId="0" applyAlignment="1" applyFont="1" applyNumberFormat="1">
      <alignment shrinkToFit="0" vertical="bottom" wrapText="0"/>
    </xf>
    <xf borderId="130" fillId="0" fontId="95" numFmtId="0" xfId="0" applyAlignment="1" applyBorder="1" applyFont="1">
      <alignment shrinkToFit="0" vertical="bottom" wrapText="0"/>
    </xf>
    <xf borderId="136" fillId="0" fontId="97" numFmtId="0" xfId="0" applyAlignment="1" applyBorder="1" applyFont="1">
      <alignment shrinkToFit="0" vertical="bottom" wrapText="0"/>
    </xf>
    <xf borderId="0" fillId="0" fontId="95" numFmtId="0" xfId="0" applyAlignment="1" applyFont="1">
      <alignment horizontal="left" shrinkToFit="0" vertical="bottom" wrapText="0"/>
    </xf>
    <xf borderId="0" fillId="0" fontId="95" numFmtId="49" xfId="0" applyAlignment="1" applyFont="1" applyNumberFormat="1">
      <alignment shrinkToFit="0" vertical="bottom" wrapText="0"/>
    </xf>
    <xf borderId="136" fillId="0" fontId="95" numFmtId="0" xfId="0" applyAlignment="1" applyBorder="1" applyFont="1">
      <alignment horizontal="left" shrinkToFit="0" vertical="bottom" wrapText="0"/>
    </xf>
    <xf borderId="0" fillId="0" fontId="97" numFmtId="0" xfId="0" applyAlignment="1" applyFont="1">
      <alignment shrinkToFit="0" vertical="bottom" wrapText="0"/>
    </xf>
    <xf borderId="0" fillId="0" fontId="98" numFmtId="0" xfId="0" applyAlignment="1" applyFont="1">
      <alignment shrinkToFit="0" vertical="bottom" wrapText="0"/>
    </xf>
    <xf borderId="0" fillId="0" fontId="93" numFmtId="0" xfId="0" applyAlignment="1" applyFont="1">
      <alignment shrinkToFit="0" vertical="bottom" wrapText="0"/>
    </xf>
    <xf borderId="47" fillId="0" fontId="97" numFmtId="0" xfId="0" applyAlignment="1" applyBorder="1" applyFont="1">
      <alignment horizontal="left" shrinkToFit="0" vertical="center" wrapText="1"/>
    </xf>
    <xf borderId="39" fillId="0" fontId="95" numFmtId="0" xfId="0" applyAlignment="1" applyBorder="1" applyFont="1">
      <alignment shrinkToFit="0" vertical="bottom" wrapText="0"/>
    </xf>
    <xf borderId="39" fillId="0" fontId="97" numFmtId="0" xfId="0" applyAlignment="1" applyBorder="1" applyFont="1">
      <alignment shrinkToFit="0" vertical="bottom" wrapText="0"/>
    </xf>
    <xf borderId="39" fillId="0" fontId="98" numFmtId="0" xfId="0" applyAlignment="1" applyBorder="1" applyFont="1">
      <alignment shrinkToFit="0" vertical="bottom" wrapText="0"/>
    </xf>
    <xf borderId="39" fillId="0" fontId="8" numFmtId="0" xfId="0" applyAlignment="1" applyBorder="1" applyFont="1">
      <alignment shrinkToFit="0" vertical="bottom" wrapText="0"/>
    </xf>
    <xf borderId="137" fillId="0" fontId="95" numFmtId="0" xfId="0" applyAlignment="1" applyBorder="1" applyFont="1">
      <alignment shrinkToFit="0" vertical="bottom" wrapText="0"/>
    </xf>
    <xf borderId="0" fillId="0" fontId="92" numFmtId="0" xfId="0" applyAlignment="1" applyFont="1">
      <alignment horizontal="center" shrinkToFit="0" vertical="center" wrapText="1"/>
    </xf>
    <xf borderId="0" fillId="0" fontId="73" numFmtId="0" xfId="0" applyAlignment="1" applyFont="1">
      <alignment horizontal="left" shrinkToFit="0" vertical="center" wrapText="0"/>
    </xf>
    <xf borderId="0" fillId="0" fontId="99" numFmtId="0" xfId="0" applyAlignment="1" applyFont="1">
      <alignment horizontal="left" shrinkToFit="0" vertical="center" wrapText="0"/>
    </xf>
    <xf borderId="4" fillId="9" fontId="71" numFmtId="0" xfId="0" applyAlignment="1" applyBorder="1" applyFont="1">
      <alignment shrinkToFit="0" vertical="bottom" wrapText="0"/>
    </xf>
    <xf borderId="0" fillId="0" fontId="78" numFmtId="0" xfId="0" applyAlignment="1" applyFont="1">
      <alignment shrinkToFit="0" vertical="bottom" wrapText="0"/>
    </xf>
    <xf borderId="187" fillId="9" fontId="91" numFmtId="0" xfId="0" applyAlignment="1" applyBorder="1" applyFont="1">
      <alignment horizontal="left" shrinkToFit="0" vertical="bottom" wrapText="0"/>
    </xf>
    <xf borderId="4" fillId="9" fontId="73" numFmtId="0" xfId="0" applyAlignment="1" applyBorder="1" applyFont="1">
      <alignment shrinkToFit="0" vertical="bottom" wrapText="0"/>
    </xf>
    <xf borderId="4" fillId="9" fontId="91" numFmtId="0" xfId="0" applyAlignment="1" applyBorder="1" applyFont="1">
      <alignment horizontal="left" shrinkToFit="0" vertical="bottom" wrapText="0"/>
    </xf>
    <xf borderId="120" fillId="0" fontId="93" numFmtId="0" xfId="0" applyAlignment="1" applyBorder="1" applyFont="1">
      <alignment horizontal="left" shrinkToFit="0" vertical="center" wrapText="0"/>
    </xf>
    <xf borderId="121" fillId="0" fontId="93" numFmtId="0" xfId="0" applyAlignment="1" applyBorder="1" applyFont="1">
      <alignment horizontal="center" shrinkToFit="0" vertical="center" wrapText="0"/>
    </xf>
    <xf borderId="17" fillId="0" fontId="93" numFmtId="0" xfId="0" applyAlignment="1" applyBorder="1" applyFont="1">
      <alignment horizontal="left" shrinkToFit="0" vertical="center" wrapText="0"/>
    </xf>
    <xf borderId="0" fillId="0" fontId="95" numFmtId="0" xfId="0" applyAlignment="1" applyFont="1">
      <alignment horizontal="left" shrinkToFit="0" vertical="center" wrapText="0"/>
    </xf>
    <xf borderId="0" fillId="0" fontId="95" numFmtId="0" xfId="0" applyAlignment="1" applyFont="1">
      <alignment shrinkToFit="0" vertical="center" wrapText="0"/>
    </xf>
    <xf borderId="0" fillId="0" fontId="100" numFmtId="49" xfId="0" applyAlignment="1" applyFont="1" applyNumberFormat="1">
      <alignment shrinkToFit="0" vertical="center" wrapText="0"/>
    </xf>
    <xf borderId="0" fillId="0" fontId="101" numFmtId="182" xfId="0" applyAlignment="1" applyFont="1" applyNumberFormat="1">
      <alignment shrinkToFit="0" vertical="center" wrapText="0"/>
    </xf>
    <xf borderId="18" fillId="0" fontId="95" numFmtId="0" xfId="0" applyAlignment="1" applyBorder="1" applyFont="1">
      <alignment shrinkToFit="0" vertical="bottom" wrapText="0"/>
    </xf>
    <xf borderId="153" fillId="4" fontId="95" numFmtId="0" xfId="0" applyAlignment="1" applyBorder="1" applyFont="1">
      <alignment shrinkToFit="0" vertical="bottom" wrapText="0"/>
    </xf>
    <xf borderId="68" fillId="0" fontId="97" numFmtId="0" xfId="0" applyAlignment="1" applyBorder="1" applyFont="1">
      <alignment horizontal="center" shrinkToFit="0" vertical="center" wrapText="0"/>
    </xf>
    <xf borderId="104" fillId="4" fontId="97" numFmtId="0" xfId="0" applyAlignment="1" applyBorder="1" applyFont="1">
      <alignment shrinkToFit="0" vertical="bottom" wrapText="0"/>
    </xf>
    <xf borderId="120" fillId="0" fontId="97" numFmtId="0" xfId="0" applyAlignment="1" applyBorder="1" applyFont="1">
      <alignment horizontal="center" shrinkToFit="0" vertical="center" wrapText="0"/>
    </xf>
    <xf borderId="121" fillId="0" fontId="97" numFmtId="0" xfId="0" applyAlignment="1" applyBorder="1" applyFont="1">
      <alignment horizontal="center" shrinkToFit="0" vertical="center" wrapText="0"/>
    </xf>
    <xf borderId="8" fillId="0" fontId="97" numFmtId="0" xfId="0" applyAlignment="1" applyBorder="1" applyFont="1">
      <alignment horizontal="center" shrinkToFit="0" vertical="center" wrapText="0"/>
    </xf>
    <xf borderId="161" fillId="0" fontId="97" numFmtId="0" xfId="0" applyAlignment="1" applyBorder="1" applyFont="1">
      <alignment horizontal="center" shrinkToFit="0" vertical="center" wrapText="0"/>
    </xf>
    <xf borderId="126" fillId="0" fontId="97" numFmtId="0" xfId="0" applyAlignment="1" applyBorder="1" applyFont="1">
      <alignment horizontal="center" shrinkToFit="0" vertical="center" wrapText="1"/>
    </xf>
    <xf borderId="46" fillId="0" fontId="97" numFmtId="0" xfId="0" applyAlignment="1" applyBorder="1" applyFont="1">
      <alignment horizontal="center" shrinkToFit="0" vertical="center" wrapText="0"/>
    </xf>
    <xf borderId="118" fillId="0" fontId="97" numFmtId="0" xfId="0" applyAlignment="1" applyBorder="1" applyFont="1">
      <alignment horizontal="center" shrinkToFit="0" vertical="center" wrapText="0"/>
    </xf>
    <xf borderId="88" fillId="0" fontId="97" numFmtId="0" xfId="0" applyAlignment="1" applyBorder="1" applyFont="1">
      <alignment horizontal="center" shrinkToFit="0" vertical="center" wrapText="0"/>
    </xf>
    <xf borderId="161" fillId="0" fontId="97" numFmtId="0" xfId="0" applyAlignment="1" applyBorder="1" applyFont="1">
      <alignment horizontal="center" shrinkToFit="0" vertical="center" wrapText="1"/>
    </xf>
    <xf borderId="46" fillId="0" fontId="97" numFmtId="0" xfId="0" applyAlignment="1" applyBorder="1" applyFont="1">
      <alignment horizontal="center" shrinkToFit="0" vertical="center" wrapText="1"/>
    </xf>
    <xf borderId="213" fillId="9" fontId="93" numFmtId="0" xfId="0" applyAlignment="1" applyBorder="1" applyFont="1">
      <alignment horizontal="left" shrinkToFit="0" vertical="center" wrapText="0"/>
    </xf>
    <xf borderId="162" fillId="0" fontId="98" numFmtId="3" xfId="0" applyAlignment="1" applyBorder="1" applyFont="1" applyNumberFormat="1">
      <alignment horizontal="center" shrinkToFit="0" vertical="center" wrapText="0"/>
    </xf>
    <xf borderId="163" fillId="0" fontId="98" numFmtId="3" xfId="0" applyAlignment="1" applyBorder="1" applyFont="1" applyNumberFormat="1">
      <alignment horizontal="center" shrinkToFit="0" vertical="center" wrapText="0"/>
    </xf>
    <xf borderId="163" fillId="0" fontId="98" numFmtId="169" xfId="0" applyAlignment="1" applyBorder="1" applyFont="1" applyNumberFormat="1">
      <alignment horizontal="center" shrinkToFit="0" vertical="center" wrapText="0"/>
    </xf>
    <xf borderId="164" fillId="0" fontId="98" numFmtId="169" xfId="0" applyAlignment="1" applyBorder="1" applyFont="1" applyNumberFormat="1">
      <alignment horizontal="center" shrinkToFit="0" vertical="center" wrapText="0"/>
    </xf>
    <xf borderId="120" fillId="0" fontId="98" numFmtId="3" xfId="0" applyAlignment="1" applyBorder="1" applyFont="1" applyNumberFormat="1">
      <alignment horizontal="center" shrinkToFit="0" vertical="center" wrapText="0"/>
    </xf>
    <xf borderId="163" fillId="0" fontId="98" numFmtId="1" xfId="0" applyAlignment="1" applyBorder="1" applyFont="1" applyNumberFormat="1">
      <alignment horizontal="center" shrinkToFit="0" vertical="center" wrapText="0"/>
    </xf>
    <xf borderId="214" fillId="4" fontId="93" numFmtId="0" xfId="0" applyAlignment="1" applyBorder="1" applyFont="1">
      <alignment horizontal="center" shrinkToFit="0" vertical="center" wrapText="0"/>
    </xf>
    <xf borderId="215" fillId="4" fontId="93" numFmtId="49" xfId="0" applyAlignment="1" applyBorder="1" applyFont="1" applyNumberFormat="1">
      <alignment horizontal="center" shrinkToFit="0" vertical="center" wrapText="0"/>
    </xf>
    <xf borderId="163" fillId="0" fontId="102" numFmtId="169" xfId="0" applyAlignment="1" applyBorder="1" applyFont="1" applyNumberFormat="1">
      <alignment horizontal="center" shrinkToFit="0" vertical="center" wrapText="0"/>
    </xf>
    <xf borderId="164" fillId="0" fontId="102" numFmtId="169" xfId="0" applyAlignment="1" applyBorder="1" applyFont="1" applyNumberFormat="1">
      <alignment horizontal="center" shrinkToFit="0" vertical="center" wrapText="0"/>
    </xf>
    <xf borderId="216" fillId="0" fontId="93" numFmtId="0" xfId="0" applyAlignment="1" applyBorder="1" applyFont="1">
      <alignment shrinkToFit="0" vertical="center" wrapText="0"/>
    </xf>
    <xf borderId="91" fillId="0" fontId="98" numFmtId="3" xfId="0" applyAlignment="1" applyBorder="1" applyFont="1" applyNumberFormat="1">
      <alignment horizontal="center" shrinkToFit="0" vertical="center" wrapText="0"/>
    </xf>
    <xf borderId="40" fillId="0" fontId="98" numFmtId="3" xfId="0" applyAlignment="1" applyBorder="1" applyFont="1" applyNumberFormat="1">
      <alignment horizontal="center" shrinkToFit="0" vertical="center" wrapText="0"/>
    </xf>
    <xf borderId="40" fillId="0" fontId="98" numFmtId="169" xfId="0" applyAlignment="1" applyBorder="1" applyFont="1" applyNumberFormat="1">
      <alignment horizontal="center" shrinkToFit="0" vertical="center" wrapText="0"/>
    </xf>
    <xf borderId="45" fillId="0" fontId="98" numFmtId="169" xfId="0" applyAlignment="1" applyBorder="1" applyFont="1" applyNumberFormat="1">
      <alignment horizontal="center" shrinkToFit="0" vertical="center" wrapText="0"/>
    </xf>
    <xf borderId="191" fillId="0" fontId="98" numFmtId="3" xfId="0" applyAlignment="1" applyBorder="1" applyFont="1" applyNumberFormat="1">
      <alignment horizontal="center" shrinkToFit="0" vertical="center" wrapText="0"/>
    </xf>
    <xf borderId="40" fillId="0" fontId="98" numFmtId="1" xfId="0" applyAlignment="1" applyBorder="1" applyFont="1" applyNumberFormat="1">
      <alignment horizontal="center" shrinkToFit="0" vertical="center" wrapText="0"/>
    </xf>
    <xf borderId="127" fillId="4" fontId="93" numFmtId="0" xfId="0" applyAlignment="1" applyBorder="1" applyFont="1">
      <alignment horizontal="center" shrinkToFit="0" vertical="center" wrapText="0"/>
    </xf>
    <xf borderId="124" fillId="4" fontId="93" numFmtId="49" xfId="0" applyAlignment="1" applyBorder="1" applyFont="1" applyNumberFormat="1">
      <alignment horizontal="center" shrinkToFit="0" vertical="center" wrapText="0"/>
    </xf>
    <xf borderId="40" fillId="0" fontId="102" numFmtId="169" xfId="0" applyAlignment="1" applyBorder="1" applyFont="1" applyNumberFormat="1">
      <alignment horizontal="center" shrinkToFit="0" vertical="center" wrapText="0"/>
    </xf>
    <xf borderId="45" fillId="0" fontId="102" numFmtId="169" xfId="0" applyAlignment="1" applyBorder="1" applyFont="1" applyNumberFormat="1">
      <alignment horizontal="center" shrinkToFit="0" vertical="center" wrapText="0"/>
    </xf>
    <xf borderId="127" fillId="4" fontId="31" numFmtId="0" xfId="0" applyAlignment="1" applyBorder="1" applyFont="1">
      <alignment horizontal="center" shrinkToFit="0" vertical="center" wrapText="0"/>
    </xf>
    <xf borderId="124" fillId="4" fontId="31" numFmtId="49" xfId="0" applyAlignment="1" applyBorder="1" applyFont="1" applyNumberFormat="1">
      <alignment horizontal="center" shrinkToFit="0" vertical="center" wrapText="0"/>
    </xf>
    <xf borderId="159" fillId="0" fontId="93" numFmtId="3" xfId="0" applyAlignment="1" applyBorder="1" applyFont="1" applyNumberFormat="1">
      <alignment horizontal="center" shrinkToFit="0" vertical="center" wrapText="0"/>
    </xf>
    <xf borderId="40" fillId="0" fontId="93" numFmtId="1" xfId="0" applyAlignment="1" applyBorder="1" applyFont="1" applyNumberFormat="1">
      <alignment horizontal="center" shrinkToFit="0" vertical="center" wrapText="0"/>
    </xf>
    <xf borderId="40" fillId="0" fontId="93" numFmtId="169" xfId="0" applyAlignment="1" applyBorder="1" applyFont="1" applyNumberFormat="1">
      <alignment horizontal="center" shrinkToFit="0" vertical="center" wrapText="0"/>
    </xf>
    <xf borderId="45" fillId="0" fontId="93" numFmtId="169" xfId="0" applyAlignment="1" applyBorder="1" applyFont="1" applyNumberFormat="1">
      <alignment horizontal="center" shrinkToFit="0" vertical="center" wrapText="0"/>
    </xf>
    <xf borderId="91" fillId="0" fontId="93" numFmtId="3" xfId="0" applyAlignment="1" applyBorder="1" applyFont="1" applyNumberFormat="1">
      <alignment horizontal="center" shrinkToFit="0" vertical="center" wrapText="0"/>
    </xf>
    <xf borderId="45" fillId="9" fontId="93" numFmtId="169" xfId="0" applyAlignment="1" applyBorder="1" applyFont="1" applyNumberFormat="1">
      <alignment horizontal="center" shrinkToFit="0" vertical="center" wrapText="0"/>
    </xf>
    <xf borderId="40" fillId="0" fontId="31" numFmtId="169" xfId="0" applyAlignment="1" applyBorder="1" applyFont="1" applyNumberFormat="1">
      <alignment horizontal="center" shrinkToFit="0" vertical="center" wrapText="0"/>
    </xf>
    <xf borderId="45" fillId="0" fontId="31" numFmtId="169" xfId="0" applyAlignment="1" applyBorder="1" applyFont="1" applyNumberFormat="1">
      <alignment horizontal="center" shrinkToFit="0" vertical="center" wrapText="0"/>
    </xf>
    <xf borderId="181" fillId="0" fontId="93" numFmtId="169" xfId="0" applyAlignment="1" applyBorder="1" applyFont="1" applyNumberFormat="1">
      <alignment horizontal="center" shrinkToFit="0" vertical="center" wrapText="0"/>
    </xf>
    <xf borderId="161" fillId="0" fontId="93" numFmtId="3" xfId="0" applyAlignment="1" applyBorder="1" applyFont="1" applyNumberFormat="1">
      <alignment horizontal="center" shrinkToFit="0" vertical="center" wrapText="0"/>
    </xf>
    <xf borderId="126" fillId="0" fontId="93" numFmtId="1" xfId="0" applyAlignment="1" applyBorder="1" applyFont="1" applyNumberFormat="1">
      <alignment horizontal="center" shrinkToFit="0" vertical="center" wrapText="0"/>
    </xf>
    <xf borderId="126" fillId="0" fontId="93" numFmtId="169" xfId="0" applyAlignment="1" applyBorder="1" applyFont="1" applyNumberFormat="1">
      <alignment horizontal="center" shrinkToFit="0" vertical="center" wrapText="0"/>
    </xf>
    <xf borderId="46" fillId="9" fontId="93" numFmtId="169" xfId="0" applyAlignment="1" applyBorder="1" applyFont="1" applyNumberFormat="1">
      <alignment horizontal="center" shrinkToFit="0" vertical="center" wrapText="0"/>
    </xf>
    <xf borderId="126" fillId="0" fontId="31" numFmtId="169" xfId="0" applyAlignment="1" applyBorder="1" applyFont="1" applyNumberFormat="1">
      <alignment horizontal="center" shrinkToFit="0" vertical="center" wrapText="0"/>
    </xf>
    <xf borderId="46" fillId="0" fontId="31" numFmtId="169" xfId="0" applyAlignment="1" applyBorder="1" applyFont="1" applyNumberFormat="1">
      <alignment horizontal="center" shrinkToFit="0" vertical="center" wrapText="0"/>
    </xf>
    <xf borderId="217" fillId="0" fontId="93" numFmtId="0" xfId="0" applyAlignment="1" applyBorder="1" applyFont="1">
      <alignment shrinkToFit="0" vertical="center" wrapText="0"/>
    </xf>
    <xf borderId="194" fillId="0" fontId="93" numFmtId="3" xfId="0" applyAlignment="1" applyBorder="1" applyFont="1" applyNumberFormat="1">
      <alignment horizontal="center" shrinkToFit="0" vertical="center" wrapText="0"/>
    </xf>
    <xf borderId="76" fillId="0" fontId="93" numFmtId="1" xfId="0" applyAlignment="1" applyBorder="1" applyFont="1" applyNumberFormat="1">
      <alignment horizontal="center" shrinkToFit="0" vertical="center" wrapText="0"/>
    </xf>
    <xf borderId="77" fillId="0" fontId="93" numFmtId="1" xfId="0" applyAlignment="1" applyBorder="1" applyFont="1" applyNumberFormat="1">
      <alignment horizontal="center" shrinkToFit="0" vertical="center" wrapText="0"/>
    </xf>
    <xf borderId="46" fillId="0" fontId="93" numFmtId="1" xfId="0" applyAlignment="1" applyBorder="1" applyFont="1" applyNumberFormat="1">
      <alignment horizontal="center" shrinkToFit="0" vertical="center" wrapText="0"/>
    </xf>
    <xf borderId="130" fillId="0" fontId="93" numFmtId="1" xfId="0" applyAlignment="1" applyBorder="1" applyFont="1" applyNumberFormat="1">
      <alignment horizontal="center" shrinkToFit="0" vertical="center" wrapText="0"/>
    </xf>
    <xf borderId="140" fillId="0" fontId="93" numFmtId="1" xfId="0" applyAlignment="1" applyBorder="1" applyFont="1" applyNumberFormat="1">
      <alignment horizontal="center" shrinkToFit="0" vertical="center" wrapText="0"/>
    </xf>
    <xf borderId="202" fillId="4" fontId="31" numFmtId="0" xfId="0" applyAlignment="1" applyBorder="1" applyFont="1">
      <alignment horizontal="center" shrinkToFit="0" vertical="center" wrapText="0"/>
    </xf>
    <xf borderId="35" fillId="4" fontId="31" numFmtId="49" xfId="0" applyAlignment="1" applyBorder="1" applyFont="1" applyNumberFormat="1">
      <alignment horizontal="center" shrinkToFit="0" vertical="center" wrapText="0"/>
    </xf>
    <xf borderId="197" fillId="0" fontId="93" numFmtId="3" xfId="0" applyAlignment="1" applyBorder="1" applyFont="1" applyNumberFormat="1">
      <alignment horizontal="center" shrinkToFit="0" vertical="center" wrapText="0"/>
    </xf>
    <xf borderId="32" fillId="0" fontId="93" numFmtId="1" xfId="0" applyAlignment="1" applyBorder="1" applyFont="1" applyNumberFormat="1">
      <alignment horizontal="center" shrinkToFit="0" vertical="center" wrapText="0"/>
    </xf>
    <xf borderId="140" fillId="0" fontId="31" numFmtId="169" xfId="0" applyAlignment="1" applyBorder="1" applyFont="1" applyNumberFormat="1">
      <alignment horizontal="center" shrinkToFit="0" vertical="center" wrapText="0"/>
    </xf>
    <xf borderId="182" fillId="0" fontId="31" numFmtId="169" xfId="0" applyAlignment="1" applyBorder="1" applyFont="1" applyNumberFormat="1">
      <alignment horizontal="center" shrinkToFit="0" vertical="center" wrapText="0"/>
    </xf>
    <xf borderId="82" fillId="0" fontId="98" numFmtId="169" xfId="0" applyAlignment="1" applyBorder="1" applyFont="1" applyNumberFormat="1">
      <alignment shrinkToFit="0" vertical="center" wrapText="0"/>
    </xf>
    <xf borderId="192" fillId="0" fontId="103" numFmtId="3" xfId="0" applyAlignment="1" applyBorder="1" applyFont="1" applyNumberFormat="1">
      <alignment horizontal="center" shrinkToFit="0" vertical="center" wrapText="0"/>
    </xf>
    <xf borderId="166" fillId="4" fontId="103" numFmtId="3" xfId="0" applyAlignment="1" applyBorder="1" applyFont="1" applyNumberFormat="1">
      <alignment horizontal="center" shrinkToFit="0" vertical="center" wrapText="0"/>
    </xf>
    <xf borderId="167" fillId="4" fontId="103" numFmtId="3" xfId="0" applyAlignment="1" applyBorder="1" applyFont="1" applyNumberFormat="1">
      <alignment horizontal="center" shrinkToFit="0" vertical="center" wrapText="0"/>
    </xf>
    <xf borderId="209" fillId="4" fontId="103" numFmtId="3" xfId="0" applyAlignment="1" applyBorder="1" applyFont="1" applyNumberFormat="1">
      <alignment horizontal="center" shrinkToFit="0" vertical="center" wrapText="0"/>
    </xf>
    <xf borderId="165" fillId="14" fontId="103" numFmtId="3" xfId="0" applyAlignment="1" applyBorder="1" applyFont="1" applyNumberFormat="1">
      <alignment horizontal="center" shrinkToFit="0" vertical="center" wrapText="0"/>
    </xf>
    <xf borderId="167" fillId="14" fontId="103" numFmtId="3" xfId="0" applyAlignment="1" applyBorder="1" applyFont="1" applyNumberFormat="1">
      <alignment horizontal="center" shrinkToFit="0" vertical="center" wrapText="0"/>
    </xf>
    <xf borderId="166" fillId="0" fontId="103" numFmtId="3" xfId="0" applyAlignment="1" applyBorder="1" applyFont="1" applyNumberFormat="1">
      <alignment horizontal="center" shrinkToFit="0" vertical="center" wrapText="0"/>
    </xf>
    <xf borderId="0" fillId="0" fontId="97" numFmtId="0" xfId="0" applyAlignment="1" applyFont="1">
      <alignment horizontal="center" shrinkToFit="0" vertical="center" wrapText="0"/>
    </xf>
    <xf borderId="0" fillId="0" fontId="104" numFmtId="0" xfId="0" applyAlignment="1" applyFont="1">
      <alignment horizontal="center" shrinkToFit="0" vertical="bottom" wrapText="0"/>
    </xf>
    <xf borderId="0" fillId="0" fontId="104" numFmtId="0" xfId="0" applyAlignment="1" applyFont="1">
      <alignment horizontal="center" shrinkToFit="0" vertical="center" wrapText="0"/>
    </xf>
    <xf borderId="0" fillId="0" fontId="104" numFmtId="169" xfId="0" applyAlignment="1" applyFont="1" applyNumberFormat="1">
      <alignment horizontal="center" shrinkToFit="0" vertical="center" wrapText="0"/>
    </xf>
    <xf borderId="0" fillId="0" fontId="104" numFmtId="169" xfId="0" applyAlignment="1" applyFont="1" applyNumberFormat="1">
      <alignment horizontal="center" shrinkToFit="0" vertical="bottom" wrapText="0"/>
    </xf>
    <xf borderId="68" fillId="0" fontId="95" numFmtId="0" xfId="0" applyAlignment="1" applyBorder="1" applyFont="1">
      <alignment horizontal="center" shrinkToFit="0" vertical="bottom" wrapText="0"/>
    </xf>
    <xf borderId="218" fillId="9" fontId="31" numFmtId="0" xfId="0" applyAlignment="1" applyBorder="1" applyFont="1">
      <alignment horizontal="center" shrinkToFit="0" vertical="center" wrapText="0"/>
    </xf>
    <xf borderId="5" fillId="0" fontId="93" numFmtId="0" xfId="0" applyAlignment="1" applyBorder="1" applyFont="1">
      <alignment horizontal="left" shrinkToFit="0" vertical="center" wrapText="0"/>
    </xf>
    <xf borderId="6" fillId="0" fontId="93" numFmtId="0" xfId="0" applyAlignment="1" applyBorder="1" applyFont="1">
      <alignment horizontal="left" shrinkToFit="0" vertical="center" wrapText="0"/>
    </xf>
    <xf borderId="6" fillId="0" fontId="93" numFmtId="0" xfId="0" applyAlignment="1" applyBorder="1" applyFont="1">
      <alignment shrinkToFit="0" vertical="bottom" wrapText="0"/>
    </xf>
    <xf borderId="6" fillId="0" fontId="93" numFmtId="0" xfId="0" applyAlignment="1" applyBorder="1" applyFont="1">
      <alignment shrinkToFit="0" vertical="center" wrapText="0"/>
    </xf>
    <xf borderId="69" fillId="0" fontId="105" numFmtId="49" xfId="0" applyAlignment="1" applyBorder="1" applyFont="1" applyNumberFormat="1">
      <alignment horizontal="center" shrinkToFit="0" vertical="bottom" wrapText="0"/>
    </xf>
    <xf borderId="7" fillId="0" fontId="95" numFmtId="0" xfId="0" applyAlignment="1" applyBorder="1" applyFont="1">
      <alignment shrinkToFit="0" vertical="bottom" wrapText="0"/>
    </xf>
    <xf borderId="5" fillId="0" fontId="102" numFmtId="0" xfId="0" applyAlignment="1" applyBorder="1" applyFont="1">
      <alignment horizontal="center" shrinkToFit="0" vertical="center" wrapText="1"/>
    </xf>
    <xf borderId="204" fillId="0" fontId="102" numFmtId="0" xfId="0" applyAlignment="1" applyBorder="1" applyFont="1">
      <alignment horizontal="center" shrinkToFit="0" vertical="center" wrapText="1"/>
    </xf>
    <xf borderId="21" fillId="0" fontId="102" numFmtId="0" xfId="0" applyAlignment="1" applyBorder="1" applyFont="1">
      <alignment horizontal="center" shrinkToFit="0" vertical="center" wrapText="1"/>
    </xf>
    <xf borderId="219" fillId="0" fontId="102" numFmtId="0" xfId="0" applyAlignment="1" applyBorder="1" applyFont="1">
      <alignment horizontal="center" shrinkToFit="0" vertical="center" wrapText="1"/>
    </xf>
    <xf borderId="69" fillId="0" fontId="102" numFmtId="0" xfId="0" applyAlignment="1" applyBorder="1" applyFont="1">
      <alignment horizontal="center" shrinkToFit="0" vertical="center" wrapText="1"/>
    </xf>
    <xf borderId="68" fillId="0" fontId="102" numFmtId="0" xfId="0" applyAlignment="1" applyBorder="1" applyFont="1">
      <alignment horizontal="center" shrinkToFit="0" vertical="center" wrapText="0"/>
    </xf>
    <xf borderId="6" fillId="0" fontId="98" numFmtId="0" xfId="0" applyAlignment="1" applyBorder="1" applyFont="1">
      <alignment horizontal="center" shrinkToFit="0" vertical="center" wrapText="0"/>
    </xf>
    <xf borderId="6" fillId="0" fontId="102" numFmtId="0" xfId="0" applyAlignment="1" applyBorder="1" applyFont="1">
      <alignment horizontal="center" shrinkToFit="0" vertical="center" wrapText="1"/>
    </xf>
    <xf borderId="68" fillId="0" fontId="102" numFmtId="0" xfId="0" applyAlignment="1" applyBorder="1" applyFont="1">
      <alignment horizontal="center" shrinkToFit="0" vertical="center" wrapText="1"/>
    </xf>
    <xf borderId="69" fillId="0" fontId="102" numFmtId="0" xfId="0" applyAlignment="1" applyBorder="1" applyFont="1">
      <alignment horizontal="center" shrinkToFit="0" vertical="center" wrapText="0"/>
    </xf>
    <xf borderId="168" fillId="0" fontId="3" numFmtId="0" xfId="0" applyBorder="1" applyFont="1"/>
    <xf borderId="168" fillId="0" fontId="102" numFmtId="0" xfId="0" applyAlignment="1" applyBorder="1" applyFont="1">
      <alignment horizontal="center" shrinkToFit="0" vertical="center" wrapText="1"/>
    </xf>
    <xf borderId="169" fillId="0" fontId="102" numFmtId="0" xfId="0" applyAlignment="1" applyBorder="1" applyFont="1">
      <alignment horizontal="center" shrinkToFit="0" vertical="center" wrapText="1"/>
    </xf>
    <xf borderId="183" fillId="0" fontId="102" numFmtId="0" xfId="0" applyAlignment="1" applyBorder="1" applyFont="1">
      <alignment horizontal="center" shrinkToFit="0" vertical="center" wrapText="1"/>
    </xf>
    <xf borderId="165" fillId="0" fontId="102" numFmtId="0" xfId="0" applyAlignment="1" applyBorder="1" applyFont="1">
      <alignment horizontal="center" shrinkToFit="0" vertical="center" wrapText="1"/>
    </xf>
    <xf borderId="166" fillId="0" fontId="102" numFmtId="0" xfId="0" applyAlignment="1" applyBorder="1" applyFont="1">
      <alignment horizontal="center" shrinkToFit="0" vertical="center" wrapText="1"/>
    </xf>
    <xf borderId="167" fillId="0" fontId="102" numFmtId="0" xfId="0" applyAlignment="1" applyBorder="1" applyFont="1">
      <alignment horizontal="center" shrinkToFit="0" vertical="center" wrapText="1"/>
    </xf>
    <xf borderId="220" fillId="0" fontId="102" numFmtId="0" xfId="0" applyAlignment="1" applyBorder="1" applyFont="1">
      <alignment horizontal="center" shrinkToFit="0" vertical="center" wrapText="1"/>
    </xf>
    <xf borderId="221" fillId="0" fontId="102" numFmtId="0" xfId="0" applyAlignment="1" applyBorder="1" applyFont="1">
      <alignment horizontal="center" shrinkToFit="0" vertical="center" wrapText="1"/>
    </xf>
    <xf borderId="183" fillId="0" fontId="102" numFmtId="3" xfId="0" applyAlignment="1" applyBorder="1" applyFont="1" applyNumberFormat="1">
      <alignment horizontal="center" shrinkToFit="0" vertical="center" wrapText="0"/>
    </xf>
    <xf borderId="191" fillId="0" fontId="106" numFmtId="0" xfId="0" applyAlignment="1" applyBorder="1" applyFont="1">
      <alignment horizontal="left" shrinkToFit="0" vertical="center" wrapText="0"/>
    </xf>
    <xf borderId="222" fillId="0" fontId="31" numFmtId="3" xfId="0" applyAlignment="1" applyBorder="1" applyFont="1" applyNumberFormat="1">
      <alignment horizontal="center" shrinkToFit="0" vertical="center" wrapText="0"/>
    </xf>
    <xf borderId="158" fillId="0" fontId="31" numFmtId="3" xfId="0" applyAlignment="1" applyBorder="1" applyFont="1" applyNumberFormat="1">
      <alignment horizontal="center" shrinkToFit="0" vertical="center" wrapText="0"/>
    </xf>
    <xf borderId="222" fillId="4" fontId="31" numFmtId="3" xfId="0" applyAlignment="1" applyBorder="1" applyFont="1" applyNumberFormat="1">
      <alignment horizontal="center" shrinkToFit="0" vertical="center" wrapText="0"/>
    </xf>
    <xf borderId="40" fillId="0" fontId="31" numFmtId="3" xfId="0" applyAlignment="1" applyBorder="1" applyFont="1" applyNumberFormat="1">
      <alignment horizontal="center" shrinkToFit="0" vertical="center" wrapText="0"/>
    </xf>
    <xf borderId="163" fillId="0" fontId="31" numFmtId="3" xfId="0" applyAlignment="1" applyBorder="1" applyFont="1" applyNumberFormat="1">
      <alignment horizontal="center" shrinkToFit="0" vertical="center" wrapText="0"/>
    </xf>
    <xf borderId="162" fillId="4" fontId="31" numFmtId="3" xfId="0" applyAlignment="1" applyBorder="1" applyFont="1" applyNumberFormat="1">
      <alignment horizontal="center" shrinkToFit="0" vertical="center" wrapText="0"/>
    </xf>
    <xf borderId="163" fillId="4" fontId="31" numFmtId="3" xfId="0" applyAlignment="1" applyBorder="1" applyFont="1" applyNumberFormat="1">
      <alignment horizontal="center" shrinkToFit="0" vertical="center" wrapText="0"/>
    </xf>
    <xf borderId="164" fillId="4" fontId="31" numFmtId="3" xfId="0" applyAlignment="1" applyBorder="1" applyFont="1" applyNumberFormat="1">
      <alignment horizontal="center" shrinkToFit="0" vertical="center" wrapText="0"/>
    </xf>
    <xf borderId="223" fillId="14" fontId="93" numFmtId="3" xfId="0" applyAlignment="1" applyBorder="1" applyFont="1" applyNumberFormat="1">
      <alignment horizontal="center" shrinkToFit="0" vertical="center" wrapText="0"/>
    </xf>
    <xf borderId="163" fillId="14" fontId="93" numFmtId="3" xfId="0" applyAlignment="1" applyBorder="1" applyFont="1" applyNumberFormat="1">
      <alignment horizontal="center" shrinkToFit="0" vertical="center" wrapText="0"/>
    </xf>
    <xf borderId="224" fillId="14" fontId="93" numFmtId="3" xfId="0" applyAlignment="1" applyBorder="1" applyFont="1" applyNumberFormat="1">
      <alignment horizontal="center" shrinkToFit="0" vertical="center" wrapText="0"/>
    </xf>
    <xf borderId="162" fillId="0" fontId="31" numFmtId="3" xfId="0" applyAlignment="1" applyBorder="1" applyFont="1" applyNumberFormat="1">
      <alignment horizontal="center" shrinkToFit="0" vertical="center" wrapText="0"/>
    </xf>
    <xf borderId="163" fillId="0" fontId="93" numFmtId="3" xfId="0" applyAlignment="1" applyBorder="1" applyFont="1" applyNumberFormat="1">
      <alignment horizontal="center" shrinkToFit="0" vertical="center" wrapText="0"/>
    </xf>
    <xf borderId="164" fillId="0" fontId="31" numFmtId="3" xfId="0" applyAlignment="1" applyBorder="1" applyFont="1" applyNumberFormat="1">
      <alignment horizontal="center" shrinkToFit="0" vertical="center" wrapText="0"/>
    </xf>
    <xf borderId="162" fillId="4" fontId="93" numFmtId="3" xfId="0" applyAlignment="1" applyBorder="1" applyFont="1" applyNumberFormat="1">
      <alignment horizontal="center" shrinkToFit="0" vertical="center" wrapText="0"/>
    </xf>
    <xf borderId="163" fillId="4" fontId="93" numFmtId="3" xfId="0" applyAlignment="1" applyBorder="1" applyFont="1" applyNumberFormat="1">
      <alignment horizontal="center" shrinkToFit="0" vertical="center" wrapText="0"/>
    </xf>
    <xf borderId="223" fillId="4" fontId="93" numFmtId="3" xfId="0" applyAlignment="1" applyBorder="1" applyFont="1" applyNumberFormat="1">
      <alignment horizontal="center" shrinkToFit="0" vertical="center" wrapText="0"/>
    </xf>
    <xf borderId="224" fillId="4" fontId="31" numFmtId="3" xfId="0" applyAlignment="1" applyBorder="1" applyFont="1" applyNumberFormat="1">
      <alignment horizontal="center" shrinkToFit="0" vertical="center" wrapText="0"/>
    </xf>
    <xf borderId="223" fillId="4" fontId="31" numFmtId="3" xfId="0" applyAlignment="1" applyBorder="1" applyFont="1" applyNumberFormat="1">
      <alignment horizontal="center" shrinkToFit="0" vertical="center" wrapText="0"/>
    </xf>
    <xf borderId="196" fillId="4" fontId="31" numFmtId="3" xfId="0" applyAlignment="1" applyBorder="1" applyFont="1" applyNumberFormat="1">
      <alignment horizontal="center" shrinkToFit="0" vertical="center" wrapText="0"/>
    </xf>
    <xf borderId="159" fillId="0" fontId="106" numFmtId="0" xfId="0" applyAlignment="1" applyBorder="1" applyFont="1">
      <alignment horizontal="left" shrinkToFit="0" vertical="center" wrapText="0"/>
    </xf>
    <xf borderId="225" fillId="0" fontId="31" numFmtId="3" xfId="0" applyAlignment="1" applyBorder="1" applyFont="1" applyNumberFormat="1">
      <alignment horizontal="center" shrinkToFit="0" vertical="center" wrapText="0"/>
    </xf>
    <xf borderId="41" fillId="0" fontId="31" numFmtId="3" xfId="0" applyAlignment="1" applyBorder="1" applyFont="1" applyNumberFormat="1">
      <alignment horizontal="center" shrinkToFit="0" vertical="center" wrapText="0"/>
    </xf>
    <xf borderId="216" fillId="4" fontId="31" numFmtId="3" xfId="0" applyAlignment="1" applyBorder="1" applyFont="1" applyNumberFormat="1">
      <alignment horizontal="center" shrinkToFit="0" vertical="center" wrapText="0"/>
    </xf>
    <xf borderId="91" fillId="4" fontId="31" numFmtId="3" xfId="0" applyAlignment="1" applyBorder="1" applyFont="1" applyNumberFormat="1">
      <alignment horizontal="center" shrinkToFit="0" vertical="center" wrapText="0"/>
    </xf>
    <xf borderId="40" fillId="4" fontId="31" numFmtId="3" xfId="0" applyAlignment="1" applyBorder="1" applyFont="1" applyNumberFormat="1">
      <alignment horizontal="center" shrinkToFit="0" vertical="center" wrapText="0"/>
    </xf>
    <xf borderId="45" fillId="4" fontId="31" numFmtId="3" xfId="0" applyAlignment="1" applyBorder="1" applyFont="1" applyNumberFormat="1">
      <alignment horizontal="center" shrinkToFit="0" vertical="center" wrapText="0"/>
    </xf>
    <xf borderId="127" fillId="4" fontId="31" numFmtId="3" xfId="0" applyAlignment="1" applyBorder="1" applyFont="1" applyNumberFormat="1">
      <alignment horizontal="center" shrinkToFit="0" vertical="center" wrapText="0"/>
    </xf>
    <xf borderId="124" fillId="4" fontId="31" numFmtId="3" xfId="0" applyAlignment="1" applyBorder="1" applyFont="1" applyNumberFormat="1">
      <alignment horizontal="center" shrinkToFit="0" vertical="center" wrapText="0"/>
    </xf>
    <xf borderId="91" fillId="0" fontId="31" numFmtId="3" xfId="0" applyAlignment="1" applyBorder="1" applyFont="1" applyNumberFormat="1">
      <alignment horizontal="center" shrinkToFit="0" vertical="center" wrapText="0"/>
    </xf>
    <xf borderId="40" fillId="0" fontId="93" numFmtId="3" xfId="0" applyAlignment="1" applyBorder="1" applyFont="1" applyNumberFormat="1">
      <alignment horizontal="center" shrinkToFit="0" vertical="center" wrapText="0"/>
    </xf>
    <xf borderId="45" fillId="0" fontId="31" numFmtId="3" xfId="0" applyAlignment="1" applyBorder="1" applyFont="1" applyNumberFormat="1">
      <alignment horizontal="center" shrinkToFit="0" vertical="center" wrapText="0"/>
    </xf>
    <xf borderId="91" fillId="4" fontId="93" numFmtId="3" xfId="0" applyAlignment="1" applyBorder="1" applyFont="1" applyNumberFormat="1">
      <alignment horizontal="center" shrinkToFit="0" vertical="center" wrapText="0"/>
    </xf>
    <xf borderId="40" fillId="4" fontId="93" numFmtId="3" xfId="0" applyAlignment="1" applyBorder="1" applyFont="1" applyNumberFormat="1">
      <alignment horizontal="center" shrinkToFit="0" vertical="center" wrapText="0"/>
    </xf>
    <xf borderId="127" fillId="4" fontId="93" numFmtId="3" xfId="0" applyAlignment="1" applyBorder="1" applyFont="1" applyNumberFormat="1">
      <alignment horizontal="center" shrinkToFit="0" vertical="center" wrapText="0"/>
    </xf>
    <xf borderId="91" fillId="9" fontId="93" numFmtId="3" xfId="0" applyAlignment="1" applyBorder="1" applyFont="1" applyNumberFormat="1">
      <alignment horizontal="center" shrinkToFit="0" vertical="center" wrapText="0"/>
    </xf>
    <xf borderId="40" fillId="9" fontId="93" numFmtId="3" xfId="0" applyAlignment="1" applyBorder="1" applyFont="1" applyNumberFormat="1">
      <alignment horizontal="center" shrinkToFit="0" vertical="center" wrapText="0"/>
    </xf>
    <xf borderId="45" fillId="9" fontId="31" numFmtId="3" xfId="0" applyAlignment="1" applyBorder="1" applyFont="1" applyNumberFormat="1">
      <alignment horizontal="center" shrinkToFit="0" vertical="center" wrapText="0"/>
    </xf>
    <xf borderId="226" fillId="4" fontId="31" numFmtId="3" xfId="0" applyAlignment="1" applyBorder="1" applyFont="1" applyNumberFormat="1">
      <alignment horizontal="center" shrinkToFit="0" vertical="center" wrapText="0"/>
    </xf>
    <xf borderId="216" fillId="0" fontId="31" numFmtId="3" xfId="0" applyAlignment="1" applyBorder="1" applyFont="1" applyNumberFormat="1">
      <alignment horizontal="center" shrinkToFit="0" vertical="center" wrapText="0"/>
    </xf>
    <xf borderId="189" fillId="0" fontId="31" numFmtId="3" xfId="0" applyAlignment="1" applyBorder="1" applyFont="1" applyNumberFormat="1">
      <alignment horizontal="center" shrinkToFit="0" vertical="center" wrapText="0"/>
    </xf>
    <xf borderId="160" fillId="0" fontId="31" numFmtId="3" xfId="0" applyAlignment="1" applyBorder="1" applyFont="1" applyNumberFormat="1">
      <alignment horizontal="center" shrinkToFit="0" vertical="center" wrapText="0"/>
    </xf>
    <xf borderId="227" fillId="0" fontId="31" numFmtId="3" xfId="0" applyAlignment="1" applyBorder="1" applyFont="1" applyNumberFormat="1">
      <alignment horizontal="center" shrinkToFit="0" vertical="center" wrapText="0"/>
    </xf>
    <xf borderId="155" fillId="0" fontId="106" numFmtId="0" xfId="0" applyAlignment="1" applyBorder="1" applyFont="1">
      <alignment horizontal="left" shrinkToFit="0" vertical="center" wrapText="0"/>
    </xf>
    <xf borderId="8" fillId="0" fontId="31" numFmtId="3" xfId="0" applyAlignment="1" applyBorder="1" applyFont="1" applyNumberFormat="1">
      <alignment horizontal="center" shrinkToFit="0" vertical="top" wrapText="0"/>
    </xf>
    <xf borderId="227" fillId="4" fontId="31" numFmtId="3" xfId="0" applyAlignment="1" applyBorder="1" applyFont="1" applyNumberFormat="1">
      <alignment horizontal="center" shrinkToFit="0" vertical="center" wrapText="0"/>
    </xf>
    <xf borderId="228" fillId="4" fontId="31" numFmtId="3" xfId="0" applyAlignment="1" applyBorder="1" applyFont="1" applyNumberFormat="1">
      <alignment horizontal="center" shrinkToFit="0" vertical="center" wrapText="0"/>
    </xf>
    <xf borderId="126" fillId="4" fontId="31" numFmtId="3" xfId="0" applyAlignment="1" applyBorder="1" applyFont="1" applyNumberFormat="1">
      <alignment horizontal="center" shrinkToFit="0" vertical="center" wrapText="0"/>
    </xf>
    <xf borderId="229" fillId="4" fontId="31" numFmtId="3" xfId="0" applyAlignment="1" applyBorder="1" applyFont="1" applyNumberFormat="1">
      <alignment horizontal="center" shrinkToFit="0" vertical="center" wrapText="0"/>
    </xf>
    <xf borderId="161" fillId="0" fontId="31" numFmtId="3" xfId="0" applyAlignment="1" applyBorder="1" applyFont="1" applyNumberFormat="1">
      <alignment horizontal="center" shrinkToFit="0" vertical="center" wrapText="0"/>
    </xf>
    <xf borderId="126" fillId="0" fontId="93" numFmtId="3" xfId="0" applyAlignment="1" applyBorder="1" applyFont="1" applyNumberFormat="1">
      <alignment horizontal="center" shrinkToFit="0" vertical="center" wrapText="0"/>
    </xf>
    <xf borderId="46" fillId="0" fontId="31" numFmtId="3" xfId="0" applyAlignment="1" applyBorder="1" applyFont="1" applyNumberFormat="1">
      <alignment horizontal="center" shrinkToFit="0" vertical="center" wrapText="0"/>
    </xf>
    <xf borderId="161" fillId="4" fontId="93" numFmtId="3" xfId="0" applyAlignment="1" applyBorder="1" applyFont="1" applyNumberFormat="1">
      <alignment horizontal="center" shrinkToFit="0" vertical="center" wrapText="0"/>
    </xf>
    <xf borderId="126" fillId="4" fontId="93" numFmtId="3" xfId="0" applyAlignment="1" applyBorder="1" applyFont="1" applyNumberFormat="1">
      <alignment horizontal="center" shrinkToFit="0" vertical="center" wrapText="0"/>
    </xf>
    <xf borderId="46" fillId="4" fontId="31" numFmtId="3" xfId="0" applyAlignment="1" applyBorder="1" applyFont="1" applyNumberFormat="1">
      <alignment horizontal="center" shrinkToFit="0" vertical="center" wrapText="0"/>
    </xf>
    <xf borderId="228" fillId="4" fontId="93" numFmtId="3" xfId="0" applyAlignment="1" applyBorder="1" applyFont="1" applyNumberFormat="1">
      <alignment horizontal="center" shrinkToFit="0" vertical="center" wrapText="0"/>
    </xf>
    <xf borderId="161" fillId="4" fontId="31" numFmtId="3" xfId="0" applyAlignment="1" applyBorder="1" applyFont="1" applyNumberFormat="1">
      <alignment horizontal="center" shrinkToFit="0" vertical="center" wrapText="0"/>
    </xf>
    <xf borderId="230" fillId="4" fontId="31" numFmtId="3" xfId="0" applyAlignment="1" applyBorder="1" applyFont="1" applyNumberFormat="1">
      <alignment horizontal="center" shrinkToFit="0" vertical="center" wrapText="0"/>
    </xf>
    <xf borderId="68" fillId="0" fontId="102" numFmtId="0" xfId="0" applyAlignment="1" applyBorder="1" applyFont="1">
      <alignment horizontal="left" shrinkToFit="0" vertical="bottom" wrapText="0"/>
    </xf>
    <xf borderId="68" fillId="0" fontId="107" numFmtId="3" xfId="0" applyAlignment="1" applyBorder="1" applyFont="1" applyNumberFormat="1">
      <alignment horizontal="right" shrinkToFit="0" vertical="bottom" wrapText="0"/>
    </xf>
    <xf borderId="82" fillId="4" fontId="107" numFmtId="3" xfId="0" applyAlignment="1" applyBorder="1" applyFont="1" applyNumberFormat="1">
      <alignment horizontal="center" shrinkToFit="0" vertical="bottom" wrapText="0"/>
    </xf>
    <xf borderId="192" fillId="0" fontId="107" numFmtId="4" xfId="0" applyAlignment="1" applyBorder="1" applyFont="1" applyNumberFormat="1">
      <alignment horizontal="center" shrinkToFit="0" vertical="bottom" wrapText="0"/>
    </xf>
    <xf borderId="165" fillId="0" fontId="107" numFmtId="4" xfId="0" applyAlignment="1" applyBorder="1" applyFont="1" applyNumberFormat="1">
      <alignment horizontal="center" shrinkToFit="0" vertical="bottom" wrapText="0"/>
    </xf>
    <xf borderId="165" fillId="0" fontId="107" numFmtId="3" xfId="0" applyAlignment="1" applyBorder="1" applyFont="1" applyNumberFormat="1">
      <alignment horizontal="center" shrinkToFit="0" vertical="bottom" wrapText="0"/>
    </xf>
    <xf borderId="166" fillId="0" fontId="107" numFmtId="3" xfId="0" applyAlignment="1" applyBorder="1" applyFont="1" applyNumberFormat="1">
      <alignment horizontal="center" shrinkToFit="0" vertical="bottom" wrapText="0"/>
    </xf>
    <xf borderId="167" fillId="0" fontId="107" numFmtId="3" xfId="0" applyAlignment="1" applyBorder="1" applyFont="1" applyNumberFormat="1">
      <alignment horizontal="center" shrinkToFit="0" vertical="bottom" wrapText="0"/>
    </xf>
    <xf borderId="193" fillId="0" fontId="107" numFmtId="3" xfId="0" applyAlignment="1" applyBorder="1" applyFont="1" applyNumberFormat="1">
      <alignment horizontal="center" shrinkToFit="0" vertical="bottom" wrapText="0"/>
    </xf>
    <xf borderId="68" fillId="0" fontId="107" numFmtId="4" xfId="0" applyAlignment="1" applyBorder="1" applyFont="1" applyNumberFormat="1">
      <alignment horizontal="center" shrinkToFit="0" vertical="bottom" wrapText="0"/>
    </xf>
    <xf borderId="167" fillId="0" fontId="107" numFmtId="4" xfId="0" applyAlignment="1" applyBorder="1" applyFont="1" applyNumberFormat="1">
      <alignment horizontal="center" shrinkToFit="0" vertical="bottom" wrapText="0"/>
    </xf>
    <xf borderId="0" fillId="0" fontId="95" numFmtId="0" xfId="0" applyAlignment="1" applyFont="1">
      <alignment horizontal="center" shrinkToFit="0" vertical="bottom" wrapText="0"/>
    </xf>
    <xf borderId="0" fillId="0" fontId="104" numFmtId="0" xfId="0" applyAlignment="1" applyFont="1">
      <alignment shrinkToFit="0" vertical="bottom" wrapText="0"/>
    </xf>
    <xf borderId="0" fillId="0" fontId="83" numFmtId="0" xfId="0" applyAlignment="1" applyFont="1">
      <alignment horizontal="left" shrinkToFit="0" vertical="bottom" wrapText="0"/>
    </xf>
    <xf borderId="4" fillId="9" fontId="93" numFmtId="0" xfId="0" applyAlignment="1" applyBorder="1" applyFont="1">
      <alignment horizontal="left" shrinkToFit="0" vertical="bottom" wrapText="1"/>
    </xf>
    <xf borderId="4" fillId="9" fontId="93" numFmtId="0" xfId="0" applyAlignment="1" applyBorder="1" applyFont="1">
      <alignment horizontal="left" shrinkToFit="0" vertical="bottom" wrapText="0"/>
    </xf>
    <xf borderId="0" fillId="0" fontId="108" numFmtId="182" xfId="0" applyAlignment="1" applyFont="1" applyNumberFormat="1">
      <alignment horizontal="center" shrinkToFit="0" vertical="center" wrapText="0"/>
    </xf>
    <xf borderId="152" fillId="0" fontId="29" numFmtId="171" xfId="0" applyAlignment="1" applyBorder="1" applyFont="1" applyNumberFormat="1">
      <alignment horizontal="center" shrinkToFit="0" vertical="center" wrapText="0"/>
    </xf>
    <xf borderId="152" fillId="29" fontId="29" numFmtId="171" xfId="0" applyAlignment="1" applyBorder="1" applyFont="1" applyNumberFormat="1">
      <alignment horizontal="center" shrinkToFit="0" vertical="center" wrapText="1"/>
    </xf>
    <xf borderId="152" fillId="0" fontId="29" numFmtId="171" xfId="0" applyAlignment="1" applyBorder="1" applyFont="1" applyNumberFormat="1">
      <alignment horizontal="center" shrinkToFit="0" vertical="center" wrapText="1"/>
    </xf>
    <xf borderId="2" fillId="29" fontId="29" numFmtId="171" xfId="0" applyAlignment="1" applyBorder="1" applyFont="1" applyNumberFormat="1">
      <alignment horizontal="center" shrinkToFit="0" vertical="center" wrapText="0"/>
    </xf>
    <xf borderId="2" fillId="0" fontId="29" numFmtId="171" xfId="0" applyAlignment="1" applyBorder="1" applyFont="1" applyNumberFormat="1">
      <alignment horizontal="center" shrinkToFit="0" vertical="center" wrapText="0"/>
    </xf>
    <xf borderId="42" fillId="0" fontId="29" numFmtId="0" xfId="0" applyAlignment="1" applyBorder="1" applyFont="1">
      <alignment horizontal="center" shrinkToFit="0" vertical="center" wrapText="0"/>
    </xf>
    <xf borderId="2" fillId="29" fontId="33" numFmtId="171" xfId="0" applyAlignment="1" applyBorder="1" applyFont="1" applyNumberFormat="1">
      <alignment horizontal="center" shrinkToFit="0" vertical="center" wrapText="0"/>
    </xf>
    <xf borderId="2" fillId="0" fontId="33" numFmtId="171" xfId="0" applyAlignment="1" applyBorder="1" applyFont="1" applyNumberFormat="1">
      <alignment horizontal="center" shrinkToFit="0" vertical="center" wrapText="0"/>
    </xf>
    <xf borderId="40" fillId="0" fontId="29" numFmtId="0" xfId="0" applyAlignment="1" applyBorder="1" applyFont="1">
      <alignment horizontal="center" shrinkToFit="0" vertical="center" wrapText="0"/>
    </xf>
    <xf borderId="2" fillId="26" fontId="33" numFmtId="171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1">
    <dxf>
      <font>
        <sz val="11.0"/>
        <color rgb="FF000000"/>
        <name val="Calibri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56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0</xdr:row>
      <xdr:rowOff>-9525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1</xdr:row>
      <xdr:rowOff>19050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1</xdr:row>
      <xdr:rowOff>104775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2</xdr:row>
      <xdr:rowOff>152400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2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2</xdr:row>
      <xdr:rowOff>152400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2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3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4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5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6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7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8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9</xdr:row>
      <xdr:rowOff>209550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10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11</xdr:row>
      <xdr:rowOff>209550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12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13</xdr:row>
      <xdr:rowOff>209550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14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15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16</xdr:row>
      <xdr:rowOff>200025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18</xdr:row>
      <xdr:rowOff>0</xdr:rowOff>
    </xdr:from>
    <xdr:ext cx="161925" cy="38100"/>
    <xdr:sp>
      <xdr:nvSpPr>
        <xdr:cNvPr id="3" name="Shape 3"/>
        <xdr:cNvSpPr/>
      </xdr:nvSpPr>
      <xdr:spPr>
        <a:xfrm>
          <a:off x="5265038" y="3780000"/>
          <a:ext cx="161925" cy="0"/>
        </a:xfrm>
        <a:prstGeom prst="stripedRightArrow">
          <a:avLst>
            <a:gd fmla="val 50000" name="adj1"/>
            <a:gd fmla="val 50000" name="adj2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50</xdr:col>
      <xdr:colOff>38100</xdr:colOff>
      <xdr:row>0</xdr:row>
      <xdr:rowOff>0</xdr:rowOff>
    </xdr:from>
    <xdr:ext cx="38100" cy="466725"/>
    <xdr:grpSp>
      <xdr:nvGrpSpPr>
        <xdr:cNvPr id="2" name="Shape 2"/>
        <xdr:cNvGrpSpPr/>
      </xdr:nvGrpSpPr>
      <xdr:grpSpPr>
        <a:xfrm>
          <a:off x="5346000" y="3546638"/>
          <a:ext cx="0" cy="466725"/>
          <a:chOff x="5346000" y="3546638"/>
          <a:chExt cx="0" cy="466725"/>
        </a:xfrm>
      </xdr:grpSpPr>
      <xdr:cxnSp>
        <xdr:nvCxnSpPr>
          <xdr:cNvPr id="4" name="Shape 4"/>
          <xdr:cNvCxnSpPr/>
        </xdr:nvCxnSpPr>
        <xdr:spPr>
          <a:xfrm>
            <a:off x="5346000" y="3546638"/>
            <a:ext cx="0" cy="46672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50</xdr:col>
      <xdr:colOff>38100</xdr:colOff>
      <xdr:row>0</xdr:row>
      <xdr:rowOff>0</xdr:rowOff>
    </xdr:from>
    <xdr:ext cx="38100" cy="466725"/>
    <xdr:grpSp>
      <xdr:nvGrpSpPr>
        <xdr:cNvPr id="2" name="Shape 2"/>
        <xdr:cNvGrpSpPr/>
      </xdr:nvGrpSpPr>
      <xdr:grpSpPr>
        <a:xfrm>
          <a:off x="5346000" y="3546638"/>
          <a:ext cx="0" cy="466725"/>
          <a:chOff x="5346000" y="3546638"/>
          <a:chExt cx="0" cy="466725"/>
        </a:xfrm>
      </xdr:grpSpPr>
      <xdr:cxnSp>
        <xdr:nvCxnSpPr>
          <xdr:cNvPr id="4" name="Shape 4"/>
          <xdr:cNvCxnSpPr/>
        </xdr:nvCxnSpPr>
        <xdr:spPr>
          <a:xfrm>
            <a:off x="5346000" y="3546638"/>
            <a:ext cx="0" cy="46672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50</xdr:col>
      <xdr:colOff>38100</xdr:colOff>
      <xdr:row>0</xdr:row>
      <xdr:rowOff>0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5" name="Shape 5"/>
          <xdr:cNvCxnSpPr/>
        </xdr:nvCxnSpPr>
        <xdr:spPr>
          <a:xfrm>
            <a:off x="5346000" y="3532350"/>
            <a:ext cx="0" cy="49530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50</xdr:col>
      <xdr:colOff>38100</xdr:colOff>
      <xdr:row>0</xdr:row>
      <xdr:rowOff>0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75"/>
          <a:chOff x="5346000" y="3537113"/>
          <a:chExt cx="0" cy="485775"/>
        </a:xfrm>
      </xdr:grpSpPr>
      <xdr:cxnSp>
        <xdr:nvCxnSpPr>
          <xdr:cNvPr id="6" name="Shape 6"/>
          <xdr:cNvCxnSpPr/>
        </xdr:nvCxnSpPr>
        <xdr:spPr>
          <a:xfrm>
            <a:off x="5346000" y="3537113"/>
            <a:ext cx="0" cy="48577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40</xdr:col>
      <xdr:colOff>409575</xdr:colOff>
      <xdr:row>26</xdr:row>
      <xdr:rowOff>152400</xdr:rowOff>
    </xdr:from>
    <xdr:ext cx="3924300" cy="38100"/>
    <xdr:grpSp>
      <xdr:nvGrpSpPr>
        <xdr:cNvPr id="2" name="Shape 2"/>
        <xdr:cNvGrpSpPr/>
      </xdr:nvGrpSpPr>
      <xdr:grpSpPr>
        <a:xfrm>
          <a:off x="3383850" y="3780000"/>
          <a:ext cx="3924300" cy="0"/>
          <a:chOff x="3383850" y="3780000"/>
          <a:chExt cx="3924300" cy="0"/>
        </a:xfrm>
      </xdr:grpSpPr>
      <xdr:cxnSp>
        <xdr:nvCxnSpPr>
          <xdr:cNvPr id="7" name="Shape 7"/>
          <xdr:cNvCxnSpPr/>
        </xdr:nvCxnSpPr>
        <xdr:spPr>
          <a:xfrm>
            <a:off x="3383850" y="3780000"/>
            <a:ext cx="3924300" cy="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40</xdr:col>
      <xdr:colOff>409575</xdr:colOff>
      <xdr:row>26</xdr:row>
      <xdr:rowOff>152400</xdr:rowOff>
    </xdr:from>
    <xdr:ext cx="3924300" cy="38100"/>
    <xdr:grpSp>
      <xdr:nvGrpSpPr>
        <xdr:cNvPr id="2" name="Shape 2"/>
        <xdr:cNvGrpSpPr/>
      </xdr:nvGrpSpPr>
      <xdr:grpSpPr>
        <a:xfrm>
          <a:off x="3383850" y="3780000"/>
          <a:ext cx="3924300" cy="0"/>
          <a:chOff x="3383850" y="3780000"/>
          <a:chExt cx="3924300" cy="0"/>
        </a:xfrm>
      </xdr:grpSpPr>
      <xdr:cxnSp>
        <xdr:nvCxnSpPr>
          <xdr:cNvPr id="7" name="Shape 7"/>
          <xdr:cNvCxnSpPr/>
        </xdr:nvCxnSpPr>
        <xdr:spPr>
          <a:xfrm>
            <a:off x="3383850" y="3780000"/>
            <a:ext cx="3924300" cy="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0</xdr:row>
      <xdr:rowOff>0</xdr:rowOff>
    </xdr:from>
    <xdr:ext cx="38100" cy="923925"/>
    <xdr:grpSp>
      <xdr:nvGrpSpPr>
        <xdr:cNvPr id="2" name="Shape 2"/>
        <xdr:cNvGrpSpPr/>
      </xdr:nvGrpSpPr>
      <xdr:grpSpPr>
        <a:xfrm>
          <a:off x="5346000" y="3318038"/>
          <a:ext cx="0" cy="923925"/>
          <a:chOff x="5346000" y="3318038"/>
          <a:chExt cx="0" cy="923925"/>
        </a:xfrm>
      </xdr:grpSpPr>
      <xdr:cxnSp>
        <xdr:nvCxnSpPr>
          <xdr:cNvPr id="8" name="Shape 8"/>
          <xdr:cNvCxnSpPr/>
        </xdr:nvCxnSpPr>
        <xdr:spPr>
          <a:xfrm>
            <a:off x="5346000" y="3318038"/>
            <a:ext cx="0" cy="92392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41</xdr:col>
      <xdr:colOff>0</xdr:colOff>
      <xdr:row>0</xdr:row>
      <xdr:rowOff>0</xdr:rowOff>
    </xdr:from>
    <xdr:ext cx="38100" cy="923925"/>
    <xdr:grpSp>
      <xdr:nvGrpSpPr>
        <xdr:cNvPr id="2" name="Shape 2"/>
        <xdr:cNvGrpSpPr/>
      </xdr:nvGrpSpPr>
      <xdr:grpSpPr>
        <a:xfrm>
          <a:off x="5346000" y="3318038"/>
          <a:ext cx="0" cy="923925"/>
          <a:chOff x="5346000" y="3318038"/>
          <a:chExt cx="0" cy="923925"/>
        </a:xfrm>
      </xdr:grpSpPr>
      <xdr:cxnSp>
        <xdr:nvCxnSpPr>
          <xdr:cNvPr id="8" name="Shape 8"/>
          <xdr:cNvCxnSpPr/>
        </xdr:nvCxnSpPr>
        <xdr:spPr>
          <a:xfrm>
            <a:off x="5346000" y="3318038"/>
            <a:ext cx="0" cy="92392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41</xdr:col>
      <xdr:colOff>0</xdr:colOff>
      <xdr:row>0</xdr:row>
      <xdr:rowOff>0</xdr:rowOff>
    </xdr:from>
    <xdr:ext cx="38100" cy="142875"/>
    <xdr:grpSp>
      <xdr:nvGrpSpPr>
        <xdr:cNvPr id="2" name="Shape 2"/>
        <xdr:cNvGrpSpPr/>
      </xdr:nvGrpSpPr>
      <xdr:grpSpPr>
        <a:xfrm>
          <a:off x="5346000" y="3708563"/>
          <a:ext cx="0" cy="142875"/>
          <a:chOff x="5346000" y="3708563"/>
          <a:chExt cx="0" cy="142875"/>
        </a:xfrm>
      </xdr:grpSpPr>
      <xdr:cxnSp>
        <xdr:nvCxnSpPr>
          <xdr:cNvPr id="9" name="Shape 9"/>
          <xdr:cNvCxnSpPr/>
        </xdr:nvCxnSpPr>
        <xdr:spPr>
          <a:xfrm>
            <a:off x="5346000" y="3708563"/>
            <a:ext cx="0" cy="14287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41</xdr:col>
      <xdr:colOff>0</xdr:colOff>
      <xdr:row>0</xdr:row>
      <xdr:rowOff>0</xdr:rowOff>
    </xdr:from>
    <xdr:ext cx="38100" cy="942975"/>
    <xdr:grpSp>
      <xdr:nvGrpSpPr>
        <xdr:cNvPr id="2" name="Shape 2"/>
        <xdr:cNvGrpSpPr/>
      </xdr:nvGrpSpPr>
      <xdr:grpSpPr>
        <a:xfrm>
          <a:off x="5346000" y="3308513"/>
          <a:ext cx="0" cy="942975"/>
          <a:chOff x="5346000" y="3308513"/>
          <a:chExt cx="0" cy="942975"/>
        </a:xfrm>
      </xdr:grpSpPr>
      <xdr:cxnSp>
        <xdr:nvCxnSpPr>
          <xdr:cNvPr id="10" name="Shape 10"/>
          <xdr:cNvCxnSpPr/>
        </xdr:nvCxnSpPr>
        <xdr:spPr>
          <a:xfrm>
            <a:off x="5346000" y="3308513"/>
            <a:ext cx="0" cy="94297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35</xdr:col>
      <xdr:colOff>409575</xdr:colOff>
      <xdr:row>27</xdr:row>
      <xdr:rowOff>9525</xdr:rowOff>
    </xdr:from>
    <xdr:ext cx="2314575" cy="38100"/>
    <xdr:grpSp>
      <xdr:nvGrpSpPr>
        <xdr:cNvPr id="2" name="Shape 2"/>
        <xdr:cNvGrpSpPr/>
      </xdr:nvGrpSpPr>
      <xdr:grpSpPr>
        <a:xfrm>
          <a:off x="4188713" y="3780000"/>
          <a:ext cx="2314575" cy="0"/>
          <a:chOff x="4188713" y="3780000"/>
          <a:chExt cx="2314575" cy="0"/>
        </a:xfrm>
      </xdr:grpSpPr>
      <xdr:cxnSp>
        <xdr:nvCxnSpPr>
          <xdr:cNvPr id="11" name="Shape 11"/>
          <xdr:cNvCxnSpPr/>
        </xdr:nvCxnSpPr>
        <xdr:spPr>
          <a:xfrm>
            <a:off x="4188713" y="3780000"/>
            <a:ext cx="2314575" cy="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40</xdr:col>
      <xdr:colOff>142875</xdr:colOff>
      <xdr:row>27</xdr:row>
      <xdr:rowOff>9525</xdr:rowOff>
    </xdr:from>
    <xdr:ext cx="457200" cy="38100"/>
    <xdr:grpSp>
      <xdr:nvGrpSpPr>
        <xdr:cNvPr id="2" name="Shape 2"/>
        <xdr:cNvGrpSpPr/>
      </xdr:nvGrpSpPr>
      <xdr:grpSpPr>
        <a:xfrm>
          <a:off x="5117400" y="3780000"/>
          <a:ext cx="457200" cy="0"/>
          <a:chOff x="5117400" y="3780000"/>
          <a:chExt cx="457200" cy="0"/>
        </a:xfrm>
      </xdr:grpSpPr>
      <xdr:cxnSp>
        <xdr:nvCxnSpPr>
          <xdr:cNvPr id="12" name="Shape 12"/>
          <xdr:cNvCxnSpPr/>
        </xdr:nvCxnSpPr>
        <xdr:spPr>
          <a:xfrm>
            <a:off x="5117400" y="3780000"/>
            <a:ext cx="457200" cy="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28</xdr:col>
      <xdr:colOff>57150</xdr:colOff>
      <xdr:row>0</xdr:row>
      <xdr:rowOff>0</xdr:rowOff>
    </xdr:from>
    <xdr:ext cx="87630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95250</xdr:colOff>
      <xdr:row>26</xdr:row>
      <xdr:rowOff>85725</xdr:rowOff>
    </xdr:from>
    <xdr:ext cx="2105025" cy="38100"/>
    <xdr:grpSp>
      <xdr:nvGrpSpPr>
        <xdr:cNvPr id="2" name="Shape 2"/>
        <xdr:cNvGrpSpPr/>
      </xdr:nvGrpSpPr>
      <xdr:grpSpPr>
        <a:xfrm>
          <a:off x="4293488" y="3770475"/>
          <a:ext cx="2105025" cy="19050"/>
          <a:chOff x="4293488" y="3770475"/>
          <a:chExt cx="2105025" cy="19050"/>
        </a:xfrm>
      </xdr:grpSpPr>
      <xdr:cxnSp>
        <xdr:nvCxnSpPr>
          <xdr:cNvPr id="13" name="Shape 13"/>
          <xdr:cNvCxnSpPr/>
        </xdr:nvCxnSpPr>
        <xdr:spPr>
          <a:xfrm>
            <a:off x="4293488" y="3770475"/>
            <a:ext cx="2105025" cy="1905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42</xdr:col>
      <xdr:colOff>57150</xdr:colOff>
      <xdr:row>26</xdr:row>
      <xdr:rowOff>76200</xdr:rowOff>
    </xdr:from>
    <xdr:ext cx="1400175" cy="38100"/>
    <xdr:grpSp>
      <xdr:nvGrpSpPr>
        <xdr:cNvPr id="2" name="Shape 2"/>
        <xdr:cNvGrpSpPr/>
      </xdr:nvGrpSpPr>
      <xdr:grpSpPr>
        <a:xfrm>
          <a:off x="4645913" y="3780000"/>
          <a:ext cx="1400175" cy="0"/>
          <a:chOff x="4645913" y="3780000"/>
          <a:chExt cx="1400175" cy="0"/>
        </a:xfrm>
      </xdr:grpSpPr>
      <xdr:cxnSp>
        <xdr:nvCxnSpPr>
          <xdr:cNvPr id="14" name="Shape 14"/>
          <xdr:cNvCxnSpPr/>
        </xdr:nvCxnSpPr>
        <xdr:spPr>
          <a:xfrm>
            <a:off x="4645913" y="3780000"/>
            <a:ext cx="1400175" cy="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31</xdr:col>
      <xdr:colOff>495300</xdr:colOff>
      <xdr:row>0</xdr:row>
      <xdr:rowOff>0</xdr:rowOff>
    </xdr:from>
    <xdr:ext cx="38100" cy="657225"/>
    <xdr:grpSp>
      <xdr:nvGrpSpPr>
        <xdr:cNvPr id="2" name="Shape 2"/>
        <xdr:cNvGrpSpPr/>
      </xdr:nvGrpSpPr>
      <xdr:grpSpPr>
        <a:xfrm>
          <a:off x="5346000" y="3451388"/>
          <a:ext cx="0" cy="657225"/>
          <a:chOff x="5346000" y="3451388"/>
          <a:chExt cx="0" cy="657225"/>
        </a:xfrm>
      </xdr:grpSpPr>
      <xdr:cxnSp>
        <xdr:nvCxnSpPr>
          <xdr:cNvPr id="15" name="Shape 15"/>
          <xdr:cNvCxnSpPr/>
        </xdr:nvCxnSpPr>
        <xdr:spPr>
          <a:xfrm>
            <a:off x="5346000" y="3451388"/>
            <a:ext cx="0" cy="65722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30</xdr:col>
      <xdr:colOff>438150</xdr:colOff>
      <xdr:row>0</xdr:row>
      <xdr:rowOff>-9525</xdr:rowOff>
    </xdr:from>
    <xdr:ext cx="2895600" cy="38100"/>
    <xdr:grpSp>
      <xdr:nvGrpSpPr>
        <xdr:cNvPr id="2" name="Shape 2"/>
        <xdr:cNvGrpSpPr/>
      </xdr:nvGrpSpPr>
      <xdr:grpSpPr>
        <a:xfrm>
          <a:off x="3898200" y="3780000"/>
          <a:ext cx="2895600" cy="0"/>
          <a:chOff x="3898200" y="3780000"/>
          <a:chExt cx="2895600" cy="0"/>
        </a:xfrm>
      </xdr:grpSpPr>
      <xdr:cxnSp>
        <xdr:nvCxnSpPr>
          <xdr:cNvPr id="16" name="Shape 16"/>
          <xdr:cNvCxnSpPr/>
        </xdr:nvCxnSpPr>
        <xdr:spPr>
          <a:xfrm>
            <a:off x="3898200" y="3780000"/>
            <a:ext cx="2895600" cy="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22</xdr:col>
      <xdr:colOff>447675</xdr:colOff>
      <xdr:row>0</xdr:row>
      <xdr:rowOff>0</xdr:rowOff>
    </xdr:from>
    <xdr:ext cx="2257425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447675</xdr:colOff>
      <xdr:row>0</xdr:row>
      <xdr:rowOff>0</xdr:rowOff>
    </xdr:from>
    <xdr:ext cx="2257425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676275</xdr:colOff>
      <xdr:row>0</xdr:row>
      <xdr:rowOff>0</xdr:rowOff>
    </xdr:from>
    <xdr:ext cx="1638300" cy="666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447675</xdr:colOff>
      <xdr:row>0</xdr:row>
      <xdr:rowOff>0</xdr:rowOff>
    </xdr:from>
    <xdr:ext cx="2657475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447675</xdr:colOff>
      <xdr:row>0</xdr:row>
      <xdr:rowOff>0</xdr:rowOff>
    </xdr:from>
    <xdr:ext cx="2657475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276225</xdr:colOff>
      <xdr:row>0</xdr:row>
      <xdr:rowOff>0</xdr:rowOff>
    </xdr:from>
    <xdr:ext cx="1219200" cy="1143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0</xdr:colOff>
      <xdr:row>0</xdr:row>
      <xdr:rowOff>0</xdr:rowOff>
    </xdr:from>
    <xdr:ext cx="38100" cy="676275"/>
    <xdr:grpSp>
      <xdr:nvGrpSpPr>
        <xdr:cNvPr id="2" name="Shape 2"/>
        <xdr:cNvGrpSpPr/>
      </xdr:nvGrpSpPr>
      <xdr:grpSpPr>
        <a:xfrm>
          <a:off x="5346000" y="3441863"/>
          <a:ext cx="0" cy="676275"/>
          <a:chOff x="5346000" y="3441863"/>
          <a:chExt cx="0" cy="676275"/>
        </a:xfrm>
      </xdr:grpSpPr>
      <xdr:cxnSp>
        <xdr:nvCxnSpPr>
          <xdr:cNvPr id="17" name="Shape 17"/>
          <xdr:cNvCxnSpPr/>
        </xdr:nvCxnSpPr>
        <xdr:spPr>
          <a:xfrm>
            <a:off x="5346000" y="3441863"/>
            <a:ext cx="0" cy="67627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43</xdr:col>
      <xdr:colOff>0</xdr:colOff>
      <xdr:row>0</xdr:row>
      <xdr:rowOff>0</xdr:rowOff>
    </xdr:from>
    <xdr:ext cx="38100" cy="676275"/>
    <xdr:grpSp>
      <xdr:nvGrpSpPr>
        <xdr:cNvPr id="2" name="Shape 2"/>
        <xdr:cNvGrpSpPr/>
      </xdr:nvGrpSpPr>
      <xdr:grpSpPr>
        <a:xfrm>
          <a:off x="5346000" y="3441863"/>
          <a:ext cx="0" cy="676275"/>
          <a:chOff x="5346000" y="3441863"/>
          <a:chExt cx="0" cy="676275"/>
        </a:xfrm>
      </xdr:grpSpPr>
      <xdr:cxnSp>
        <xdr:nvCxnSpPr>
          <xdr:cNvPr id="17" name="Shape 17"/>
          <xdr:cNvCxnSpPr/>
        </xdr:nvCxnSpPr>
        <xdr:spPr>
          <a:xfrm>
            <a:off x="5346000" y="3441863"/>
            <a:ext cx="0" cy="67627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43</xdr:col>
      <xdr:colOff>0</xdr:colOff>
      <xdr:row>0</xdr:row>
      <xdr:rowOff>0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5" name="Shape 5"/>
          <xdr:cNvCxnSpPr/>
        </xdr:nvCxnSpPr>
        <xdr:spPr>
          <a:xfrm>
            <a:off x="5346000" y="3532350"/>
            <a:ext cx="0" cy="49530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43</xdr:col>
      <xdr:colOff>0</xdr:colOff>
      <xdr:row>0</xdr:row>
      <xdr:rowOff>0</xdr:rowOff>
    </xdr:from>
    <xdr:ext cx="38100" cy="695325"/>
    <xdr:grpSp>
      <xdr:nvGrpSpPr>
        <xdr:cNvPr id="2" name="Shape 2"/>
        <xdr:cNvGrpSpPr/>
      </xdr:nvGrpSpPr>
      <xdr:grpSpPr>
        <a:xfrm>
          <a:off x="5346000" y="3432338"/>
          <a:ext cx="0" cy="695325"/>
          <a:chOff x="5346000" y="3432338"/>
          <a:chExt cx="0" cy="695325"/>
        </a:xfrm>
      </xdr:grpSpPr>
      <xdr:cxnSp>
        <xdr:nvCxnSpPr>
          <xdr:cNvPr id="18" name="Shape 18"/>
          <xdr:cNvCxnSpPr/>
        </xdr:nvCxnSpPr>
        <xdr:spPr>
          <a:xfrm>
            <a:off x="5346000" y="3432338"/>
            <a:ext cx="0" cy="69532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47625</xdr:colOff>
      <xdr:row>0</xdr:row>
      <xdr:rowOff>0</xdr:rowOff>
    </xdr:from>
    <xdr:ext cx="1485900" cy="209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295275</xdr:colOff>
      <xdr:row>0</xdr:row>
      <xdr:rowOff>0</xdr:rowOff>
    </xdr:from>
    <xdr:ext cx="180975" cy="571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/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3" width="19.57"/>
    <col customWidth="1" min="4" max="26" width="8.57"/>
  </cols>
  <sheetData>
    <row r="1" ht="13.5" customHeight="1">
      <c r="A1" s="1" t="s">
        <v>0</v>
      </c>
      <c r="B1" s="2" t="s">
        <v>1</v>
      </c>
      <c r="C1" s="2" t="s">
        <v>1</v>
      </c>
    </row>
    <row r="2" ht="13.5" customHeight="1">
      <c r="A2" s="3"/>
      <c r="B2" s="4" t="s">
        <v>2</v>
      </c>
      <c r="C2" s="4" t="s">
        <v>3</v>
      </c>
    </row>
    <row r="3" ht="18.75" customHeight="1">
      <c r="A3" s="5">
        <v>43922.0</v>
      </c>
      <c r="B3" s="6"/>
      <c r="C3" s="6"/>
      <c r="E3" s="7" t="s">
        <v>4</v>
      </c>
      <c r="F3" s="8"/>
      <c r="G3" s="8"/>
      <c r="H3" s="8"/>
    </row>
    <row r="4" ht="18.75" customHeight="1">
      <c r="A4" s="9">
        <f>ESCALA!A3+1</f>
        <v>43923</v>
      </c>
      <c r="B4" s="6"/>
      <c r="C4" s="6"/>
    </row>
    <row r="5" ht="18.75" customHeight="1">
      <c r="A5" s="9">
        <f>ESCALA!A4+1</f>
        <v>43924</v>
      </c>
      <c r="B5" s="6"/>
      <c r="C5" s="6"/>
    </row>
    <row r="6" ht="18.75" customHeight="1">
      <c r="A6" s="9">
        <f>ESCALA!A5+1</f>
        <v>43925</v>
      </c>
      <c r="B6" s="6"/>
      <c r="C6" s="6"/>
    </row>
    <row r="7" ht="18.75" customHeight="1">
      <c r="A7" s="9">
        <f>ESCALA!A6+1</f>
        <v>43926</v>
      </c>
      <c r="B7" s="6"/>
      <c r="C7" s="6"/>
    </row>
    <row r="8" ht="18.75" customHeight="1">
      <c r="A8" s="9">
        <f>ESCALA!A7+1</f>
        <v>43927</v>
      </c>
      <c r="B8" s="6"/>
      <c r="C8" s="6"/>
    </row>
    <row r="9" ht="18.75" customHeight="1">
      <c r="A9" s="9">
        <f>ESCALA!A8+1</f>
        <v>43928</v>
      </c>
      <c r="B9" s="6"/>
      <c r="C9" s="6"/>
    </row>
    <row r="10" ht="18.75" customHeight="1">
      <c r="A10" s="9">
        <f>ESCALA!A9+1</f>
        <v>43929</v>
      </c>
      <c r="B10" s="6"/>
      <c r="C10" s="6"/>
    </row>
    <row r="11" ht="18.75" customHeight="1">
      <c r="A11" s="9">
        <f>ESCALA!A10+1</f>
        <v>43930</v>
      </c>
      <c r="B11" s="6"/>
      <c r="C11" s="6"/>
    </row>
    <row r="12" ht="18.75" customHeight="1">
      <c r="A12" s="9">
        <f>ESCALA!A11+1</f>
        <v>43931</v>
      </c>
      <c r="B12" s="6"/>
      <c r="C12" s="6"/>
    </row>
    <row r="13" ht="18.75" customHeight="1">
      <c r="A13" s="9">
        <f>ESCALA!A12+1</f>
        <v>43932</v>
      </c>
      <c r="B13" s="6"/>
      <c r="C13" s="6"/>
    </row>
    <row r="14" ht="18.75" customHeight="1">
      <c r="A14" s="9">
        <f>ESCALA!A13+1</f>
        <v>43933</v>
      </c>
      <c r="B14" s="6"/>
      <c r="C14" s="6"/>
    </row>
    <row r="15" ht="18.75" customHeight="1">
      <c r="A15" s="9">
        <f>ESCALA!A14+1</f>
        <v>43934</v>
      </c>
      <c r="B15" s="6"/>
      <c r="C15" s="6"/>
    </row>
    <row r="16" ht="18.75" customHeight="1">
      <c r="A16" s="9">
        <f>ESCALA!A15+1</f>
        <v>43935</v>
      </c>
      <c r="B16" s="6"/>
      <c r="C16" s="6"/>
    </row>
    <row r="17" ht="18.75" customHeight="1">
      <c r="A17" s="9">
        <f>ESCALA!A16+1</f>
        <v>43936</v>
      </c>
      <c r="B17" s="6"/>
      <c r="C17" s="6"/>
    </row>
    <row r="18" ht="18.75" customHeight="1">
      <c r="A18" s="9">
        <f>ESCALA!A17+1</f>
        <v>43937</v>
      </c>
      <c r="B18" s="6"/>
      <c r="C18" s="6"/>
    </row>
    <row r="19" ht="18.75" customHeight="1">
      <c r="A19" s="9">
        <f>ESCALA!A18+1</f>
        <v>43938</v>
      </c>
      <c r="B19" s="6"/>
      <c r="C19" s="6"/>
    </row>
    <row r="20" ht="18.75" customHeight="1">
      <c r="A20" s="9">
        <f>ESCALA!A19+1</f>
        <v>43939</v>
      </c>
      <c r="B20" s="6"/>
      <c r="C20" s="6"/>
    </row>
    <row r="21" ht="18.75" customHeight="1">
      <c r="A21" s="9">
        <f>ESCALA!A20+1</f>
        <v>43940</v>
      </c>
      <c r="B21" s="6"/>
      <c r="C21" s="6"/>
    </row>
    <row r="22" ht="18.75" customHeight="1">
      <c r="A22" s="9">
        <f>ESCALA!A21+1</f>
        <v>43941</v>
      </c>
      <c r="B22" s="6"/>
      <c r="C22" s="6"/>
    </row>
    <row r="23" ht="18.75" customHeight="1">
      <c r="A23" s="9">
        <f>ESCALA!A22+1</f>
        <v>43942</v>
      </c>
      <c r="B23" s="6"/>
      <c r="C23" s="6"/>
    </row>
    <row r="24" ht="18.75" customHeight="1">
      <c r="A24" s="9">
        <f>ESCALA!A23+1</f>
        <v>43943</v>
      </c>
      <c r="B24" s="6"/>
      <c r="C24" s="6"/>
    </row>
    <row r="25" ht="18.75" customHeight="1">
      <c r="A25" s="9">
        <f>ESCALA!A24+1</f>
        <v>43944</v>
      </c>
      <c r="B25" s="6"/>
      <c r="C25" s="6"/>
    </row>
    <row r="26" ht="18.75" customHeight="1">
      <c r="A26" s="9">
        <f>ESCALA!A25+1</f>
        <v>43945</v>
      </c>
      <c r="B26" s="6"/>
      <c r="C26" s="6"/>
    </row>
    <row r="27" ht="18.75" customHeight="1">
      <c r="A27" s="9">
        <f>ESCALA!A26+1</f>
        <v>43946</v>
      </c>
      <c r="B27" s="6"/>
      <c r="C27" s="6"/>
    </row>
    <row r="28" ht="18.75" customHeight="1">
      <c r="A28" s="9">
        <f>ESCALA!A27+1</f>
        <v>43947</v>
      </c>
      <c r="B28" s="6"/>
      <c r="C28" s="6"/>
    </row>
    <row r="29" ht="18.75" customHeight="1">
      <c r="A29" s="9">
        <f>ESCALA!A28+1</f>
        <v>43948</v>
      </c>
      <c r="B29" s="6"/>
      <c r="C29" s="6"/>
    </row>
    <row r="30" ht="18.75" customHeight="1">
      <c r="A30" s="9">
        <f>ESCALA!A29+1</f>
        <v>43949</v>
      </c>
      <c r="B30" s="6"/>
      <c r="C30" s="6"/>
    </row>
    <row r="31" ht="18.75" customHeight="1">
      <c r="A31" s="9">
        <f>ESCALA!A30+1</f>
        <v>43950</v>
      </c>
      <c r="B31" s="6"/>
      <c r="C31" s="6"/>
    </row>
    <row r="32" ht="18.75" customHeight="1">
      <c r="A32" s="9">
        <f>ESCALA!A31+1</f>
        <v>43951</v>
      </c>
      <c r="B32" s="6"/>
      <c r="C32" s="6"/>
    </row>
    <row r="33" ht="19.5" customHeight="1">
      <c r="A33" s="9">
        <f>ESCALA!A32+1</f>
        <v>43952</v>
      </c>
      <c r="B33" s="6"/>
      <c r="C33" s="6"/>
    </row>
    <row r="34" ht="18.75" customHeight="1"/>
    <row r="35" ht="18.75" customHeight="1"/>
    <row r="36" ht="18.7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A2"/>
  </mergeCells>
  <printOptions/>
  <pageMargins bottom="0.7875" footer="0.0" header="0.0" left="0.511805555555556" right="0.511805555555556" top="0.78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18" width="8.57"/>
    <col customWidth="1" min="19" max="19" width="6.14"/>
    <col customWidth="1" min="20" max="20" width="8.14"/>
    <col customWidth="1" min="21" max="24" width="8.57"/>
    <col customWidth="1" min="25" max="26" width="8.71"/>
    <col customWidth="1" min="27" max="32" width="8.57"/>
    <col customWidth="1" min="33" max="33" width="8.14"/>
    <col customWidth="1" min="34" max="37" width="8.57"/>
    <col customWidth="1" min="38" max="38" width="8.71"/>
    <col customWidth="1" min="39" max="40" width="8.57"/>
    <col customWidth="1" min="41" max="41" width="8.14"/>
    <col customWidth="1" min="42" max="42" width="8.57"/>
    <col customWidth="1" min="43" max="43" width="8.71"/>
    <col customWidth="1" min="44" max="47" width="8.57"/>
  </cols>
  <sheetData>
    <row r="1" ht="15.75" customHeight="1"/>
    <row r="2" ht="15.0" customHeight="1">
      <c r="A2" s="10"/>
      <c r="B2" s="11"/>
      <c r="C2" s="12"/>
      <c r="D2" s="1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24" t="s">
        <v>13</v>
      </c>
      <c r="U4" s="25" t="s">
        <v>14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55">
        <v>3337.0</v>
      </c>
      <c r="Z6" s="55">
        <v>1198.0</v>
      </c>
      <c r="AA6" s="56">
        <v>1.0</v>
      </c>
      <c r="AB6" s="57">
        <f>IF('1'!AA6=1,(('1'!Z6*'1'!$AS$6*'1'!$AT$6)/('1'!Y6*0.0036)),IF('1'!AA6=2,(('1'!Z6*'1'!$AS$7*'1'!$AT$7)/('1'!Y6*0.0036))))</f>
        <v>66.31621883</v>
      </c>
      <c r="AC6" s="58"/>
      <c r="AD6" s="59">
        <f>(('1'!AC6*'1'!$Q$10*1000000))/('1'!Z10*3600)</f>
        <v>0</v>
      </c>
      <c r="AE6" s="60"/>
      <c r="AF6" s="61">
        <f>('1'!AE6/24)*0.454</f>
        <v>0</v>
      </c>
      <c r="AG6" s="60"/>
      <c r="AH6" s="61">
        <f>('1'!AG6/24)*0.454</f>
        <v>0</v>
      </c>
      <c r="AI6" s="60">
        <v>5400.0</v>
      </c>
      <c r="AJ6" s="61">
        <f>('1'!AI6/24)*0.454</f>
        <v>102.15</v>
      </c>
      <c r="AK6" s="62"/>
      <c r="AL6" s="63">
        <f>('1'!AK6/24)*0.454</f>
        <v>0</v>
      </c>
      <c r="AM6" s="62"/>
      <c r="AN6" s="63">
        <f>('1'!AM6/24)*0.454</f>
        <v>0</v>
      </c>
      <c r="AO6" s="64"/>
      <c r="AP6" s="63">
        <f>('1'!AO6/24)*0.454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0">
        <v>115.0</v>
      </c>
      <c r="C7" s="70">
        <v>13.0</v>
      </c>
      <c r="D7" s="70">
        <v>14.0</v>
      </c>
      <c r="E7" s="70">
        <v>6.0</v>
      </c>
      <c r="F7" s="70">
        <v>7.5</v>
      </c>
      <c r="G7" s="70">
        <v>1.0</v>
      </c>
      <c r="H7" s="70">
        <v>1.0</v>
      </c>
      <c r="I7" s="70">
        <v>0.5</v>
      </c>
      <c r="J7" s="70">
        <v>0.5</v>
      </c>
      <c r="K7" s="70">
        <v>6.9</v>
      </c>
      <c r="L7" s="70">
        <v>6.6</v>
      </c>
      <c r="M7" s="70">
        <v>6.6</v>
      </c>
      <c r="N7" s="70">
        <v>6.3</v>
      </c>
      <c r="O7" s="70">
        <v>3.6</v>
      </c>
      <c r="P7" s="70"/>
      <c r="Q7" s="70"/>
      <c r="R7" s="71"/>
      <c r="S7" s="72"/>
      <c r="T7" s="71"/>
      <c r="U7" s="73" t="str">
        <f>IF('1'!AA6=1,'1'!AR6,'1'!AR7)</f>
        <v>S.A.L</v>
      </c>
      <c r="V7" s="74"/>
      <c r="W7" s="12"/>
      <c r="X7" s="54">
        <v>0.0833333333333333</v>
      </c>
      <c r="Y7" s="55">
        <v>3353.0</v>
      </c>
      <c r="Z7" s="55">
        <v>1198.0</v>
      </c>
      <c r="AA7" s="56">
        <v>1.0</v>
      </c>
      <c r="AB7" s="57">
        <f>IF('1'!AA7=1,(('1'!Z7*'1'!$AS$6*'1'!$AT$6)/('1'!Y7*0.0036)),IF('1'!AA7=2,(('1'!Z7*'1'!$AS$7*'1'!$AT$7)/('1'!Y7*0.0036))))</f>
        <v>65.99976804</v>
      </c>
      <c r="AC7" s="58"/>
      <c r="AD7" s="59">
        <f>(('1'!AC7*'1'!$Q$10*1000000))/('1'!Z11*3600)</f>
        <v>0</v>
      </c>
      <c r="AE7" s="60"/>
      <c r="AF7" s="61">
        <f>('1'!AE7/24)*0.454</f>
        <v>0</v>
      </c>
      <c r="AG7" s="60"/>
      <c r="AH7" s="61">
        <f>('1'!AG7/24)*0.454</f>
        <v>0</v>
      </c>
      <c r="AI7" s="60">
        <v>5400.0</v>
      </c>
      <c r="AJ7" s="61">
        <f>('1'!AI7/24)*0.454</f>
        <v>102.15</v>
      </c>
      <c r="AK7" s="62"/>
      <c r="AL7" s="63">
        <f>('1'!AK7/24)*0.454</f>
        <v>0</v>
      </c>
      <c r="AM7" s="62"/>
      <c r="AN7" s="63">
        <f>('1'!AM7/24)*0.454</f>
        <v>0</v>
      </c>
      <c r="AO7" s="64"/>
      <c r="AP7" s="63">
        <f>('1'!AO7/24)*0.454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0">
        <v>114.0</v>
      </c>
      <c r="C8" s="70">
        <v>12.0</v>
      </c>
      <c r="D8" s="70">
        <v>13.0</v>
      </c>
      <c r="E8" s="70">
        <v>6.0</v>
      </c>
      <c r="F8" s="70">
        <v>7.3</v>
      </c>
      <c r="G8" s="70">
        <v>0.9</v>
      </c>
      <c r="H8" s="70">
        <v>0.9</v>
      </c>
      <c r="I8" s="70">
        <v>0.5</v>
      </c>
      <c r="J8" s="70">
        <v>0.4</v>
      </c>
      <c r="K8" s="70">
        <v>6.9</v>
      </c>
      <c r="L8" s="70">
        <v>6.6</v>
      </c>
      <c r="M8" s="70">
        <v>6.6</v>
      </c>
      <c r="N8" s="70">
        <v>6.3</v>
      </c>
      <c r="O8" s="70">
        <v>3.6</v>
      </c>
      <c r="P8" s="70"/>
      <c r="Q8" s="70"/>
      <c r="R8" s="75">
        <f>'1'!Z7</f>
        <v>1198</v>
      </c>
      <c r="S8" s="76">
        <f>'1'!AB7</f>
        <v>65.99976804</v>
      </c>
      <c r="T8" s="77">
        <f>'1'!Y7</f>
        <v>3353</v>
      </c>
      <c r="U8" s="73" t="str">
        <f>IF('1'!AA7=1,'1'!AR6,'1'!AR7)</f>
        <v>S.A.L</v>
      </c>
      <c r="V8" s="43"/>
      <c r="W8" s="27"/>
      <c r="X8" s="54">
        <v>0.125</v>
      </c>
      <c r="Y8" s="55">
        <v>3362.0</v>
      </c>
      <c r="Z8" s="55">
        <v>1198.0</v>
      </c>
      <c r="AA8" s="56">
        <v>1.0</v>
      </c>
      <c r="AB8" s="57">
        <f>IF('1'!AA8=1,(('1'!Z8*'1'!$AS$6*'1'!$AT$6)/('1'!Y8*0.0036)),IF('1'!AA8=2,(('1'!Z8*'1'!$AS$7*'1'!$AT$7)/('1'!Y8*0.0036))))</f>
        <v>65.82308811</v>
      </c>
      <c r="AC8" s="58"/>
      <c r="AD8" s="59">
        <f>(('1'!AC8*'1'!$Q$10*1000000))/('1'!Z12*3600)</f>
        <v>0</v>
      </c>
      <c r="AE8" s="60"/>
      <c r="AF8" s="61">
        <f>('1'!AE8/24)*0.454</f>
        <v>0</v>
      </c>
      <c r="AG8" s="60"/>
      <c r="AH8" s="61">
        <f>('1'!AG8/24)*0.454</f>
        <v>0</v>
      </c>
      <c r="AI8" s="60">
        <v>5400.0</v>
      </c>
      <c r="AJ8" s="61">
        <f>('1'!AI8/24)*0.454</f>
        <v>102.15</v>
      </c>
      <c r="AK8" s="62"/>
      <c r="AL8" s="63">
        <f>('1'!AK8/24)*0.454</f>
        <v>0</v>
      </c>
      <c r="AM8" s="62"/>
      <c r="AN8" s="63">
        <f>('1'!AM8/24)*0.454</f>
        <v>0</v>
      </c>
      <c r="AO8" s="64"/>
      <c r="AP8" s="63">
        <f>('1'!AO8/24)*0.454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0">
        <v>112.0</v>
      </c>
      <c r="C9" s="70">
        <v>12.0</v>
      </c>
      <c r="D9" s="70">
        <v>12.0</v>
      </c>
      <c r="E9" s="70">
        <v>5.0</v>
      </c>
      <c r="F9" s="70">
        <v>7.2</v>
      </c>
      <c r="G9" s="70">
        <v>0.8</v>
      </c>
      <c r="H9" s="70">
        <v>0.9</v>
      </c>
      <c r="I9" s="70">
        <v>0.5</v>
      </c>
      <c r="J9" s="70">
        <v>0.4</v>
      </c>
      <c r="K9" s="70">
        <v>6.9</v>
      </c>
      <c r="L9" s="70">
        <v>6.6</v>
      </c>
      <c r="M9" s="70">
        <v>6.0</v>
      </c>
      <c r="N9" s="70">
        <v>6.3</v>
      </c>
      <c r="O9" s="70">
        <v>3.8</v>
      </c>
      <c r="P9" s="70"/>
      <c r="Q9" s="70"/>
      <c r="R9" s="77">
        <f>'1'!Z9</f>
        <v>1198</v>
      </c>
      <c r="S9" s="76">
        <f>'1'!AB9</f>
        <v>65.88187622</v>
      </c>
      <c r="T9" s="77">
        <f>'1'!Y9</f>
        <v>3359</v>
      </c>
      <c r="U9" s="73" t="str">
        <f>IF('1'!AA9=1,'1'!AR6,'1'!AR7)</f>
        <v>S.A.L</v>
      </c>
      <c r="V9" s="43"/>
      <c r="W9" s="27"/>
      <c r="X9" s="54">
        <v>0.166666666666667</v>
      </c>
      <c r="Y9" s="55">
        <v>3359.0</v>
      </c>
      <c r="Z9" s="55">
        <v>1198.0</v>
      </c>
      <c r="AA9" s="56">
        <v>1.0</v>
      </c>
      <c r="AB9" s="57">
        <f>IF('1'!AA9=1,(('1'!Z9*'1'!$AS$6*'1'!$AT$6)/('1'!Y9*0.0036)),IF('1'!AA9=2,(('1'!Z9*'1'!$AS$7*'1'!$AT$7)/('1'!Y9*0.0036))))</f>
        <v>65.88187622</v>
      </c>
      <c r="AC9" s="58"/>
      <c r="AD9" s="59">
        <f>(('1'!AC9*'1'!$Q$10*1000000))/('1'!Z13*3600)</f>
        <v>0</v>
      </c>
      <c r="AE9" s="60"/>
      <c r="AF9" s="61">
        <f>('1'!AE9/24)*0.454</f>
        <v>0</v>
      </c>
      <c r="AG9" s="60"/>
      <c r="AH9" s="61">
        <f>('1'!AG9/24)*0.454</f>
        <v>0</v>
      </c>
      <c r="AI9" s="60">
        <v>5400.0</v>
      </c>
      <c r="AJ9" s="61">
        <f>('1'!AI9/24)*0.454</f>
        <v>102.15</v>
      </c>
      <c r="AK9" s="62"/>
      <c r="AL9" s="63">
        <f>('1'!AK9/24)*0.454</f>
        <v>0</v>
      </c>
      <c r="AM9" s="62"/>
      <c r="AN9" s="63">
        <f>('1'!AM9/24)*0.454</f>
        <v>0</v>
      </c>
      <c r="AO9" s="64"/>
      <c r="AP9" s="63">
        <f>('1'!AO9/24)*0.454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0">
        <v>111.0</v>
      </c>
      <c r="C10" s="70">
        <v>12.0</v>
      </c>
      <c r="D10" s="70">
        <v>12.0</v>
      </c>
      <c r="E10" s="70">
        <v>5.0</v>
      </c>
      <c r="F10" s="70">
        <v>6.9</v>
      </c>
      <c r="G10" s="70">
        <v>0.8</v>
      </c>
      <c r="H10" s="70">
        <v>0.9</v>
      </c>
      <c r="I10" s="70">
        <v>0.5</v>
      </c>
      <c r="J10" s="70">
        <v>0.4</v>
      </c>
      <c r="K10" s="70">
        <v>6.9</v>
      </c>
      <c r="L10" s="70">
        <v>6.6</v>
      </c>
      <c r="M10" s="70">
        <v>6.6</v>
      </c>
      <c r="N10" s="70">
        <v>6.3</v>
      </c>
      <c r="O10" s="70">
        <v>3.8</v>
      </c>
      <c r="P10" s="70"/>
      <c r="Q10" s="70"/>
      <c r="R10" s="77">
        <f>'1'!Z11</f>
        <v>1198</v>
      </c>
      <c r="S10" s="76">
        <f>'1'!AB11</f>
        <v>65.72534073</v>
      </c>
      <c r="T10" s="77">
        <f>'1'!Y11</f>
        <v>3367</v>
      </c>
      <c r="U10" s="83" t="str">
        <f>IF('1'!AA11=1,'1'!AR6,'1'!AR7)</f>
        <v>S.A.L</v>
      </c>
      <c r="V10" s="43"/>
      <c r="W10" s="27"/>
      <c r="X10" s="54">
        <v>0.208333333333333</v>
      </c>
      <c r="Y10" s="55">
        <v>3371.0</v>
      </c>
      <c r="Z10" s="55">
        <v>1198.0</v>
      </c>
      <c r="AA10" s="56">
        <v>1.0</v>
      </c>
      <c r="AB10" s="57">
        <f>IF('1'!AA10=1,(('1'!Z10*'1'!$AS$6*'1'!$AT$6)/('1'!Y10*0.0036)),IF('1'!AA10=2,(('1'!Z10*'1'!$AS$7*'1'!$AT$7)/('1'!Y10*0.0036))))</f>
        <v>65.64735159</v>
      </c>
      <c r="AC10" s="58"/>
      <c r="AD10" s="59">
        <f>(('1'!AC10*'1'!$Q$10*1000000))/('1'!Z14*3600)</f>
        <v>0</v>
      </c>
      <c r="AE10" s="60"/>
      <c r="AF10" s="61">
        <f>('1'!AE10/24)*0.454</f>
        <v>0</v>
      </c>
      <c r="AG10" s="60"/>
      <c r="AH10" s="61">
        <f>('1'!AG10/24)*0.454</f>
        <v>0</v>
      </c>
      <c r="AI10" s="60">
        <v>5400.0</v>
      </c>
      <c r="AJ10" s="61">
        <f>('1'!AI10/24)*0.454</f>
        <v>102.15</v>
      </c>
      <c r="AK10" s="62"/>
      <c r="AL10" s="63">
        <f>('1'!AK10/24)*0.454</f>
        <v>0</v>
      </c>
      <c r="AM10" s="62"/>
      <c r="AN10" s="63">
        <f>('1'!AM10/24)*0.454</f>
        <v>0</v>
      </c>
      <c r="AO10" s="64"/>
      <c r="AP10" s="63">
        <f>('1'!AO10/24)*0.454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0">
        <v>108.0</v>
      </c>
      <c r="C11" s="70">
        <v>12.0</v>
      </c>
      <c r="D11" s="70">
        <v>11.0</v>
      </c>
      <c r="E11" s="70">
        <v>6.0</v>
      </c>
      <c r="F11" s="70">
        <v>7.0</v>
      </c>
      <c r="G11" s="70">
        <v>0.9</v>
      </c>
      <c r="H11" s="70">
        <v>0.9</v>
      </c>
      <c r="I11" s="70">
        <v>0.5</v>
      </c>
      <c r="J11" s="70">
        <v>0.4</v>
      </c>
      <c r="K11" s="70">
        <v>6.9</v>
      </c>
      <c r="L11" s="70">
        <v>6.6</v>
      </c>
      <c r="M11" s="70">
        <v>6.6</v>
      </c>
      <c r="N11" s="70">
        <v>6.3</v>
      </c>
      <c r="O11" s="70">
        <v>3.8</v>
      </c>
      <c r="P11" s="70"/>
      <c r="Q11" s="70"/>
      <c r="R11" s="77">
        <f>'1'!Z13</f>
        <v>1198</v>
      </c>
      <c r="S11" s="76">
        <f>'1'!AB13</f>
        <v>66.05887231</v>
      </c>
      <c r="T11" s="77">
        <f>'1'!Y13</f>
        <v>3350</v>
      </c>
      <c r="U11" s="86" t="str">
        <f>IF('1'!AA13=1,'1'!AR6,'1'!AR7)</f>
        <v>S.A.L</v>
      </c>
      <c r="V11" s="16"/>
      <c r="W11" s="18"/>
      <c r="X11" s="54">
        <v>0.25</v>
      </c>
      <c r="Y11" s="55">
        <v>3367.0</v>
      </c>
      <c r="Z11" s="55">
        <v>1198.0</v>
      </c>
      <c r="AA11" s="56">
        <v>1.0</v>
      </c>
      <c r="AB11" s="57">
        <f>IF('1'!AA11=1,(('1'!Z11*'1'!$AS$6*'1'!$AT$6)/('1'!Y11*0.0036)),IF('1'!AA11=2,(('1'!Z11*'1'!$AS$7*'1'!$AT$7)/('1'!Y11*0.0036))))</f>
        <v>65.72534073</v>
      </c>
      <c r="AC11" s="58"/>
      <c r="AD11" s="59">
        <f>(('1'!AC11*'1'!$Q$10*1000000))/('1'!Z15*3600)</f>
        <v>0</v>
      </c>
      <c r="AE11" s="60"/>
      <c r="AF11" s="61">
        <f>('1'!AE11/24)*0.454</f>
        <v>0</v>
      </c>
      <c r="AG11" s="60"/>
      <c r="AH11" s="61">
        <f>('1'!AG11/24)*0.454</f>
        <v>0</v>
      </c>
      <c r="AI11" s="60">
        <v>5400.0</v>
      </c>
      <c r="AJ11" s="61">
        <f>('1'!AI11/24)*0.454</f>
        <v>102.15</v>
      </c>
      <c r="AK11" s="62"/>
      <c r="AL11" s="63">
        <f>('1'!AK11/24)*0.454</f>
        <v>0</v>
      </c>
      <c r="AM11" s="62"/>
      <c r="AN11" s="63">
        <f>('1'!AM11/24)*0.454</f>
        <v>0</v>
      </c>
      <c r="AO11" s="64"/>
      <c r="AP11" s="63">
        <f>('1'!AO11/24)*0.454</f>
        <v>0</v>
      </c>
    </row>
    <row r="12" ht="18.75" customHeight="1">
      <c r="A12" s="69">
        <v>0.416666666666667</v>
      </c>
      <c r="B12" s="70">
        <v>109.0</v>
      </c>
      <c r="C12" s="70">
        <v>12.0</v>
      </c>
      <c r="D12" s="70">
        <v>11.0</v>
      </c>
      <c r="E12" s="70">
        <v>6.0</v>
      </c>
      <c r="F12" s="70">
        <v>7.1</v>
      </c>
      <c r="G12" s="70">
        <v>0.9</v>
      </c>
      <c r="H12" s="70">
        <v>0.9</v>
      </c>
      <c r="I12" s="70">
        <v>0.5</v>
      </c>
      <c r="J12" s="70">
        <v>0.4</v>
      </c>
      <c r="K12" s="70">
        <v>6.9</v>
      </c>
      <c r="L12" s="70">
        <v>6.6</v>
      </c>
      <c r="M12" s="70">
        <v>6.6</v>
      </c>
      <c r="N12" s="70">
        <v>6.3</v>
      </c>
      <c r="O12" s="70">
        <v>3.6</v>
      </c>
      <c r="P12" s="70"/>
      <c r="Q12" s="70"/>
      <c r="R12" s="77">
        <f>'1'!Z15</f>
        <v>1198</v>
      </c>
      <c r="S12" s="76">
        <f>'1'!AB15</f>
        <v>66.05887231</v>
      </c>
      <c r="T12" s="77">
        <f>'1'!Y15</f>
        <v>3350</v>
      </c>
      <c r="U12" s="87" t="str">
        <f>IF('1'!AA15=1,'1'!AR6,'1'!AR7)</f>
        <v>S.A.L</v>
      </c>
      <c r="V12" s="88" t="str">
        <f>ESCALA!$B$3</f>
        <v/>
      </c>
      <c r="W12" s="89"/>
      <c r="X12" s="54">
        <v>0.291666666666667</v>
      </c>
      <c r="Y12" s="55">
        <v>3350.0</v>
      </c>
      <c r="Z12" s="55">
        <v>1198.0</v>
      </c>
      <c r="AA12" s="56">
        <v>1.0</v>
      </c>
      <c r="AB12" s="57">
        <f>IF('1'!AA12=1,(('1'!Z12*'1'!$AS$6*'1'!$AT$6)/('1'!Y12*0.0036)),IF('1'!AA12=2,(('1'!Z12*'1'!$AS$7*'1'!$AT$7)/('1'!Y12*0.0036))))</f>
        <v>66.05887231</v>
      </c>
      <c r="AC12" s="58"/>
      <c r="AD12" s="59">
        <f>(('1'!AC12*'1'!$Q$10*1000000))/('1'!Z16*3600)</f>
        <v>0</v>
      </c>
      <c r="AE12" s="60"/>
      <c r="AF12" s="61">
        <f>('1'!AE12/24)*0.454</f>
        <v>0</v>
      </c>
      <c r="AG12" s="60"/>
      <c r="AH12" s="61">
        <f>('1'!AG12/24)*0.454</f>
        <v>0</v>
      </c>
      <c r="AI12" s="60">
        <v>5200.0</v>
      </c>
      <c r="AJ12" s="61">
        <f>('1'!AI12/24)*0.454</f>
        <v>98.36666667</v>
      </c>
      <c r="AK12" s="62"/>
      <c r="AL12" s="63">
        <f>('1'!AK12/24)*0.454</f>
        <v>0</v>
      </c>
      <c r="AM12" s="62"/>
      <c r="AN12" s="63">
        <f>('1'!AM12/24)*0.454</f>
        <v>0</v>
      </c>
      <c r="AO12" s="64"/>
      <c r="AP12" s="63">
        <f>('1'!AO12/24)*0.454</f>
        <v>0</v>
      </c>
    </row>
    <row r="13" ht="18.75" customHeight="1">
      <c r="A13" s="69">
        <v>0.5</v>
      </c>
      <c r="B13" s="70">
        <v>110.0</v>
      </c>
      <c r="C13" s="70">
        <v>12.0</v>
      </c>
      <c r="D13" s="70">
        <v>11.0</v>
      </c>
      <c r="E13" s="70">
        <v>6.0</v>
      </c>
      <c r="F13" s="70">
        <v>7.3</v>
      </c>
      <c r="G13" s="70">
        <v>1.0</v>
      </c>
      <c r="H13" s="70">
        <v>1.0</v>
      </c>
      <c r="I13" s="70">
        <v>0.5</v>
      </c>
      <c r="J13" s="70">
        <v>0.4</v>
      </c>
      <c r="K13" s="70">
        <v>6.9</v>
      </c>
      <c r="L13" s="70">
        <v>6.6</v>
      </c>
      <c r="M13" s="70">
        <v>6.6</v>
      </c>
      <c r="N13" s="70">
        <v>6.3</v>
      </c>
      <c r="O13" s="70">
        <v>3.6</v>
      </c>
      <c r="P13" s="70"/>
      <c r="Q13" s="70"/>
      <c r="R13" s="77">
        <f>'1'!Z17</f>
        <v>1198</v>
      </c>
      <c r="S13" s="76">
        <f>'1'!AB17</f>
        <v>66.05887231</v>
      </c>
      <c r="T13" s="77">
        <f>'1'!Y17</f>
        <v>3350</v>
      </c>
      <c r="U13" s="73" t="str">
        <f>IF('1'!AA17=1,'1'!AR6,'1'!AR7)</f>
        <v>S.A.L</v>
      </c>
      <c r="V13" s="43"/>
      <c r="W13" s="27"/>
      <c r="X13" s="54">
        <v>0.333333333333333</v>
      </c>
      <c r="Y13" s="55">
        <v>3350.0</v>
      </c>
      <c r="Z13" s="55">
        <v>1198.0</v>
      </c>
      <c r="AA13" s="56">
        <v>1.0</v>
      </c>
      <c r="AB13" s="57">
        <f>IF('1'!AA13=1,(('1'!Z13*'1'!$AS$6*'1'!$AT$6)/('1'!Y13*0.0036)),IF('1'!AA13=2,(('1'!Z13*'1'!$AS$7*'1'!$AT$7)/('1'!Y13*0.0036))))</f>
        <v>66.05887231</v>
      </c>
      <c r="AC13" s="58"/>
      <c r="AD13" s="59">
        <f>(('1'!AC13*'1'!$Q$10*1000000))/('1'!Z17*3600)</f>
        <v>0</v>
      </c>
      <c r="AE13" s="60"/>
      <c r="AF13" s="61">
        <f>('1'!AE13/24)*0.454</f>
        <v>0</v>
      </c>
      <c r="AG13" s="60"/>
      <c r="AH13" s="61">
        <f>('1'!AG13/24)*0.454</f>
        <v>0</v>
      </c>
      <c r="AI13" s="60">
        <v>5200.0</v>
      </c>
      <c r="AJ13" s="61">
        <f>('1'!AI13/24)*0.454</f>
        <v>98.36666667</v>
      </c>
      <c r="AK13" s="62"/>
      <c r="AL13" s="63">
        <f>('1'!AK13/24)*0.454</f>
        <v>0</v>
      </c>
      <c r="AM13" s="62"/>
      <c r="AN13" s="63">
        <f>('1'!AM13/24)*0.454</f>
        <v>0</v>
      </c>
      <c r="AO13" s="64"/>
      <c r="AP13" s="63">
        <f>('1'!AO13/24)*0.454</f>
        <v>0</v>
      </c>
    </row>
    <row r="14" ht="18.75" customHeight="1">
      <c r="A14" s="69">
        <v>0.583333333333333</v>
      </c>
      <c r="B14" s="70">
        <v>110.0</v>
      </c>
      <c r="C14" s="70">
        <v>12.0</v>
      </c>
      <c r="D14" s="70">
        <v>12.0</v>
      </c>
      <c r="E14" s="70">
        <v>6.0</v>
      </c>
      <c r="F14" s="70">
        <v>7.5</v>
      </c>
      <c r="G14" s="70">
        <v>1.0</v>
      </c>
      <c r="H14" s="70">
        <v>1.1</v>
      </c>
      <c r="I14" s="70">
        <v>0.5</v>
      </c>
      <c r="J14" s="70">
        <v>0.4</v>
      </c>
      <c r="K14" s="70">
        <v>6.9</v>
      </c>
      <c r="L14" s="70">
        <v>6.6</v>
      </c>
      <c r="M14" s="70">
        <v>6.6</v>
      </c>
      <c r="N14" s="70">
        <v>6.3</v>
      </c>
      <c r="O14" s="70">
        <v>3.5</v>
      </c>
      <c r="P14" s="70"/>
      <c r="Q14" s="70"/>
      <c r="R14" s="77">
        <f>'1'!Z19</f>
        <v>1198</v>
      </c>
      <c r="S14" s="76">
        <f>'1'!AB19</f>
        <v>66.05887231</v>
      </c>
      <c r="T14" s="77">
        <f>'1'!Y19</f>
        <v>3350</v>
      </c>
      <c r="U14" s="73" t="str">
        <f>IF('1'!AA19=1,'1'!AR6,'1'!AR7)</f>
        <v>S.A.L</v>
      </c>
      <c r="V14" s="43"/>
      <c r="W14" s="27"/>
      <c r="X14" s="54">
        <v>0.375</v>
      </c>
      <c r="Y14" s="55">
        <v>3350.0</v>
      </c>
      <c r="Z14" s="55">
        <v>1198.0</v>
      </c>
      <c r="AA14" s="56">
        <v>1.0</v>
      </c>
      <c r="AB14" s="57">
        <f>IF('1'!AA14=1,(('1'!Z14*'1'!$AS$6*'1'!$AT$6)/('1'!Y14*0.0036)),IF('1'!AA14=2,(('1'!Z14*'1'!$AS$7*'1'!$AT$7)/('1'!Y14*0.0036))))</f>
        <v>66.05887231</v>
      </c>
      <c r="AC14" s="58"/>
      <c r="AD14" s="59">
        <f>(('1'!AC14*'1'!$Q$10*1000000))/('1'!Z18*3600)</f>
        <v>0</v>
      </c>
      <c r="AE14" s="60"/>
      <c r="AF14" s="61">
        <f>('1'!AE14/24)*0.454</f>
        <v>0</v>
      </c>
      <c r="AG14" s="60"/>
      <c r="AH14" s="61">
        <f>('1'!AG14/24)*0.454</f>
        <v>0</v>
      </c>
      <c r="AI14" s="60">
        <v>5200.0</v>
      </c>
      <c r="AJ14" s="61">
        <f>('1'!AI14/24)*0.454</f>
        <v>98.36666667</v>
      </c>
      <c r="AK14" s="62"/>
      <c r="AL14" s="63">
        <f>('1'!AK14/24)*0.454</f>
        <v>0</v>
      </c>
      <c r="AM14" s="62"/>
      <c r="AN14" s="63">
        <f>('1'!AM14/24)*0.454</f>
        <v>0</v>
      </c>
      <c r="AO14" s="64"/>
      <c r="AP14" s="63">
        <f>('1'!AO14/24)*0.454</f>
        <v>0</v>
      </c>
    </row>
    <row r="15" ht="18.75" customHeight="1">
      <c r="A15" s="69">
        <v>0.666666666666667</v>
      </c>
      <c r="B15" s="70">
        <v>108.0</v>
      </c>
      <c r="C15" s="70">
        <v>12.0</v>
      </c>
      <c r="D15" s="70">
        <v>12.0</v>
      </c>
      <c r="E15" s="70">
        <v>6.0</v>
      </c>
      <c r="F15" s="70">
        <v>7.6</v>
      </c>
      <c r="G15" s="70">
        <v>1.0</v>
      </c>
      <c r="H15" s="70">
        <v>1.1</v>
      </c>
      <c r="I15" s="70">
        <v>0.5</v>
      </c>
      <c r="J15" s="70">
        <v>0.4</v>
      </c>
      <c r="K15" s="70">
        <v>6.9</v>
      </c>
      <c r="L15" s="70">
        <v>6.6</v>
      </c>
      <c r="M15" s="70">
        <v>6.6</v>
      </c>
      <c r="N15" s="70">
        <v>6.3</v>
      </c>
      <c r="O15" s="70">
        <v>3.5</v>
      </c>
      <c r="P15" s="70"/>
      <c r="Q15" s="70"/>
      <c r="R15" s="77">
        <f>'1'!Z21</f>
        <v>1198</v>
      </c>
      <c r="S15" s="76">
        <f>'1'!AB21</f>
        <v>66.05887231</v>
      </c>
      <c r="T15" s="77">
        <f>'1'!Y21</f>
        <v>3350</v>
      </c>
      <c r="U15" s="73" t="str">
        <f>IF('1'!AA21=1,'1'!AR6,'1'!AR7)</f>
        <v>S.A.L</v>
      </c>
      <c r="V15" s="43"/>
      <c r="W15" s="27"/>
      <c r="X15" s="54">
        <v>0.416666666666667</v>
      </c>
      <c r="Y15" s="55">
        <v>3350.0</v>
      </c>
      <c r="Z15" s="55">
        <v>1198.0</v>
      </c>
      <c r="AA15" s="56">
        <v>1.0</v>
      </c>
      <c r="AB15" s="57">
        <f>IF('1'!AA15=1,(('1'!Z15*'1'!$AS$6*'1'!$AT$6)/('1'!Y15*0.0036)),IF('1'!AA15=2,(('1'!Z15*'1'!$AS$7*'1'!$AT$7)/('1'!Y15*0.0036))))</f>
        <v>66.05887231</v>
      </c>
      <c r="AC15" s="58"/>
      <c r="AD15" s="59">
        <f>(('1'!AC15*'1'!$Q$10*1000000))/('1'!Z19*3600)</f>
        <v>0</v>
      </c>
      <c r="AE15" s="60"/>
      <c r="AF15" s="61">
        <f>('1'!AE15/24)*0.454</f>
        <v>0</v>
      </c>
      <c r="AG15" s="60"/>
      <c r="AH15" s="61">
        <f>('1'!AG15/24)*0.454</f>
        <v>0</v>
      </c>
      <c r="AI15" s="60">
        <v>5200.0</v>
      </c>
      <c r="AJ15" s="61">
        <f>('1'!AI15/24)*0.454</f>
        <v>98.36666667</v>
      </c>
      <c r="AK15" s="62"/>
      <c r="AL15" s="63">
        <f>('1'!AK15/24)*0.454</f>
        <v>0</v>
      </c>
      <c r="AM15" s="62"/>
      <c r="AN15" s="63">
        <f>('1'!AM15/24)*0.454</f>
        <v>0</v>
      </c>
      <c r="AO15" s="64"/>
      <c r="AP15" s="63">
        <f>('1'!AO15/24)*0.454</f>
        <v>0</v>
      </c>
    </row>
    <row r="16" ht="18.75" customHeight="1">
      <c r="A16" s="69">
        <v>0.75</v>
      </c>
      <c r="B16" s="70">
        <v>109.0</v>
      </c>
      <c r="C16" s="70">
        <v>12.0</v>
      </c>
      <c r="D16" s="70">
        <v>12.0</v>
      </c>
      <c r="E16" s="70">
        <v>6.0</v>
      </c>
      <c r="F16" s="70">
        <v>7.4</v>
      </c>
      <c r="G16" s="70">
        <v>1.0</v>
      </c>
      <c r="H16" s="70">
        <v>1.0</v>
      </c>
      <c r="I16" s="70">
        <v>0.5</v>
      </c>
      <c r="J16" s="70">
        <v>0.4</v>
      </c>
      <c r="K16" s="70">
        <v>6.9</v>
      </c>
      <c r="L16" s="70">
        <v>6.6</v>
      </c>
      <c r="M16" s="70">
        <v>6.6</v>
      </c>
      <c r="N16" s="70">
        <v>6.3</v>
      </c>
      <c r="O16" s="70">
        <v>3.5</v>
      </c>
      <c r="P16" s="70"/>
      <c r="Q16" s="70"/>
      <c r="R16" s="77">
        <f>'1'!Z23</f>
        <v>1198</v>
      </c>
      <c r="S16" s="76">
        <f>'1'!AB23</f>
        <v>66.05887231</v>
      </c>
      <c r="T16" s="77">
        <f>'1'!Y23</f>
        <v>3350</v>
      </c>
      <c r="U16" s="73" t="str">
        <f>IF('1'!AA23=1,'1'!AR6,'1'!AR7)</f>
        <v>S.A.L</v>
      </c>
      <c r="V16" s="16"/>
      <c r="W16" s="18"/>
      <c r="X16" s="54">
        <v>0.458333333333333</v>
      </c>
      <c r="Y16" s="55">
        <v>3350.0</v>
      </c>
      <c r="Z16" s="55">
        <v>1198.0</v>
      </c>
      <c r="AA16" s="56">
        <v>1.0</v>
      </c>
      <c r="AB16" s="57">
        <f>IF('1'!AA16=1,(('1'!Z16*'1'!$AS$6*'1'!$AT$6)/('1'!Y16*0.0036)),IF('1'!AA16=2,(('1'!Z16*'1'!$AS$7*'1'!$AT$7)/('1'!Y16*0.0036))))</f>
        <v>66.05887231</v>
      </c>
      <c r="AC16" s="58"/>
      <c r="AD16" s="59">
        <f>(('1'!AC16*'1'!$Q$10*1000000))/('1'!Z20*3600)</f>
        <v>0</v>
      </c>
      <c r="AE16" s="60"/>
      <c r="AF16" s="61">
        <f>('1'!AE16/24)*0.454</f>
        <v>0</v>
      </c>
      <c r="AG16" s="60"/>
      <c r="AH16" s="61">
        <f>('1'!AG16/24)*0.454</f>
        <v>0</v>
      </c>
      <c r="AI16" s="60">
        <v>5200.0</v>
      </c>
      <c r="AJ16" s="61">
        <f>('1'!AI16/24)*0.454</f>
        <v>98.36666667</v>
      </c>
      <c r="AK16" s="62"/>
      <c r="AL16" s="63">
        <f>('1'!AK16/24)*0.454</f>
        <v>0</v>
      </c>
      <c r="AM16" s="62"/>
      <c r="AN16" s="63">
        <f>('1'!AM16/24)*0.454</f>
        <v>0</v>
      </c>
      <c r="AO16" s="64"/>
      <c r="AP16" s="63">
        <f>('1'!AO16/24)*0.454</f>
        <v>0</v>
      </c>
    </row>
    <row r="17" ht="18.75" customHeight="1">
      <c r="A17" s="69">
        <v>0.833333333333333</v>
      </c>
      <c r="B17" s="70">
        <v>107.0</v>
      </c>
      <c r="C17" s="70">
        <v>12.0</v>
      </c>
      <c r="D17" s="70">
        <v>12.0</v>
      </c>
      <c r="E17" s="70">
        <v>6.0</v>
      </c>
      <c r="F17" s="70">
        <v>7.3</v>
      </c>
      <c r="G17" s="70">
        <v>0.9</v>
      </c>
      <c r="H17" s="70">
        <v>0.9</v>
      </c>
      <c r="I17" s="70">
        <v>0.5</v>
      </c>
      <c r="J17" s="70">
        <v>0.4</v>
      </c>
      <c r="K17" s="70">
        <v>7.0</v>
      </c>
      <c r="L17" s="70">
        <v>6.6</v>
      </c>
      <c r="M17" s="70">
        <v>6.6</v>
      </c>
      <c r="N17" s="70">
        <v>6.3</v>
      </c>
      <c r="O17" s="70">
        <v>3.6</v>
      </c>
      <c r="P17" s="70"/>
      <c r="Q17" s="70"/>
      <c r="R17" s="77">
        <f>'1'!Z25</f>
        <v>1198</v>
      </c>
      <c r="S17" s="76">
        <f>'1'!AB25</f>
        <v>66.05887231</v>
      </c>
      <c r="T17" s="77">
        <f>'1'!Y25</f>
        <v>3350</v>
      </c>
      <c r="U17" s="73" t="str">
        <f>IF('1'!AA25=1,'1'!AR6,'1'!AR7)</f>
        <v>S.A.L</v>
      </c>
      <c r="V17" s="90" t="str">
        <f>ESCALA!$C$3</f>
        <v/>
      </c>
      <c r="W17" s="89"/>
      <c r="X17" s="54">
        <v>0.5</v>
      </c>
      <c r="Y17" s="55">
        <v>3350.0</v>
      </c>
      <c r="Z17" s="55">
        <v>1198.0</v>
      </c>
      <c r="AA17" s="56">
        <v>1.0</v>
      </c>
      <c r="AB17" s="57">
        <f>IF('1'!AA17=1,(('1'!Z17*'1'!$AS$6*'1'!$AT$6)/('1'!Y17*0.0036)),IF('1'!AA17=2,(('1'!Z17*'1'!$AS$7*'1'!$AT$7)/('1'!Y17*0.0036))))</f>
        <v>66.05887231</v>
      </c>
      <c r="AC17" s="58"/>
      <c r="AD17" s="59">
        <f>(('1'!AC17*'1'!$Q$10*1000000))/('1'!Z21*3600)</f>
        <v>0</v>
      </c>
      <c r="AE17" s="60"/>
      <c r="AF17" s="61">
        <f>('1'!AE17/24)*0.454</f>
        <v>0</v>
      </c>
      <c r="AG17" s="60"/>
      <c r="AH17" s="61">
        <f>('1'!AG17/24)*0.454</f>
        <v>0</v>
      </c>
      <c r="AI17" s="60">
        <v>5200.0</v>
      </c>
      <c r="AJ17" s="61">
        <f>('1'!AI17/24)*0.454</f>
        <v>98.36666667</v>
      </c>
      <c r="AK17" s="62"/>
      <c r="AL17" s="63">
        <f>('1'!AK17/24)*0.454</f>
        <v>0</v>
      </c>
      <c r="AM17" s="62"/>
      <c r="AN17" s="63">
        <f>('1'!AM17/24)*0.454</f>
        <v>0</v>
      </c>
      <c r="AO17" s="64"/>
      <c r="AP17" s="63">
        <f>('1'!AO17/24)*0.454</f>
        <v>0</v>
      </c>
    </row>
    <row r="18" ht="19.5" customHeight="1">
      <c r="A18" s="69">
        <v>0.916666666666667</v>
      </c>
      <c r="B18" s="70">
        <v>109.0</v>
      </c>
      <c r="C18" s="70">
        <v>12.0</v>
      </c>
      <c r="D18" s="70">
        <v>12.0</v>
      </c>
      <c r="E18" s="70">
        <v>6.0</v>
      </c>
      <c r="F18" s="70">
        <v>7.2</v>
      </c>
      <c r="G18" s="70">
        <v>1.0</v>
      </c>
      <c r="H18" s="70">
        <v>0.9</v>
      </c>
      <c r="I18" s="70">
        <v>0.5</v>
      </c>
      <c r="J18" s="70">
        <v>0.4</v>
      </c>
      <c r="K18" s="70">
        <v>7.0</v>
      </c>
      <c r="L18" s="70">
        <v>6.6</v>
      </c>
      <c r="M18" s="70">
        <v>6.6</v>
      </c>
      <c r="N18" s="70">
        <v>6.3</v>
      </c>
      <c r="O18" s="70">
        <v>3.6</v>
      </c>
      <c r="P18" s="70"/>
      <c r="Q18" s="70"/>
      <c r="R18" s="77">
        <f>'1'!Z27</f>
        <v>1030</v>
      </c>
      <c r="S18" s="76">
        <f>'1'!AB27</f>
        <v>77.02991453</v>
      </c>
      <c r="T18" s="77">
        <f>'1'!Y27</f>
        <v>2470</v>
      </c>
      <c r="U18" s="73" t="str">
        <f>IF('1'!AA27=1,'1'!AR6,'1'!AR7)</f>
        <v>S.A.L</v>
      </c>
      <c r="V18" s="16"/>
      <c r="W18" s="18"/>
      <c r="X18" s="54">
        <v>0.541666666666667</v>
      </c>
      <c r="Y18" s="55">
        <v>3350.0</v>
      </c>
      <c r="Z18" s="55">
        <v>1198.0</v>
      </c>
      <c r="AA18" s="56">
        <v>1.0</v>
      </c>
      <c r="AB18" s="57">
        <f>IF('1'!AA18=1,(('1'!Z18*'1'!$AS$6*'1'!$AT$6)/('1'!Y18*0.0036)),IF('1'!AA18=2,(('1'!Z18*'1'!$AS$7*'1'!$AT$7)/('1'!Y18*0.0036))))</f>
        <v>66.05887231</v>
      </c>
      <c r="AC18" s="58"/>
      <c r="AD18" s="59">
        <f>(('1'!AC18*'1'!$Q$10*1000000))/('1'!Z22*3600)</f>
        <v>0</v>
      </c>
      <c r="AE18" s="60"/>
      <c r="AF18" s="61">
        <f>('1'!AE18/24)*0.454</f>
        <v>0</v>
      </c>
      <c r="AG18" s="60"/>
      <c r="AH18" s="61">
        <f>('1'!AG18/24)*0.454</f>
        <v>0</v>
      </c>
      <c r="AI18" s="60">
        <v>5200.0</v>
      </c>
      <c r="AJ18" s="61">
        <f>('1'!AI18/24)*0.454</f>
        <v>98.36666667</v>
      </c>
      <c r="AK18" s="62"/>
      <c r="AL18" s="63">
        <f>('1'!AK18/24)*0.454</f>
        <v>0</v>
      </c>
      <c r="AM18" s="62"/>
      <c r="AN18" s="63">
        <f>('1'!AM18/24)*0.454</f>
        <v>0</v>
      </c>
      <c r="AO18" s="64"/>
      <c r="AP18" s="63">
        <f>('1'!AO18/24)*0.454</f>
        <v>0</v>
      </c>
    </row>
    <row r="19" ht="18.75" customHeight="1">
      <c r="A19" s="51" t="s">
        <v>52</v>
      </c>
      <c r="B19" s="91">
        <f t="array" ref="B19">IF('1'!B7:B18&gt;0.01,AVERAGE('1'!B7:B18),"")</f>
        <v>110.1666667</v>
      </c>
      <c r="C19" s="92">
        <f t="array" ref="C19">IF('1'!C7:C18&gt;0.01,AVERAGE('1'!C7:C18),"")</f>
        <v>12.08333333</v>
      </c>
      <c r="D19" s="92">
        <f t="array" ref="D19">IF('1'!D7:D18&gt;0.01,AVERAGE('1'!D7:D18),"")</f>
        <v>12</v>
      </c>
      <c r="E19" s="92">
        <f t="array" ref="E19">IF('1'!E7:E18&gt;0.01,AVERAGE('1'!E7:E18),"")</f>
        <v>5.833333333</v>
      </c>
      <c r="F19" s="92">
        <f t="array" ref="F19">IF('1'!F7:F18&gt;0.01,AVERAGE('1'!F7:F18),"")</f>
        <v>7.275</v>
      </c>
      <c r="G19" s="92">
        <f t="array" ref="G19">IF('1'!G7:G18&gt;0.01,AVERAGE('1'!G7:G18),"")</f>
        <v>0.9333333333</v>
      </c>
      <c r="H19" s="92">
        <f t="array" ref="H19">IF('1'!H7:H18&gt;0.01,AVERAGE('1'!H7:H18),"")</f>
        <v>0.9583333333</v>
      </c>
      <c r="I19" s="92">
        <f t="array" ref="I19">IF('1'!I7:I18&gt;0.01,AVERAGE('1'!I7:I18),"")</f>
        <v>0.5</v>
      </c>
      <c r="J19" s="92">
        <f t="array" ref="J19">IF('1'!J7:J18&gt;0.01,AVERAGE('1'!J7:J18),"")</f>
        <v>0.4083333333</v>
      </c>
      <c r="K19" s="92">
        <f t="array" ref="K19">IF('1'!K7:K18&gt;0.01,AVERAGE('1'!K7:K18),"")</f>
        <v>6.916666667</v>
      </c>
      <c r="L19" s="92">
        <f t="array" ref="L19">IF('1'!L7:L18&gt;0.01,AVERAGE('1'!L7:L18),"")</f>
        <v>6.6</v>
      </c>
      <c r="M19" s="92">
        <f t="array" ref="M19">IF('1'!M7:M18&gt;0.01,AVERAGE('1'!M7:M18),"")</f>
        <v>6.55</v>
      </c>
      <c r="N19" s="92">
        <f t="array" ref="N19">IF('1'!N7:N18&gt;0.01,AVERAGE('1'!N7:N18),"")</f>
        <v>6.3</v>
      </c>
      <c r="O19" s="92">
        <f t="array" ref="O19">IF('1'!O7:O18&gt;0.01,AVERAGE('1'!O7:O18),"")</f>
        <v>3.625</v>
      </c>
      <c r="P19" s="93" t="str">
        <f t="array" ref="P19">IF('1'!P7:P18&gt;0.01,AVERAGE('1'!P7:P18),"")</f>
        <v/>
      </c>
      <c r="Q19" s="94" t="str">
        <f t="array" ref="Q19">IF('1'!Q7:Q18&gt;0.01,AVERAGE('1'!Q7:Q18),"")</f>
        <v/>
      </c>
      <c r="R19" s="94" t="str">
        <f t="array" ref="R19">IF('1'!R7:R18&gt;0.01,AVERAGE('1'!R7:R18),"")</f>
        <v/>
      </c>
      <c r="S19" s="94" t="str">
        <f t="array" ref="S19">IF('1'!S7:S18&gt;0.01,AVERAGE('1'!S7:S18),"")</f>
        <v/>
      </c>
      <c r="T19" s="95"/>
      <c r="U19" s="96"/>
      <c r="V19" s="97"/>
      <c r="W19" s="97"/>
      <c r="X19" s="54">
        <v>0.583333333333333</v>
      </c>
      <c r="Y19" s="55">
        <v>3350.0</v>
      </c>
      <c r="Z19" s="55">
        <v>1198.0</v>
      </c>
      <c r="AA19" s="56">
        <v>1.0</v>
      </c>
      <c r="AB19" s="57">
        <f>IF('1'!AA19=1,(('1'!Z19*'1'!$AS$6*'1'!$AT$6)/('1'!Y19*0.0036)),IF('1'!AA19=2,(('1'!Z19*'1'!$AS$7*'1'!$AT$7)/('1'!Y19*0.0036))))</f>
        <v>66.05887231</v>
      </c>
      <c r="AC19" s="58"/>
      <c r="AD19" s="59">
        <f>(('1'!AC19*'1'!$Q$10*1000000))/('1'!Z23*3600)</f>
        <v>0</v>
      </c>
      <c r="AE19" s="60"/>
      <c r="AF19" s="61">
        <f>('1'!AE19/24)*0.454</f>
        <v>0</v>
      </c>
      <c r="AG19" s="60"/>
      <c r="AH19" s="61">
        <f>('1'!AG19/24)*0.454</f>
        <v>0</v>
      </c>
      <c r="AI19" s="60">
        <v>5200.0</v>
      </c>
      <c r="AJ19" s="61">
        <f>('1'!AI19/24)*0.454</f>
        <v>98.36666667</v>
      </c>
      <c r="AK19" s="62"/>
      <c r="AL19" s="63">
        <f>('1'!AK19/24)*0.454</f>
        <v>0</v>
      </c>
      <c r="AM19" s="62"/>
      <c r="AN19" s="63">
        <f>('1'!AM19/24)*0.454</f>
        <v>0</v>
      </c>
      <c r="AO19" s="64"/>
      <c r="AP19" s="63">
        <f>('1'!AO19/24)*0.454</f>
        <v>0</v>
      </c>
    </row>
    <row r="20" ht="18.75" customHeight="1">
      <c r="A20" s="51" t="s">
        <v>53</v>
      </c>
      <c r="B20" s="91">
        <f>MAX('1'!B7:B18)</f>
        <v>115</v>
      </c>
      <c r="C20" s="92">
        <f>MAX('1'!C7:C18)</f>
        <v>13</v>
      </c>
      <c r="D20" s="92">
        <f>MAX('1'!D7:D18)</f>
        <v>14</v>
      </c>
      <c r="E20" s="92">
        <f>MAX('1'!E7:E18)</f>
        <v>6</v>
      </c>
      <c r="F20" s="92">
        <f>MAX('1'!F7:F18)</f>
        <v>7.6</v>
      </c>
      <c r="G20" s="92">
        <f>MAX('1'!G7:G18)</f>
        <v>1</v>
      </c>
      <c r="H20" s="92">
        <f>MAX('1'!H7:H18)</f>
        <v>1.1</v>
      </c>
      <c r="I20" s="92">
        <f>MAX('1'!I7:I18)</f>
        <v>0.5</v>
      </c>
      <c r="J20" s="92">
        <f>MAX('1'!J7:J18)</f>
        <v>0.5</v>
      </c>
      <c r="K20" s="92">
        <f>MAX('1'!K7:K18)</f>
        <v>7</v>
      </c>
      <c r="L20" s="92">
        <f>MAX('1'!L7:L18)</f>
        <v>6.6</v>
      </c>
      <c r="M20" s="92">
        <f>MAX('1'!M7:M18)</f>
        <v>6.6</v>
      </c>
      <c r="N20" s="92">
        <f>MAX('1'!N7:N18)</f>
        <v>6.3</v>
      </c>
      <c r="O20" s="98">
        <f>MAX('1'!O7:O18)</f>
        <v>3.8</v>
      </c>
      <c r="P20" s="98">
        <f>MAX('1'!P7:P18)</f>
        <v>0</v>
      </c>
      <c r="Q20" s="98">
        <f>MAX('1'!Q7:Q18)</f>
        <v>0</v>
      </c>
      <c r="R20" s="98">
        <f>MAX('1'!R7:R18)</f>
        <v>1198</v>
      </c>
      <c r="S20" s="98">
        <f>MAX('1'!S7:S18)</f>
        <v>77.02991453</v>
      </c>
      <c r="T20" s="99"/>
      <c r="U20" s="21"/>
      <c r="X20" s="54">
        <v>0.625</v>
      </c>
      <c r="Y20" s="55">
        <v>3350.0</v>
      </c>
      <c r="Z20" s="55">
        <v>1198.0</v>
      </c>
      <c r="AA20" s="56">
        <v>1.0</v>
      </c>
      <c r="AB20" s="57">
        <f>IF('1'!AA20=1,(('1'!Z20*'1'!$AS$6*'1'!$AT$6)/('1'!Y20*0.0036)),IF('1'!AA20=2,(('1'!Z20*'1'!$AS$7*'1'!$AT$7)/('1'!Y20*0.0036))))</f>
        <v>66.05887231</v>
      </c>
      <c r="AC20" s="58"/>
      <c r="AD20" s="59">
        <f>(('1'!AC20*'1'!$Q$10*1000000))/('1'!Z24*3600)</f>
        <v>0</v>
      </c>
      <c r="AE20" s="60"/>
      <c r="AF20" s="61">
        <f>('1'!AE20/24)*0.454</f>
        <v>0</v>
      </c>
      <c r="AG20" s="60"/>
      <c r="AH20" s="61">
        <f>('1'!AG20/24)*0.454</f>
        <v>0</v>
      </c>
      <c r="AI20" s="60">
        <v>5200.0</v>
      </c>
      <c r="AJ20" s="61">
        <f>('1'!AI20/24)*0.454</f>
        <v>98.36666667</v>
      </c>
      <c r="AK20" s="62"/>
      <c r="AL20" s="63">
        <f>('1'!AK20/24)*0.454</f>
        <v>0</v>
      </c>
      <c r="AM20" s="62"/>
      <c r="AN20" s="63">
        <f>('1'!AM20/24)*0.454</f>
        <v>0</v>
      </c>
      <c r="AO20" s="64"/>
      <c r="AP20" s="63">
        <f>('1'!AO20/24)*0.454</f>
        <v>0</v>
      </c>
    </row>
    <row r="21" ht="19.5" customHeight="1">
      <c r="A21" s="51" t="s">
        <v>54</v>
      </c>
      <c r="B21" s="91">
        <f>MIN('1'!B7:B18)</f>
        <v>107</v>
      </c>
      <c r="C21" s="92">
        <f>MIN('1'!C7:C18)</f>
        <v>12</v>
      </c>
      <c r="D21" s="92">
        <f>MIN('1'!D7:D18)</f>
        <v>11</v>
      </c>
      <c r="E21" s="92">
        <f>MIN('1'!E7:E18)</f>
        <v>5</v>
      </c>
      <c r="F21" s="92">
        <f>MIN('1'!F7:F18)</f>
        <v>6.9</v>
      </c>
      <c r="G21" s="100">
        <f>MIN('1'!G7:G18)</f>
        <v>0.8</v>
      </c>
      <c r="H21" s="100">
        <f>MIN('1'!H7:H18)</f>
        <v>0.9</v>
      </c>
      <c r="I21" s="100">
        <f>MIN('1'!I7:I18)</f>
        <v>0.5</v>
      </c>
      <c r="J21" s="100">
        <f>MIN('1'!J7:J18)</f>
        <v>0.4</v>
      </c>
      <c r="K21" s="100">
        <f>MIN('1'!K7:K18)</f>
        <v>6.9</v>
      </c>
      <c r="L21" s="100">
        <f>MIN('1'!L7:L18)</f>
        <v>6.6</v>
      </c>
      <c r="M21" s="100">
        <f>MIN('1'!M7:M18)</f>
        <v>6</v>
      </c>
      <c r="N21" s="100">
        <f>MIN('1'!N7:N18)</f>
        <v>6.3</v>
      </c>
      <c r="O21" s="101">
        <f>MIN('1'!O7:O18)</f>
        <v>3.5</v>
      </c>
      <c r="P21" s="101">
        <f>MIN('1'!P7:P18)</f>
        <v>0</v>
      </c>
      <c r="Q21" s="101">
        <f>MIN('1'!Q7:Q18)</f>
        <v>0</v>
      </c>
      <c r="R21" s="101">
        <f>MIN('1'!R7:R18)</f>
        <v>1030</v>
      </c>
      <c r="S21" s="101">
        <f>MIN('1'!S7:S18)</f>
        <v>65.72534073</v>
      </c>
      <c r="T21" s="99"/>
      <c r="U21" s="21"/>
      <c r="X21" s="54">
        <v>0.666666666666667</v>
      </c>
      <c r="Y21" s="55">
        <v>3350.0</v>
      </c>
      <c r="Z21" s="55">
        <v>1198.0</v>
      </c>
      <c r="AA21" s="56">
        <v>1.0</v>
      </c>
      <c r="AB21" s="57">
        <f>IF('1'!AA21=1,(('1'!Z21*'1'!$AS$6*'1'!$AT$6)/('1'!Y21*0.0036)),IF('1'!AA21=2,(('1'!Z21*'1'!$AS$7*'1'!$AT$7)/('1'!Y21*0.0036))))</f>
        <v>66.05887231</v>
      </c>
      <c r="AC21" s="58"/>
      <c r="AD21" s="59">
        <f>(('1'!AC21*'1'!$Q$10*1000000))/('1'!Y21*3600)</f>
        <v>0</v>
      </c>
      <c r="AE21" s="60"/>
      <c r="AF21" s="61">
        <f>('1'!AE21/24)*0.454</f>
        <v>0</v>
      </c>
      <c r="AG21" s="60"/>
      <c r="AH21" s="61">
        <f>('1'!AG21/24)*0.454</f>
        <v>0</v>
      </c>
      <c r="AI21" s="60">
        <v>5200.0</v>
      </c>
      <c r="AJ21" s="61">
        <f>('1'!AI21/24)*0.454</f>
        <v>98.36666667</v>
      </c>
      <c r="AK21" s="62"/>
      <c r="AL21" s="63">
        <f>('1'!AK21/24)*0.454</f>
        <v>0</v>
      </c>
      <c r="AM21" s="62"/>
      <c r="AN21" s="63">
        <f>('1'!AM21/24)*0.454</f>
        <v>0</v>
      </c>
      <c r="AO21" s="64"/>
      <c r="AP21" s="63">
        <f>('1'!AO21/24)*0.454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55">
        <v>3350.0</v>
      </c>
      <c r="Z22" s="55">
        <v>1198.0</v>
      </c>
      <c r="AA22" s="56">
        <v>1.0</v>
      </c>
      <c r="AB22" s="58">
        <f>IF('1'!AA22=1,(('1'!Z22*'1'!$AS$6*'1'!$AT$6)/('1'!Y22*0.0036)),IF('1'!AA22=2,(('1'!Z22*'1'!$AS$7*'1'!$AT$7)/('1'!Y22*0.0036))))</f>
        <v>66.05887231</v>
      </c>
      <c r="AC22" s="58"/>
      <c r="AD22" s="59">
        <f>(('1'!AC22*'1'!$Q$10*1000000))/('1'!Y22*3600)</f>
        <v>0</v>
      </c>
      <c r="AE22" s="60"/>
      <c r="AF22" s="61">
        <f>('1'!AE22/24)*0.454</f>
        <v>0</v>
      </c>
      <c r="AG22" s="60"/>
      <c r="AH22" s="61">
        <f>('1'!AG22/24)*0.454</f>
        <v>0</v>
      </c>
      <c r="AI22" s="60">
        <v>5200.0</v>
      </c>
      <c r="AJ22" s="61">
        <f>('1'!AI22/24)*0.454</f>
        <v>98.36666667</v>
      </c>
      <c r="AK22" s="62"/>
      <c r="AL22" s="63">
        <f>('1'!AK22/24)*0.454</f>
        <v>0</v>
      </c>
      <c r="AM22" s="62"/>
      <c r="AN22" s="63">
        <f>('1'!AM22/24)*0.454</f>
        <v>0</v>
      </c>
      <c r="AO22" s="64"/>
      <c r="AP22" s="63">
        <f>('1'!AO22/24)*0.454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55">
        <v>3350.0</v>
      </c>
      <c r="Z23" s="55">
        <v>1198.0</v>
      </c>
      <c r="AA23" s="56">
        <v>1.0</v>
      </c>
      <c r="AB23" s="58">
        <f>IF('1'!AA23=1,(('1'!Z23*'1'!$AS$6*'1'!$AT$6)/('1'!Y23*0.0036)),IF('1'!AA23=2,(('1'!Z23*'1'!$AS$7*'1'!$AT$7)/('1'!Y23*0.0036))))</f>
        <v>66.05887231</v>
      </c>
      <c r="AC23" s="58"/>
      <c r="AD23" s="59">
        <f>(('1'!AC23*'1'!$Q$10*1000000))/('1'!Y23*3600)</f>
        <v>0</v>
      </c>
      <c r="AE23" s="60"/>
      <c r="AF23" s="61">
        <f>('1'!AE23/24)*0.454</f>
        <v>0</v>
      </c>
      <c r="AG23" s="60"/>
      <c r="AH23" s="61">
        <f>('1'!AG23/24)*0.454</f>
        <v>0</v>
      </c>
      <c r="AI23" s="60">
        <v>5200.0</v>
      </c>
      <c r="AJ23" s="61">
        <f>('1'!AI23/24)*0.454</f>
        <v>98.36666667</v>
      </c>
      <c r="AK23" s="62"/>
      <c r="AL23" s="63">
        <f>('1'!AK23/24)*0.454</f>
        <v>0</v>
      </c>
      <c r="AM23" s="62"/>
      <c r="AN23" s="63">
        <f>('1'!AM23/24)*0.454</f>
        <v>0</v>
      </c>
      <c r="AO23" s="64"/>
      <c r="AP23" s="63">
        <f>('1'!AO23/24)*0.454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55">
        <v>3350.0</v>
      </c>
      <c r="Z24" s="55">
        <v>1198.0</v>
      </c>
      <c r="AA24" s="56">
        <v>1.0</v>
      </c>
      <c r="AB24" s="57">
        <f>IF('1'!AA24=1,(('1'!Z24*'1'!$AS$6*'1'!$AT$6)/('1'!Y24*0.0036)),IF('1'!AA24=2,(('1'!Z24*'1'!$AS$7*'1'!$AT$7)/('1'!Y24*0.0036))))</f>
        <v>66.05887231</v>
      </c>
      <c r="AC24" s="58"/>
      <c r="AD24" s="59">
        <f>(('1'!AC24*'1'!$Q$10*1000000))/('1'!Y24*3600)</f>
        <v>0</v>
      </c>
      <c r="AE24" s="60"/>
      <c r="AF24" s="61">
        <f>('1'!AE24/24)*0.454</f>
        <v>0</v>
      </c>
      <c r="AG24" s="60"/>
      <c r="AH24" s="61">
        <f>('1'!AG24/24)*0.454</f>
        <v>0</v>
      </c>
      <c r="AI24" s="60">
        <v>5200.0</v>
      </c>
      <c r="AJ24" s="61">
        <f>('1'!AI24/24)*0.454</f>
        <v>98.36666667</v>
      </c>
      <c r="AK24" s="62"/>
      <c r="AL24" s="110">
        <f>('1'!AK24/24)*0.454</f>
        <v>0</v>
      </c>
      <c r="AM24" s="62"/>
      <c r="AN24" s="110">
        <f>('1'!AM24/24)*0.454</f>
        <v>0</v>
      </c>
      <c r="AO24" s="64"/>
      <c r="AP24" s="110">
        <f>('1'!AO24/24)*0.454</f>
        <v>0</v>
      </c>
    </row>
    <row r="25" ht="19.5" customHeight="1">
      <c r="A25" s="111">
        <v>0.416666666666667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112" t="str">
        <f>#DIV/0!</f>
        <v>#DIV/0!</v>
      </c>
      <c r="S25" s="113"/>
      <c r="T25" s="114" t="s">
        <v>0</v>
      </c>
      <c r="U25" s="115">
        <f>ESCALA!$A$3</f>
        <v>43922</v>
      </c>
      <c r="X25" s="54">
        <v>0.833333333333333</v>
      </c>
      <c r="Y25" s="55">
        <v>3350.0</v>
      </c>
      <c r="Z25" s="55">
        <v>1198.0</v>
      </c>
      <c r="AA25" s="56">
        <v>1.0</v>
      </c>
      <c r="AB25" s="58">
        <f>IF('1'!AA25=1,(('1'!Z25*'1'!$AS$6*'1'!$AT$6)/('1'!Y25*0.0036)),IF('1'!AA25=2,(('1'!Z25*'1'!$AS$7*'1'!$AT$7)/('1'!Y25*0.0036))))</f>
        <v>66.05887231</v>
      </c>
      <c r="AC25" s="58"/>
      <c r="AD25" s="59">
        <f>(('1'!AC25*'1'!$Q$10*1000000))/('1'!Y25*3600)</f>
        <v>0</v>
      </c>
      <c r="AE25" s="60"/>
      <c r="AF25" s="61">
        <f>('1'!AE25/24)*0.454</f>
        <v>0</v>
      </c>
      <c r="AG25" s="60"/>
      <c r="AH25" s="61">
        <f>('1'!AG25/24)*0.454</f>
        <v>0</v>
      </c>
      <c r="AI25" s="60">
        <v>5200.0</v>
      </c>
      <c r="AJ25" s="61">
        <f>('1'!AI25/24)*0.454</f>
        <v>98.36666667</v>
      </c>
      <c r="AK25" s="62"/>
      <c r="AL25" s="63">
        <f>('1'!AK25/24)*0.454</f>
        <v>0</v>
      </c>
      <c r="AM25" s="62"/>
      <c r="AN25" s="63">
        <f>('1'!AM25/24)*0.454</f>
        <v>0</v>
      </c>
      <c r="AO25" s="64"/>
      <c r="AP25" s="63">
        <f>('1'!AO25/24)*0.454</f>
        <v>0</v>
      </c>
    </row>
    <row r="26" ht="19.5" customHeight="1">
      <c r="A26" s="111">
        <v>0.666666666666667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112"/>
      <c r="S26" s="116"/>
      <c r="T26" s="117"/>
      <c r="U26" s="118"/>
      <c r="X26" s="54">
        <v>0.875</v>
      </c>
      <c r="Y26" s="55">
        <v>3350.0</v>
      </c>
      <c r="Z26" s="55">
        <v>1198.0</v>
      </c>
      <c r="AA26" s="56">
        <v>1.0</v>
      </c>
      <c r="AB26" s="58">
        <f>IF('1'!AA26=1,(('1'!Z26*'1'!$AS$6*'1'!$AT$6)/('1'!Y26*0.0036)),IF('1'!AA26=2,(('1'!Z26*'1'!$AS$7*'1'!$AT$7)/('1'!Y26*0.0036))))</f>
        <v>66.05887231</v>
      </c>
      <c r="AC26" s="58"/>
      <c r="AD26" s="59">
        <f>(('1'!AC26*'1'!$Q$10*1000000))/('1'!Y26*3600)</f>
        <v>0</v>
      </c>
      <c r="AE26" s="60"/>
      <c r="AF26" s="61">
        <f>('1'!AE26/24)*0.454</f>
        <v>0</v>
      </c>
      <c r="AG26" s="60"/>
      <c r="AH26" s="61">
        <f>('1'!AG26/24)*0.454</f>
        <v>0</v>
      </c>
      <c r="AI26" s="60">
        <v>5200.0</v>
      </c>
      <c r="AJ26" s="61">
        <f>('1'!AI26/24)*0.454</f>
        <v>98.36666667</v>
      </c>
      <c r="AK26" s="62"/>
      <c r="AL26" s="63">
        <f>('1'!AK26/24)*0.454</f>
        <v>0</v>
      </c>
      <c r="AM26" s="62"/>
      <c r="AN26" s="63">
        <f>('1'!AM26/24)*0.454</f>
        <v>0</v>
      </c>
      <c r="AO26" s="64"/>
      <c r="AP26" s="63">
        <f>('1'!AO26/24)*0.454</f>
        <v>0</v>
      </c>
    </row>
    <row r="27" ht="19.5" customHeight="1">
      <c r="A27" s="119" t="s">
        <v>52</v>
      </c>
      <c r="B27" s="120" t="str">
        <f t="shared" ref="B27:Q27" si="1">#DIV/0!</f>
        <v>#DIV/0!</v>
      </c>
      <c r="C27" s="120" t="str">
        <f t="shared" si="1"/>
        <v>#DIV/0!</v>
      </c>
      <c r="D27" s="120" t="str">
        <f t="shared" si="1"/>
        <v>#DIV/0!</v>
      </c>
      <c r="E27" s="92" t="str">
        <f t="shared" si="1"/>
        <v>#DIV/0!</v>
      </c>
      <c r="F27" s="92" t="str">
        <f t="shared" si="1"/>
        <v>#DIV/0!</v>
      </c>
      <c r="G27" s="92" t="str">
        <f t="shared" si="1"/>
        <v>#DIV/0!</v>
      </c>
      <c r="H27" s="92" t="str">
        <f t="shared" si="1"/>
        <v>#DIV/0!</v>
      </c>
      <c r="I27" s="92" t="str">
        <f t="shared" si="1"/>
        <v>#DIV/0!</v>
      </c>
      <c r="J27" s="92" t="str">
        <f t="shared" si="1"/>
        <v>#DIV/0!</v>
      </c>
      <c r="K27" s="92" t="str">
        <f t="shared" si="1"/>
        <v>#DIV/0!</v>
      </c>
      <c r="L27" s="92" t="str">
        <f t="shared" si="1"/>
        <v>#DIV/0!</v>
      </c>
      <c r="M27" s="92" t="str">
        <f t="shared" si="1"/>
        <v>#DIV/0!</v>
      </c>
      <c r="N27" s="92" t="str">
        <f t="shared" si="1"/>
        <v>#DIV/0!</v>
      </c>
      <c r="O27" s="92" t="str">
        <f t="shared" si="1"/>
        <v>#DIV/0!</v>
      </c>
      <c r="P27" s="92" t="str">
        <f t="shared" si="1"/>
        <v>#DIV/0!</v>
      </c>
      <c r="Q27" s="98" t="str">
        <f t="shared" si="1"/>
        <v>#DIV/0!</v>
      </c>
      <c r="R27" s="121"/>
      <c r="S27" s="122"/>
      <c r="T27" s="123"/>
      <c r="U27" s="124"/>
      <c r="X27" s="54">
        <v>0.916666666666667</v>
      </c>
      <c r="Y27" s="55">
        <v>2470.0</v>
      </c>
      <c r="Z27" s="125">
        <v>1030.0</v>
      </c>
      <c r="AA27" s="56">
        <v>1.0</v>
      </c>
      <c r="AB27" s="58">
        <f>IF('1'!AA27=1,(('1'!Z27*'1'!$AS$6*'1'!$AT$6)/('1'!Y27*0.0036)),IF('1'!AA27=2,(('1'!Z27*'1'!$AS$7*'1'!$AT$7)/('1'!Y27*0.0036))))</f>
        <v>77.02991453</v>
      </c>
      <c r="AC27" s="58"/>
      <c r="AD27" s="59">
        <f>(('1'!AC27*'1'!$Q$10*1000000))/('1'!Y27*3600)</f>
        <v>0</v>
      </c>
      <c r="AE27" s="60"/>
      <c r="AF27" s="61">
        <f>('1'!AE27/24)*0.454</f>
        <v>0</v>
      </c>
      <c r="AG27" s="60"/>
      <c r="AH27" s="61">
        <f>('1'!AG27/24)*0.454</f>
        <v>0</v>
      </c>
      <c r="AI27" s="60">
        <v>5200.0</v>
      </c>
      <c r="AJ27" s="61">
        <f>('1'!AI27/24)*0.454</f>
        <v>98.36666667</v>
      </c>
      <c r="AK27" s="62"/>
      <c r="AL27" s="63">
        <f>('1'!AK27/24)*0.454</f>
        <v>0</v>
      </c>
      <c r="AM27" s="62"/>
      <c r="AN27" s="63">
        <f>('1'!AM27/24)*0.454</f>
        <v>0</v>
      </c>
      <c r="AO27" s="64"/>
      <c r="AP27" s="63">
        <f>('1'!AO27/24)*0.454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55">
        <v>3350.0</v>
      </c>
      <c r="Z28" s="125">
        <v>1198.0</v>
      </c>
      <c r="AA28" s="56">
        <v>1.0</v>
      </c>
      <c r="AB28" s="58">
        <f>IF('1'!AA28=1,(('1'!Z28*'1'!$AS$6*'1'!$AT$6)/('1'!Y28*0.0036)),IF('1'!AA28=2,(('1'!Z28*'1'!$AS$7*'1'!$AT$7)/('1'!Y28*0.0036))))</f>
        <v>66.05887231</v>
      </c>
      <c r="AC28" s="58"/>
      <c r="AD28" s="59">
        <f>(('1'!AC28*'1'!$Q$10*1000000))/('1'!Y28*3600)</f>
        <v>0</v>
      </c>
      <c r="AE28" s="60"/>
      <c r="AF28" s="61">
        <f>('1'!AE28/24)*0.454</f>
        <v>0</v>
      </c>
      <c r="AG28" s="60"/>
      <c r="AH28" s="61">
        <f>('1'!AG28/24)*0.454</f>
        <v>0</v>
      </c>
      <c r="AI28" s="60">
        <v>5200.0</v>
      </c>
      <c r="AJ28" s="61">
        <f>('1'!AI28/24)*0.454</f>
        <v>98.36666667</v>
      </c>
      <c r="AK28" s="62"/>
      <c r="AL28" s="63">
        <f>('1'!AK28/24)*0.454</f>
        <v>0</v>
      </c>
      <c r="AM28" s="62"/>
      <c r="AN28" s="63">
        <f>('1'!AM28/24)*0.454</f>
        <v>0</v>
      </c>
      <c r="AO28" s="64"/>
      <c r="AP28" s="63">
        <f>('1'!AO28/24)*0.454</f>
        <v>0</v>
      </c>
    </row>
    <row r="29" ht="18.75" customHeight="1">
      <c r="A29" s="129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55">
        <v>3350.0</v>
      </c>
      <c r="Z29" s="125">
        <v>1198.0</v>
      </c>
      <c r="AA29" s="56">
        <v>1.0</v>
      </c>
      <c r="AB29" s="58">
        <f>IF('1'!AA29=1,(('1'!Z29*'1'!$AS$6*'1'!$AT$6)/('1'!Y29*0.0036)),IF('1'!AA29=2,(('1'!Z29*'1'!$AS$7*'1'!$AT$7)/('1'!Y29*0.0036))))</f>
        <v>66.05887231</v>
      </c>
      <c r="AC29" s="58"/>
      <c r="AD29" s="59">
        <f>(('1'!AC29*'1'!$Q$10*1000000))/('1'!Y29*3600)</f>
        <v>0</v>
      </c>
      <c r="AE29" s="60"/>
      <c r="AF29" s="61">
        <f>('1'!AE29/24)*0.454</f>
        <v>0</v>
      </c>
      <c r="AG29" s="60"/>
      <c r="AH29" s="61">
        <f>('1'!AG29/24)*0.454</f>
        <v>0</v>
      </c>
      <c r="AI29" s="60">
        <v>5200.0</v>
      </c>
      <c r="AJ29" s="61">
        <f>('1'!AI29/24)*0.454</f>
        <v>98.36666667</v>
      </c>
      <c r="AK29" s="62"/>
      <c r="AL29" s="63">
        <f>('1'!AK29/24)*0.454</f>
        <v>0</v>
      </c>
      <c r="AM29" s="62"/>
      <c r="AN29" s="63">
        <f>('1'!AM29/24)*0.454</f>
        <v>0</v>
      </c>
      <c r="AO29" s="64"/>
      <c r="AP29" s="63">
        <f>('1'!AO29/24)*0.454</f>
        <v>0</v>
      </c>
    </row>
    <row r="30" ht="18.75" customHeight="1">
      <c r="A30" s="43"/>
      <c r="U30" s="27"/>
      <c r="X30" s="130" t="s">
        <v>55</v>
      </c>
      <c r="Y30" s="131">
        <f>SUM('1'!Y6:Y29)*3.6</f>
        <v>286448.4</v>
      </c>
      <c r="Z30" s="132">
        <f>SUM('1'!Z6:Z29)</f>
        <v>28584</v>
      </c>
      <c r="AA30" s="133"/>
      <c r="AB30" s="132"/>
      <c r="AC30" s="133"/>
      <c r="AD30" s="132"/>
      <c r="AE30" s="60"/>
      <c r="AF30" s="61">
        <f>SUM('1'!AF6:AF29)</f>
        <v>0</v>
      </c>
      <c r="AG30" s="60"/>
      <c r="AH30" s="61">
        <f>SUM('1'!AH6:AH29)</f>
        <v>0</v>
      </c>
      <c r="AI30" s="60"/>
      <c r="AJ30" s="61">
        <f>SUM('1'!AJ6:AJ29)</f>
        <v>2383.5</v>
      </c>
      <c r="AK30" s="62"/>
      <c r="AL30" s="63">
        <f>SUM('1'!AL6:AL29)</f>
        <v>0</v>
      </c>
      <c r="AM30" s="62"/>
      <c r="AN30" s="63">
        <f>SUM('1'!AN6:AN29)</f>
        <v>0</v>
      </c>
      <c r="AO30" s="62"/>
      <c r="AP30" s="63">
        <f>SUM('1'!AP6:AP29)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SUMIF('1'!AA6:AA29,"=1",'1'!Z6:Z29)</f>
        <v>28584</v>
      </c>
      <c r="AA32" s="132">
        <f>'1'!Z32*'1'!AS6</f>
        <v>38016.72</v>
      </c>
      <c r="AB32" s="139">
        <f>SUMIF('1'!$AA$6:$AA$29,"=1",'1'!$AB$6:$AB$29)/COUNTIF('1'!$AA$6:$AA$29,"=1")</f>
        <v>66.47601613</v>
      </c>
      <c r="AC32" s="140">
        <f>SUMIF('1'!AA6:AA29,"=1",'1'!AC6:AC29)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SUMIF('1'!AA6:AA29,"=2",'1'!Z6:Z29)</f>
        <v>0</v>
      </c>
      <c r="AA33" s="132">
        <f>'1'!Z33*'1'!AS7</f>
        <v>0</v>
      </c>
      <c r="AB33" s="139" t="str">
        <f>SUMIF('1'!$AA$6:$AA$29,"=2",'1'!$AB$6:$AB$29)/COUNTIF('1'!$AA$6:$AA$29,"=2")</f>
        <v>#DIV/0!</v>
      </c>
      <c r="AC33" s="145">
        <f>SUMIF('1'!AA6:AA29,"=2",'1'!AC6:AC29)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AVERAGE('1'!Y6:Y29)</f>
        <v>3315.375</v>
      </c>
      <c r="Z34" s="56">
        <f>AVERAGE('1'!Z6:Z29)</f>
        <v>1191</v>
      </c>
      <c r="AA34" s="152"/>
      <c r="AB34" s="152"/>
      <c r="AC34" s="153" t="str">
        <f>SUM('1'!AC6:AC29)/COUNTIF('1'!AC6:AC29,"&lt;&gt;0")</f>
        <v>#DIV/0!</v>
      </c>
      <c r="AD34" s="154" t="str">
        <f>SUM('1'!AD6:AD29)/COUNTIF('1'!AD6:AD29,"&lt;&gt;0")</f>
        <v>#DIV/0!</v>
      </c>
      <c r="AE34" s="133"/>
      <c r="AF34" s="153">
        <f>AVERAGE('1'!AF6:AF29)</f>
        <v>0</v>
      </c>
      <c r="AG34" s="153"/>
      <c r="AH34" s="153">
        <f>AVERAGE('1'!AH6:AH29)</f>
        <v>0</v>
      </c>
      <c r="AI34" s="153"/>
      <c r="AJ34" s="155">
        <f>'1'!AJ30/24</f>
        <v>99.3125</v>
      </c>
      <c r="AK34" s="155"/>
      <c r="AL34" s="155">
        <f>AVERAGE('1'!AL6:AL29)</f>
        <v>0</v>
      </c>
      <c r="AM34" s="155"/>
      <c r="AN34" s="153">
        <f>AVERAGE('1'!AN6:AN29)</f>
        <v>0</v>
      </c>
      <c r="AO34" s="155"/>
      <c r="AP34" s="155">
        <f>AVERAGE('1'!AP6:AP29)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128"/>
      <c r="AJ35" s="161" t="s">
        <v>68</v>
      </c>
      <c r="AK35" s="11"/>
      <c r="AL35" s="11"/>
      <c r="AM35" s="12"/>
      <c r="AO35" s="161" t="s">
        <v>69</v>
      </c>
      <c r="AP35" s="11"/>
      <c r="AQ35" s="11"/>
      <c r="AR35" s="12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0">
        <v>60.2</v>
      </c>
      <c r="D37" s="70">
        <v>33.1</v>
      </c>
      <c r="E37" s="70">
        <v>29.1</v>
      </c>
      <c r="F37" s="70">
        <v>1.0</v>
      </c>
      <c r="G37" s="70">
        <v>0.2</v>
      </c>
      <c r="H37" s="70">
        <v>0.1</v>
      </c>
      <c r="I37" s="166">
        <v>0.15</v>
      </c>
      <c r="J37" s="166">
        <v>0.03</v>
      </c>
      <c r="K37" s="166">
        <v>0.03</v>
      </c>
      <c r="L37" s="167">
        <v>0.15</v>
      </c>
      <c r="M37" s="106"/>
      <c r="N37" s="157"/>
      <c r="O37" s="51"/>
      <c r="P37" s="51"/>
      <c r="Q37" s="51"/>
      <c r="R37" s="51"/>
      <c r="S37" s="51"/>
      <c r="T37" s="51"/>
      <c r="U37" s="168" t="str">
        <f>'1'!V12</f>
        <v/>
      </c>
      <c r="X37" s="169" t="s">
        <v>75</v>
      </c>
      <c r="Y37" s="128"/>
      <c r="Z37" s="170">
        <f>COUNTA('1'!Z6:Z29)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70"/>
      <c r="D38" s="70"/>
      <c r="E38" s="70"/>
      <c r="F38" s="70"/>
      <c r="G38" s="70"/>
      <c r="H38" s="70"/>
      <c r="I38" s="70"/>
      <c r="J38" s="70"/>
      <c r="K38" s="70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6" t="s">
        <v>78</v>
      </c>
      <c r="AK38" s="177">
        <f>SUM('1'!AF30+'1'!AH30)</f>
        <v>0</v>
      </c>
      <c r="AL38" s="178" t="s">
        <v>78</v>
      </c>
      <c r="AM38" s="179">
        <f>SUM('1'!AL30+'1'!AN30)</f>
        <v>0</v>
      </c>
      <c r="AN38" s="97"/>
      <c r="AO38" s="176" t="s">
        <v>78</v>
      </c>
      <c r="AP38" s="180">
        <f>'1'!AJ30</f>
        <v>2383.5</v>
      </c>
      <c r="AQ38" s="178" t="s">
        <v>78</v>
      </c>
      <c r="AR38" s="179">
        <f>'1'!AP30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C39" s="171"/>
      <c r="AD39" s="171"/>
      <c r="AE39" s="171"/>
      <c r="AF39" s="189"/>
      <c r="AG39" s="189"/>
      <c r="AH39" s="190"/>
      <c r="AJ39" s="191" t="s">
        <v>86</v>
      </c>
      <c r="AK39" s="192">
        <f>('1'!AK38/'1'!Y30)*1000</f>
        <v>0</v>
      </c>
      <c r="AL39" s="163" t="s">
        <v>86</v>
      </c>
      <c r="AM39" s="193">
        <f>('1'!AM38/'1'!Y30)*1000</f>
        <v>0</v>
      </c>
      <c r="AN39" s="97"/>
      <c r="AO39" s="176" t="s">
        <v>86</v>
      </c>
      <c r="AP39" s="194">
        <f>('1'!AP38/'1'!Y30)*1000</f>
        <v>8.320870356</v>
      </c>
      <c r="AQ39" s="163" t="s">
        <v>86</v>
      </c>
      <c r="AR39" s="193">
        <f>('1'!AR38/'1'!Y30)*1000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08" t="s">
        <v>90</v>
      </c>
      <c r="AK40" s="128"/>
      <c r="AL40" s="209">
        <f>SUM('1'!AK38,'1'!AM38)</f>
        <v>0</v>
      </c>
      <c r="AM40" s="128"/>
      <c r="AO40" s="210" t="s">
        <v>90</v>
      </c>
      <c r="AP40" s="128"/>
      <c r="AQ40" s="211">
        <f>SUM('1'!AP38,'1'!AR38)</f>
        <v>2383.5</v>
      </c>
      <c r="AR40" s="128"/>
    </row>
    <row r="41" ht="16.5" customHeight="1">
      <c r="A41" s="212">
        <f>COUNTA('1'!E7:E18)</f>
        <v>12</v>
      </c>
      <c r="B41" s="213">
        <f>COUNTA('1'!I7:I18)</f>
        <v>12</v>
      </c>
      <c r="C41" s="214">
        <f>COUNTA('1'!J7:J18)</f>
        <v>12</v>
      </c>
      <c r="D41" s="80"/>
      <c r="E41" s="214">
        <f>COUNTIF('1'!E7:E18,"&gt;15")</f>
        <v>0</v>
      </c>
      <c r="F41" s="80"/>
      <c r="G41" s="214">
        <f>COUNTIF('1'!J7:J18,"&gt;1")</f>
        <v>0</v>
      </c>
      <c r="H41" s="80"/>
      <c r="I41" s="215"/>
      <c r="J41" s="214">
        <f>'1'!A41-'1'!E41</f>
        <v>12</v>
      </c>
      <c r="K41" s="80"/>
      <c r="L41" s="214">
        <f>'1'!C41-'1'!G41</f>
        <v>12</v>
      </c>
      <c r="M41" s="80"/>
      <c r="N41" s="215"/>
      <c r="O41" s="216">
        <f>COUNTIF('1'!J7:J18,"&lt;=0,5")</f>
        <v>12</v>
      </c>
      <c r="P41" s="217"/>
      <c r="Q41" s="218"/>
      <c r="R41" s="219"/>
      <c r="S41" s="220">
        <f>COUNTIF('1'!J7:J18,"&lt;=1,0")</f>
        <v>12</v>
      </c>
      <c r="T41" s="221"/>
      <c r="U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08" t="s">
        <v>91</v>
      </c>
      <c r="AK41" s="128"/>
      <c r="AL41" s="223">
        <f>SUM(('1'!AK38+'1'!AM38)/'1'!Y30)*1000</f>
        <v>0</v>
      </c>
      <c r="AM41" s="128"/>
      <c r="AO41" s="210" t="s">
        <v>91</v>
      </c>
      <c r="AP41" s="128"/>
      <c r="AQ41" s="223">
        <f>SUM(('1'!AP38+'1'!AR38)/'1'!Y30)*1000</f>
        <v>8.320870356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SUM('1'!Y45,'1'!AA45,'1'!AC45,'1'!AE45)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COUNTIF('1'!I7:I18,"&lt;=5,0")</f>
        <v>12</v>
      </c>
      <c r="I45" s="127"/>
      <c r="J45" s="128"/>
      <c r="K45" s="215"/>
      <c r="L45" s="208">
        <f>COUNTA('1'!L37)</f>
        <v>1</v>
      </c>
      <c r="M45" s="128"/>
      <c r="O45" s="248"/>
      <c r="P45" s="249"/>
      <c r="Q45" s="250">
        <f>'1'!S41-'1'!O41</f>
        <v>0</v>
      </c>
      <c r="R45" s="251"/>
      <c r="S45" s="252"/>
      <c r="T45" s="253"/>
      <c r="X45" s="133" t="s">
        <v>104</v>
      </c>
      <c r="Y45" s="254">
        <f>'1'!Y44*275.3</f>
        <v>0</v>
      </c>
      <c r="Z45" s="133" t="s">
        <v>104</v>
      </c>
      <c r="AA45" s="254">
        <f>262.4*'1'!AA44</f>
        <v>0</v>
      </c>
      <c r="AB45" s="133" t="s">
        <v>104</v>
      </c>
      <c r="AC45" s="254">
        <f>'1'!AC44*277.7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0" customHeight="1">
      <c r="F46" s="257"/>
      <c r="X46" s="196" t="s">
        <v>105</v>
      </c>
      <c r="Y46" s="258">
        <f>'1'!AS6</f>
        <v>1.33</v>
      </c>
      <c r="Z46" s="196" t="s">
        <v>105</v>
      </c>
      <c r="AA46" s="258">
        <f>'1'!Y46</f>
        <v>1.33</v>
      </c>
      <c r="AB46" s="196" t="s">
        <v>105</v>
      </c>
      <c r="AC46" s="258">
        <f>'1'!Y46</f>
        <v>1.33</v>
      </c>
      <c r="AD46" s="196" t="s">
        <v>105</v>
      </c>
      <c r="AE46" s="259">
        <f>'1'!Y46</f>
        <v>1.33</v>
      </c>
      <c r="AF46" s="260" t="s">
        <v>106</v>
      </c>
      <c r="AG46" s="261">
        <f>SUM('1'!Y47,'1'!AA47,'1'!AC47,'1'!AE47)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'1'!Y45*'1'!Y46</f>
        <v>0</v>
      </c>
      <c r="Z47" s="133" t="s">
        <v>108</v>
      </c>
      <c r="AA47" s="254">
        <f>'1'!AA45*'1'!AA46</f>
        <v>0</v>
      </c>
      <c r="AB47" s="133" t="s">
        <v>108</v>
      </c>
      <c r="AC47" s="254">
        <f>'1'!AC45*'1'!AC46</f>
        <v>0</v>
      </c>
      <c r="AD47" s="133" t="s">
        <v>108</v>
      </c>
      <c r="AE47" s="254">
        <f>'1'!AE45*'1'!AE46</f>
        <v>0</v>
      </c>
      <c r="AF47" s="46"/>
      <c r="AG47" s="46"/>
      <c r="AI47" s="133" t="s">
        <v>104</v>
      </c>
      <c r="AJ47" s="254">
        <f>'1'!AJ46*275.3</f>
        <v>0</v>
      </c>
      <c r="AK47" s="133" t="s">
        <v>104</v>
      </c>
      <c r="AL47" s="254">
        <f>262.4*'1'!AL46</f>
        <v>0</v>
      </c>
      <c r="AM47" s="133" t="s">
        <v>104</v>
      </c>
      <c r="AN47" s="254">
        <f>'1'!AN46*277.7</f>
        <v>0</v>
      </c>
      <c r="AO47" s="43"/>
      <c r="AR47" s="27"/>
    </row>
    <row r="48" ht="15.0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'1'!Y46</f>
        <v>1.33</v>
      </c>
      <c r="AK48" s="265" t="s">
        <v>105</v>
      </c>
      <c r="AL48" s="258">
        <f>'1'!AJ48</f>
        <v>1.33</v>
      </c>
      <c r="AM48" s="265" t="s">
        <v>105</v>
      </c>
      <c r="AN48" s="258">
        <f>'1'!AJ48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'1'!AJ47*'1'!AJ48</f>
        <v>0</v>
      </c>
      <c r="AK49" s="133" t="s">
        <v>108</v>
      </c>
      <c r="AL49" s="254">
        <f>'1'!AL47*'1'!AL48</f>
        <v>0</v>
      </c>
      <c r="AM49" s="133" t="s">
        <v>108</v>
      </c>
      <c r="AN49" s="254">
        <f>'1'!AN47*'1'!AN48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COUNTA('1'!O7:O18)</f>
        <v>12</v>
      </c>
      <c r="P51" s="128"/>
      <c r="R51" s="247">
        <f>COUNTIF('1'!O7:O18,"&gt;=0,5")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A52" s="224"/>
      <c r="B52" s="224"/>
      <c r="C52" s="224"/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SUM('1'!Y53,'1'!AA53,'1'!AC53,'1'!AE53)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A53" s="224"/>
      <c r="B53" s="224"/>
      <c r="C53" s="224"/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'1'!Y52*275.3</f>
        <v>0</v>
      </c>
      <c r="Z53" s="133" t="s">
        <v>104</v>
      </c>
      <c r="AA53" s="254">
        <f>262.4*'1'!AA52</f>
        <v>0</v>
      </c>
      <c r="AB53" s="133" t="s">
        <v>104</v>
      </c>
      <c r="AC53" s="254">
        <f>'1'!AC52*277.7</f>
        <v>0</v>
      </c>
      <c r="AD53" s="133" t="s">
        <v>104</v>
      </c>
      <c r="AE53" s="274"/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'1'!AS7</f>
        <v>1.377</v>
      </c>
      <c r="Z54" s="196" t="s">
        <v>105</v>
      </c>
      <c r="AA54" s="258">
        <f>'1'!Y54</f>
        <v>1.377</v>
      </c>
      <c r="AB54" s="196" t="s">
        <v>105</v>
      </c>
      <c r="AC54" s="258">
        <f>'1'!Y54</f>
        <v>1.377</v>
      </c>
      <c r="AD54" s="196" t="s">
        <v>105</v>
      </c>
      <c r="AE54" s="259">
        <f>'1'!Y54</f>
        <v>1.377</v>
      </c>
      <c r="AF54" s="260" t="s">
        <v>106</v>
      </c>
      <c r="AG54" s="261">
        <f>SUM('1'!Y55,'1'!AA55,'1'!AC55,'1'!AE55)</f>
        <v>0</v>
      </c>
      <c r="AI54" s="133" t="s">
        <v>104</v>
      </c>
      <c r="AJ54" s="254">
        <f>'1'!AJ53*275.3</f>
        <v>0</v>
      </c>
      <c r="AK54" s="133" t="s">
        <v>104</v>
      </c>
      <c r="AL54" s="254">
        <f>262.4*'1'!AL53</f>
        <v>0</v>
      </c>
      <c r="AM54" s="133" t="s">
        <v>104</v>
      </c>
      <c r="AN54" s="276">
        <f>'1'!AN53*277.7</f>
        <v>0</v>
      </c>
      <c r="AO54" s="43"/>
      <c r="AR54" s="27"/>
    </row>
    <row r="55" ht="17.25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'1'!Y53*'1'!Y54</f>
        <v>0</v>
      </c>
      <c r="Z55" s="133" t="s">
        <v>108</v>
      </c>
      <c r="AA55" s="254">
        <f>'1'!AA53*'1'!AA54</f>
        <v>0</v>
      </c>
      <c r="AB55" s="133" t="s">
        <v>108</v>
      </c>
      <c r="AC55" s="254">
        <f>'1'!AC53*'1'!AC54</f>
        <v>0</v>
      </c>
      <c r="AD55" s="133" t="s">
        <v>108</v>
      </c>
      <c r="AE55" s="254">
        <f>'1'!AE53*'1'!AE54</f>
        <v>0</v>
      </c>
      <c r="AF55" s="46"/>
      <c r="AG55" s="46"/>
      <c r="AI55" s="196" t="s">
        <v>105</v>
      </c>
      <c r="AJ55" s="258">
        <f>'1'!Y54</f>
        <v>1.377</v>
      </c>
      <c r="AK55" s="196" t="s">
        <v>105</v>
      </c>
      <c r="AL55" s="258">
        <f>'1'!AJ55</f>
        <v>1.377</v>
      </c>
      <c r="AM55" s="196" t="s">
        <v>105</v>
      </c>
      <c r="AN55" s="258">
        <f>'1'!AJ55</f>
        <v>1.377</v>
      </c>
      <c r="AO55" s="43"/>
      <c r="AR55" s="27"/>
    </row>
    <row r="56" ht="17.25" customHeight="1">
      <c r="O56" s="16"/>
      <c r="P56" s="18"/>
      <c r="R56" s="16"/>
      <c r="S56" s="17"/>
      <c r="T56" s="18"/>
      <c r="AI56" s="133" t="s">
        <v>108</v>
      </c>
      <c r="AJ56" s="254">
        <f>'1'!AJ54*'1'!AJ55</f>
        <v>0</v>
      </c>
      <c r="AK56" s="133" t="s">
        <v>108</v>
      </c>
      <c r="AL56" s="254">
        <f>'1'!AL54*'1'!AL55</f>
        <v>0</v>
      </c>
      <c r="AM56" s="133" t="s">
        <v>108</v>
      </c>
      <c r="AN56" s="254">
        <f>'1'!AN54*'1'!AN55</f>
        <v>0</v>
      </c>
      <c r="AO56" s="16"/>
      <c r="AP56" s="17"/>
      <c r="AQ56" s="17"/>
      <c r="AR56" s="18"/>
    </row>
    <row r="57" ht="15.75" customHeight="1">
      <c r="A57" s="224"/>
      <c r="B57" s="224"/>
      <c r="C57" s="224"/>
      <c r="O57" s="169">
        <f>COUNTA('1'!N7:N18)</f>
        <v>12</v>
      </c>
      <c r="P57" s="128"/>
      <c r="R57" s="277">
        <f>COUNTIF('1'!N7:N18,"&gt;=6")</f>
        <v>12</v>
      </c>
      <c r="S57" s="127"/>
      <c r="T57" s="128"/>
      <c r="AE57" s="97"/>
    </row>
    <row r="58" ht="15.75" customHeight="1">
      <c r="A58" s="224"/>
      <c r="B58" s="224"/>
      <c r="C58" s="224"/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A60" s="224"/>
      <c r="B60" s="224"/>
      <c r="C60" s="224"/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A61" s="224"/>
      <c r="B61" s="224"/>
      <c r="C61" s="224"/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AA32</f>
        <v>38016.72</v>
      </c>
      <c r="AM61" s="80"/>
      <c r="AN61" s="286" t="s">
        <v>121</v>
      </c>
      <c r="AO61" s="79"/>
      <c r="AP61" s="80"/>
      <c r="AQ61" s="287">
        <f>'1'!AJ49+'1'!AL49+'1'!AN49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AJ49+AN49</f>
        <v>0</v>
      </c>
      <c r="AM62" s="80"/>
      <c r="AN62" s="286" t="s">
        <v>123</v>
      </c>
      <c r="AO62" s="79"/>
      <c r="AP62" s="80"/>
      <c r="AQ62" s="293">
        <f>'1'!AA32</f>
        <v>38016.72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92">
        <f>'1'!AL61-'1'!AL62</f>
        <v>38016.72</v>
      </c>
      <c r="AM63" s="80"/>
      <c r="AN63" s="286" t="s">
        <v>125</v>
      </c>
      <c r="AO63" s="79"/>
      <c r="AP63" s="80"/>
      <c r="AQ63" s="287">
        <f>'1'!AQ61-'1'!AQ62</f>
        <v>-38016.72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A65" s="224"/>
      <c r="B65" s="224"/>
      <c r="C65" s="224"/>
      <c r="X65" s="297" t="s">
        <v>126</v>
      </c>
      <c r="Y65" s="298"/>
      <c r="Z65" s="43"/>
      <c r="AA65" s="27"/>
      <c r="AB65" s="299" t="s">
        <v>126</v>
      </c>
      <c r="AC65" s="254">
        <v>0.0</v>
      </c>
    </row>
    <row r="66" ht="15.0" customHeight="1">
      <c r="A66" s="224"/>
      <c r="B66" s="224"/>
      <c r="C66" s="224"/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>
        <f>SUM('1'!AK38,'1'!AP38)</f>
        <v>2383.5</v>
      </c>
      <c r="Z67" s="43"/>
      <c r="AA67" s="27"/>
      <c r="AB67" s="296" t="s">
        <v>124</v>
      </c>
      <c r="AC67" s="254">
        <f>SUM('1'!AM38,'1'!AR38)</f>
        <v>0</v>
      </c>
    </row>
    <row r="68" ht="15.75" customHeight="1">
      <c r="X68" s="294" t="s">
        <v>128</v>
      </c>
      <c r="Y68" s="301">
        <f>SUM('1'!Y63,'1'!Y65)-'1'!Y67</f>
        <v>-2383.5</v>
      </c>
      <c r="Z68" s="16"/>
      <c r="AA68" s="18"/>
      <c r="AB68" s="296" t="s">
        <v>128</v>
      </c>
      <c r="AC68" s="302">
        <f>SUM('1'!AC63,'1'!AC65)-'1'!AC67</f>
        <v>0</v>
      </c>
    </row>
    <row r="69" ht="13.5" customHeight="1"/>
    <row r="70" ht="13.5" customHeight="1">
      <c r="Z70" s="303" t="s">
        <v>129</v>
      </c>
      <c r="AA70" s="304">
        <f>'1'!Y68+'1'!AC68</f>
        <v>-2383.5</v>
      </c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0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X35:Y35"/>
    <mergeCell ref="AA35:AB35"/>
    <mergeCell ref="AJ35:AM36"/>
    <mergeCell ref="AO35:AR36"/>
    <mergeCell ref="AJ37:AK37"/>
    <mergeCell ref="AL37:AM37"/>
    <mergeCell ref="AO37:AP37"/>
    <mergeCell ref="AQ37:AR3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L36:N36"/>
    <mergeCell ref="L37:N37"/>
    <mergeCell ref="X37:Y37"/>
    <mergeCell ref="L38:N38"/>
    <mergeCell ref="C40:D40"/>
    <mergeCell ref="E40:F40"/>
    <mergeCell ref="G40:H40"/>
    <mergeCell ref="J40:K40"/>
    <mergeCell ref="X40:AG40"/>
    <mergeCell ref="AJ40:AK40"/>
    <mergeCell ref="AL40:AM40"/>
    <mergeCell ref="AO40:AP40"/>
    <mergeCell ref="AQ40:AR40"/>
    <mergeCell ref="E41:F41"/>
    <mergeCell ref="G41:H41"/>
    <mergeCell ref="J41:K41"/>
    <mergeCell ref="L41:M41"/>
    <mergeCell ref="X41:AG41"/>
    <mergeCell ref="AJ41:AK41"/>
    <mergeCell ref="AL41:AM41"/>
    <mergeCell ref="AO41:AP41"/>
    <mergeCell ref="AQ41:AR41"/>
    <mergeCell ref="X42:AG42"/>
    <mergeCell ref="O55:P56"/>
    <mergeCell ref="R55:T56"/>
    <mergeCell ref="O57:P57"/>
    <mergeCell ref="R57:T57"/>
    <mergeCell ref="Q45:S45"/>
    <mergeCell ref="O47:T48"/>
    <mergeCell ref="O49:P50"/>
    <mergeCell ref="R49:T50"/>
    <mergeCell ref="O51:P51"/>
    <mergeCell ref="R51:T51"/>
    <mergeCell ref="O53:T54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C39:D39"/>
    <mergeCell ref="C41:D41"/>
    <mergeCell ref="H43:J44"/>
    <mergeCell ref="L43:M44"/>
    <mergeCell ref="H45:J45"/>
    <mergeCell ref="L45:M45"/>
    <mergeCell ref="A39:B39"/>
    <mergeCell ref="E39:H39"/>
    <mergeCell ref="J39:M39"/>
    <mergeCell ref="O39:Q40"/>
    <mergeCell ref="R39:R41"/>
    <mergeCell ref="L40:M40"/>
    <mergeCell ref="O41:Q41"/>
    <mergeCell ref="AM45:AN45"/>
    <mergeCell ref="AO45:AR49"/>
    <mergeCell ref="AI51:AR51"/>
    <mergeCell ref="AO52:AR56"/>
    <mergeCell ref="AD43:AE43"/>
    <mergeCell ref="AD44:AE44"/>
    <mergeCell ref="AF44:AF45"/>
    <mergeCell ref="AG44:AG45"/>
    <mergeCell ref="AI44:AR44"/>
    <mergeCell ref="AI45:AJ45"/>
    <mergeCell ref="AK45:AL45"/>
    <mergeCell ref="S39:T40"/>
    <mergeCell ref="S41:T41"/>
    <mergeCell ref="O42:T42"/>
    <mergeCell ref="Q43:S44"/>
    <mergeCell ref="X43:Y43"/>
    <mergeCell ref="Z43:AA43"/>
    <mergeCell ref="AB43:AC43"/>
    <mergeCell ref="AD52:AE52"/>
    <mergeCell ref="AF52:AF53"/>
    <mergeCell ref="AG52:AG53"/>
    <mergeCell ref="AI52:AJ52"/>
    <mergeCell ref="AK52:AL52"/>
    <mergeCell ref="AM52:AN52"/>
    <mergeCell ref="AF54:AF55"/>
    <mergeCell ref="AG54:AG55"/>
    <mergeCell ref="AF46:AF47"/>
    <mergeCell ref="AG46:AG47"/>
    <mergeCell ref="X50:AG50"/>
    <mergeCell ref="X51:Y51"/>
    <mergeCell ref="Z51:AA51"/>
    <mergeCell ref="AB51:AC51"/>
    <mergeCell ref="AD51:AE51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8.57"/>
    <col customWidth="1" min="19" max="19" width="6.14"/>
    <col customWidth="1" min="20" max="20" width="8.57"/>
    <col customWidth="1" min="21" max="21" width="8.71"/>
    <col customWidth="1" min="22" max="24" width="8.57"/>
    <col customWidth="1" min="25" max="25" width="6.14"/>
    <col customWidth="1" min="26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05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3350.0</v>
      </c>
      <c r="Z6" s="308">
        <v>1196.0</v>
      </c>
      <c r="AA6" s="56">
        <v>6069.0</v>
      </c>
      <c r="AB6" s="58" t="b">
        <f>IF('2'!AA6=1,(('2'!Z6*'2'!$AS$6*'2'!$AT$6)/('2'!Y6*0.0036)),IF('2'!AA6=2,(('2'!Z6*'2'!$AS$7*'2'!$AT$7)/('2'!Y6*0.0036))))</f>
        <v>0</v>
      </c>
      <c r="AC6" s="58"/>
      <c r="AD6" s="59">
        <f>(('2'!AC6*'2'!$Q$10*1000000))/('2'!Y6*3600)</f>
        <v>0</v>
      </c>
      <c r="AE6" s="60"/>
      <c r="AF6" s="61">
        <f>('2'!AE6/24)*0.454</f>
        <v>0</v>
      </c>
      <c r="AG6" s="60"/>
      <c r="AH6" s="61">
        <f>('2'!AG6/24)*0.454</f>
        <v>0</v>
      </c>
      <c r="AI6" s="60">
        <v>5200.0</v>
      </c>
      <c r="AJ6" s="61">
        <f>('2'!AI6/24)*0.454</f>
        <v>98.36666667</v>
      </c>
      <c r="AK6" s="62"/>
      <c r="AL6" s="63">
        <f>('2'!AK6/24)*0.454</f>
        <v>0</v>
      </c>
      <c r="AM6" s="62"/>
      <c r="AN6" s="63">
        <f>('2'!AM6/24)*0.454</f>
        <v>0</v>
      </c>
      <c r="AO6" s="62"/>
      <c r="AP6" s="63">
        <f>('2'!AO6/24)*0.454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125.0</v>
      </c>
      <c r="C7" s="76">
        <v>12.0</v>
      </c>
      <c r="D7" s="76">
        <v>12.0</v>
      </c>
      <c r="E7" s="76">
        <v>5.0</v>
      </c>
      <c r="F7" s="76">
        <v>11.0</v>
      </c>
      <c r="G7" s="76">
        <v>1.1</v>
      </c>
      <c r="H7" s="76">
        <v>1.0</v>
      </c>
      <c r="I7" s="76">
        <v>0.4</v>
      </c>
      <c r="J7" s="76">
        <v>0.4</v>
      </c>
      <c r="K7" s="76">
        <v>7.0</v>
      </c>
      <c r="L7" s="76">
        <v>6.6</v>
      </c>
      <c r="M7" s="76">
        <v>6.6</v>
      </c>
      <c r="N7" s="76">
        <v>6.3</v>
      </c>
      <c r="O7" s="76">
        <v>3.6</v>
      </c>
      <c r="P7" s="76"/>
      <c r="Q7" s="76"/>
      <c r="R7" s="77">
        <f>'1'!$Z$29</f>
        <v>1198</v>
      </c>
      <c r="S7" s="309">
        <f>'1'!$AB$29</f>
        <v>66.05887231</v>
      </c>
      <c r="T7" s="77">
        <f>'1'!$Y$29</f>
        <v>3350</v>
      </c>
      <c r="U7" s="73" t="str">
        <f>IF('2'!AA6=1,'2'!AR6,'2'!AR7)</f>
        <v>PAC 18</v>
      </c>
      <c r="V7" s="74" t="str">
        <f>ESCALA!$B$3</f>
        <v/>
      </c>
      <c r="W7" s="12"/>
      <c r="X7" s="54">
        <v>2653.08333333333</v>
      </c>
      <c r="Y7" s="125">
        <v>3350.0</v>
      </c>
      <c r="Z7" s="308">
        <v>1196.0</v>
      </c>
      <c r="AA7" s="56">
        <v>210.0</v>
      </c>
      <c r="AB7" s="58" t="b">
        <f>IF('2'!AA7=1,(('2'!Z7*'2'!$AS$6*'2'!$AT$6)/('2'!Y7*0.0036)),IF('2'!AA7=2,(('2'!Z7*'2'!$AS$7*'2'!$AT$7)/('2'!Y7*0.0036))))</f>
        <v>0</v>
      </c>
      <c r="AC7" s="58"/>
      <c r="AD7" s="59">
        <f>(('2'!AC7*'2'!$Q$10*1000000))/('2'!Y7*3600)</f>
        <v>0</v>
      </c>
      <c r="AE7" s="60"/>
      <c r="AF7" s="61">
        <f>('2'!AE7/24)*0.454</f>
        <v>0</v>
      </c>
      <c r="AG7" s="60"/>
      <c r="AH7" s="61">
        <f>('2'!AG7/24)*0.454</f>
        <v>0</v>
      </c>
      <c r="AI7" s="60">
        <v>5200.0</v>
      </c>
      <c r="AJ7" s="61">
        <f>('2'!AI7/24)*0.454</f>
        <v>98.36666667</v>
      </c>
      <c r="AK7" s="62"/>
      <c r="AL7" s="63">
        <f>('2'!AK7/24)*0.454</f>
        <v>0</v>
      </c>
      <c r="AM7" s="62"/>
      <c r="AN7" s="63">
        <f>('2'!AM7/24)*0.454</f>
        <v>0</v>
      </c>
      <c r="AO7" s="62"/>
      <c r="AP7" s="63">
        <f>('2'!AO7/24)*0.454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142.0</v>
      </c>
      <c r="C8" s="76">
        <v>12.0</v>
      </c>
      <c r="D8" s="76">
        <v>12.0</v>
      </c>
      <c r="E8" s="76">
        <v>5.0</v>
      </c>
      <c r="F8" s="76">
        <v>28.0</v>
      </c>
      <c r="G8" s="76">
        <v>1.1</v>
      </c>
      <c r="H8" s="76">
        <v>1.0</v>
      </c>
      <c r="I8" s="76">
        <v>0.4</v>
      </c>
      <c r="J8" s="76">
        <v>0.4</v>
      </c>
      <c r="K8" s="76">
        <v>7.0</v>
      </c>
      <c r="L8" s="76">
        <v>6.6</v>
      </c>
      <c r="M8" s="76">
        <v>6.6</v>
      </c>
      <c r="N8" s="76">
        <v>6.3</v>
      </c>
      <c r="O8" s="76">
        <v>3.6</v>
      </c>
      <c r="P8" s="76"/>
      <c r="Q8" s="76"/>
      <c r="R8" s="75">
        <f>'2'!Z7</f>
        <v>1196</v>
      </c>
      <c r="S8" s="76" t="b">
        <f>'2'!AB7</f>
        <v>0</v>
      </c>
      <c r="T8" s="77">
        <f>'2'!Y7</f>
        <v>3350</v>
      </c>
      <c r="U8" s="73" t="str">
        <f>IF('2'!AA7=1,'2'!AR6,'2'!AR7)</f>
        <v>PAC 18</v>
      </c>
      <c r="V8" s="43"/>
      <c r="W8" s="27"/>
      <c r="X8" s="54">
        <v>2645.125</v>
      </c>
      <c r="Y8" s="125">
        <v>3350.0</v>
      </c>
      <c r="Z8" s="308">
        <v>1196.0</v>
      </c>
      <c r="AA8" s="56">
        <v>1.0</v>
      </c>
      <c r="AB8" s="58">
        <f>IF('2'!AA8=1,(('2'!Z8*'2'!$AS$6*'2'!$AT$6)/('2'!Y8*0.0036)),IF('2'!AA8=2,(('2'!Z8*'2'!$AS$7*'2'!$AT$7)/('2'!Y8*0.0036))))</f>
        <v>65.94859038</v>
      </c>
      <c r="AC8" s="58"/>
      <c r="AD8" s="59">
        <f>(('2'!AC8*'2'!$Q$10*1000000))/('2'!Y8*3600)</f>
        <v>0</v>
      </c>
      <c r="AE8" s="60"/>
      <c r="AF8" s="61">
        <f>('2'!AE8/24)*0.454</f>
        <v>0</v>
      </c>
      <c r="AG8" s="60"/>
      <c r="AH8" s="61">
        <f>('2'!AG8/24)*0.454</f>
        <v>0</v>
      </c>
      <c r="AI8" s="60">
        <v>5200.0</v>
      </c>
      <c r="AJ8" s="61">
        <f>('2'!AI8/24)*0.454</f>
        <v>98.36666667</v>
      </c>
      <c r="AK8" s="62"/>
      <c r="AL8" s="63">
        <f>('2'!AK8/24)*0.454</f>
        <v>0</v>
      </c>
      <c r="AM8" s="62"/>
      <c r="AN8" s="63">
        <f>('2'!AM8/24)*0.454</f>
        <v>0</v>
      </c>
      <c r="AO8" s="62"/>
      <c r="AP8" s="63">
        <f>('2'!AO8/24)*0.454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194.0</v>
      </c>
      <c r="C9" s="76">
        <v>12.0</v>
      </c>
      <c r="D9" s="76">
        <v>12.0</v>
      </c>
      <c r="E9" s="76">
        <v>5.0</v>
      </c>
      <c r="F9" s="76">
        <v>62.0</v>
      </c>
      <c r="G9" s="76">
        <v>1.2</v>
      </c>
      <c r="H9" s="76">
        <v>1.0</v>
      </c>
      <c r="I9" s="76">
        <v>0.4</v>
      </c>
      <c r="J9" s="76">
        <v>0.4</v>
      </c>
      <c r="K9" s="76">
        <v>7.0</v>
      </c>
      <c r="L9" s="76">
        <v>6.6</v>
      </c>
      <c r="M9" s="76">
        <v>6.6</v>
      </c>
      <c r="N9" s="76">
        <v>6.3</v>
      </c>
      <c r="O9" s="76">
        <v>3.6</v>
      </c>
      <c r="P9" s="76"/>
      <c r="Q9" s="76"/>
      <c r="R9" s="77">
        <f>'2'!Z9</f>
        <v>1196</v>
      </c>
      <c r="S9" s="76">
        <f>'2'!AB9</f>
        <v>65.94859038</v>
      </c>
      <c r="T9" s="77">
        <f>'2'!Y9</f>
        <v>3350</v>
      </c>
      <c r="U9" s="73" t="str">
        <f>IF('2'!AA9=1,'2'!AR6,'2'!AR7)</f>
        <v>S.A.L</v>
      </c>
      <c r="V9" s="43"/>
      <c r="W9" s="27"/>
      <c r="X9" s="54">
        <v>0.166666666666667</v>
      </c>
      <c r="Y9" s="125">
        <v>3350.0</v>
      </c>
      <c r="Z9" s="308">
        <v>1196.0</v>
      </c>
      <c r="AA9" s="56">
        <v>1.0</v>
      </c>
      <c r="AB9" s="58">
        <f>IF('2'!AA9=1,(('2'!Z9*'2'!$AS$6*'2'!$AT$6)/('2'!Y9*0.0036)),IF('2'!AA9=2,(('2'!Z9*'2'!$AS$7*'2'!$AT$7)/('2'!Y9*0.0036))))</f>
        <v>65.94859038</v>
      </c>
      <c r="AC9" s="58"/>
      <c r="AD9" s="59">
        <f>(('2'!AC9*'2'!$Q$10*1000000))/('2'!Y9*3600)</f>
        <v>0</v>
      </c>
      <c r="AE9" s="60"/>
      <c r="AF9" s="61">
        <f>('2'!AE9/24)*0.454</f>
        <v>0</v>
      </c>
      <c r="AG9" s="60"/>
      <c r="AH9" s="61">
        <f>('2'!AG9/24)*0.454</f>
        <v>0</v>
      </c>
      <c r="AI9" s="60">
        <v>5200.0</v>
      </c>
      <c r="AJ9" s="61">
        <f>('2'!AI9/24)*0.454</f>
        <v>98.36666667</v>
      </c>
      <c r="AK9" s="62"/>
      <c r="AL9" s="63">
        <f>('2'!AK9/24)*0.454</f>
        <v>0</v>
      </c>
      <c r="AM9" s="62"/>
      <c r="AN9" s="63">
        <f>('2'!AM9/24)*0.454</f>
        <v>0</v>
      </c>
      <c r="AO9" s="62"/>
      <c r="AP9" s="63">
        <f>('2'!AO9/24)*0.454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210.0</v>
      </c>
      <c r="C10" s="76">
        <v>12.0</v>
      </c>
      <c r="D10" s="76">
        <v>12.0</v>
      </c>
      <c r="E10" s="76">
        <v>5.0</v>
      </c>
      <c r="F10" s="76">
        <v>75.0</v>
      </c>
      <c r="G10" s="76">
        <v>1.2</v>
      </c>
      <c r="H10" s="76">
        <v>1.0</v>
      </c>
      <c r="I10" s="76">
        <v>0.4</v>
      </c>
      <c r="J10" s="76">
        <v>0.4</v>
      </c>
      <c r="K10" s="76">
        <v>7.0</v>
      </c>
      <c r="L10" s="76">
        <v>6.6</v>
      </c>
      <c r="M10" s="76">
        <v>6.6</v>
      </c>
      <c r="N10" s="76">
        <v>6.3</v>
      </c>
      <c r="O10" s="76">
        <v>3.6</v>
      </c>
      <c r="P10" s="76"/>
      <c r="Q10" s="76"/>
      <c r="R10" s="77">
        <f>'2'!Z11</f>
        <v>1196</v>
      </c>
      <c r="S10" s="76">
        <f>'2'!AB11</f>
        <v>65.94859038</v>
      </c>
      <c r="T10" s="77">
        <f>'2'!Y11</f>
        <v>3350</v>
      </c>
      <c r="U10" s="83" t="str">
        <f>IF('2'!AA11=1,'2'!AR6,'2'!AR7)</f>
        <v>S.A.L</v>
      </c>
      <c r="V10" s="43"/>
      <c r="W10" s="27"/>
      <c r="X10" s="54">
        <v>0.208333333333333</v>
      </c>
      <c r="Y10" s="125">
        <v>3350.0</v>
      </c>
      <c r="Z10" s="308">
        <v>1196.0</v>
      </c>
      <c r="AA10" s="56">
        <v>1.0</v>
      </c>
      <c r="AB10" s="58">
        <f>IF('2'!AA10=1,(('2'!Z10*'2'!$AS$6*'2'!$AT$6)/('2'!Y10*0.0036)),IF('2'!AA10=2,(('2'!Z10*'2'!$AS$7*'2'!$AT$7)/('2'!Y10*0.0036))))</f>
        <v>65.94859038</v>
      </c>
      <c r="AC10" s="58"/>
      <c r="AD10" s="59">
        <f>(('2'!AC10*'2'!$Q$10*1000000))/('2'!Y10*3600)</f>
        <v>0</v>
      </c>
      <c r="AE10" s="60"/>
      <c r="AF10" s="61">
        <f>('2'!AE10/24)*0.454</f>
        <v>0</v>
      </c>
      <c r="AG10" s="60"/>
      <c r="AH10" s="61">
        <f>('2'!AG10/24)*0.454</f>
        <v>0</v>
      </c>
      <c r="AI10" s="60">
        <v>5200.0</v>
      </c>
      <c r="AJ10" s="61">
        <f>('2'!AI10/24)*0.454</f>
        <v>98.36666667</v>
      </c>
      <c r="AK10" s="62"/>
      <c r="AL10" s="63">
        <f>('2'!AK10/24)*0.454</f>
        <v>0</v>
      </c>
      <c r="AM10" s="62"/>
      <c r="AN10" s="63">
        <f>('2'!AM10/24)*0.454</f>
        <v>0</v>
      </c>
      <c r="AO10" s="62"/>
      <c r="AP10" s="63">
        <f>('2'!AO10/24)*0.454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209.0</v>
      </c>
      <c r="C11" s="76">
        <v>12.1</v>
      </c>
      <c r="D11" s="76">
        <v>11.3</v>
      </c>
      <c r="E11" s="76">
        <v>3.2</v>
      </c>
      <c r="F11" s="76">
        <v>76.0</v>
      </c>
      <c r="G11" s="76">
        <v>1.8</v>
      </c>
      <c r="H11" s="76">
        <v>1.2</v>
      </c>
      <c r="I11" s="76">
        <v>0.4</v>
      </c>
      <c r="J11" s="76">
        <v>0.4</v>
      </c>
      <c r="K11" s="76">
        <v>7.0</v>
      </c>
      <c r="L11" s="76">
        <v>6.5</v>
      </c>
      <c r="M11" s="76">
        <v>6.5</v>
      </c>
      <c r="N11" s="76">
        <v>6.4</v>
      </c>
      <c r="O11" s="76">
        <v>3.5</v>
      </c>
      <c r="P11" s="76"/>
      <c r="Q11" s="76"/>
      <c r="R11" s="77">
        <f>'2'!Z13</f>
        <v>1200</v>
      </c>
      <c r="S11" s="76">
        <f>'2'!AB13</f>
        <v>65.19607843</v>
      </c>
      <c r="T11" s="77">
        <f>'2'!Y13</f>
        <v>3400</v>
      </c>
      <c r="U11" s="86" t="str">
        <f>IF('2'!AA13=1,'2'!AR6,'2'!AR7)</f>
        <v>S.A.L</v>
      </c>
      <c r="V11" s="16"/>
      <c r="W11" s="18"/>
      <c r="X11" s="54">
        <v>0.25</v>
      </c>
      <c r="Y11" s="125">
        <v>3350.0</v>
      </c>
      <c r="Z11" s="308">
        <v>1196.0</v>
      </c>
      <c r="AA11" s="56">
        <v>1.0</v>
      </c>
      <c r="AB11" s="58">
        <f>IF('2'!AA11=1,(('2'!Z11*'2'!$AS$6*'2'!$AT$6)/('2'!Y11*0.0036)),IF('2'!AA11=2,(('2'!Z11*'2'!$AS$7*'2'!$AT$7)/('2'!Y11*0.0036))))</f>
        <v>65.94859038</v>
      </c>
      <c r="AC11" s="58"/>
      <c r="AD11" s="59">
        <f>(('2'!AC11*'2'!$Q$10*1000000))/('2'!Y11*3600)</f>
        <v>0</v>
      </c>
      <c r="AE11" s="60"/>
      <c r="AF11" s="61">
        <f>('2'!AE11/24)*0.454</f>
        <v>0</v>
      </c>
      <c r="AG11" s="60"/>
      <c r="AH11" s="61">
        <f>('2'!AG11/24)*0.454</f>
        <v>0</v>
      </c>
      <c r="AI11" s="60">
        <v>5200.0</v>
      </c>
      <c r="AJ11" s="61">
        <f>('2'!AI11/24)*0.454</f>
        <v>98.36666667</v>
      </c>
      <c r="AK11" s="62"/>
      <c r="AL11" s="63">
        <f>('2'!AK11/24)*0.454</f>
        <v>0</v>
      </c>
      <c r="AM11" s="62"/>
      <c r="AN11" s="63">
        <f>('2'!AM11/24)*0.454</f>
        <v>0</v>
      </c>
      <c r="AO11" s="62"/>
      <c r="AP11" s="63">
        <f>('2'!AO11/24)*0.454</f>
        <v>0</v>
      </c>
    </row>
    <row r="12" ht="18.75" customHeight="1">
      <c r="A12" s="69">
        <v>0.416666666666667</v>
      </c>
      <c r="B12" s="76">
        <v>198.0</v>
      </c>
      <c r="C12" s="76">
        <v>12.3</v>
      </c>
      <c r="D12" s="76">
        <v>10.9</v>
      </c>
      <c r="E12" s="76">
        <v>2.3</v>
      </c>
      <c r="F12" s="76">
        <v>78.0</v>
      </c>
      <c r="G12" s="76">
        <v>2.4</v>
      </c>
      <c r="H12" s="76">
        <v>1.4</v>
      </c>
      <c r="I12" s="76">
        <v>0.5</v>
      </c>
      <c r="J12" s="76">
        <v>0.5</v>
      </c>
      <c r="K12" s="76">
        <v>7.0</v>
      </c>
      <c r="L12" s="76">
        <v>6.5</v>
      </c>
      <c r="M12" s="76">
        <v>6.5</v>
      </c>
      <c r="N12" s="76">
        <v>6.4</v>
      </c>
      <c r="O12" s="76">
        <v>3.5</v>
      </c>
      <c r="P12" s="76"/>
      <c r="Q12" s="76"/>
      <c r="R12" s="77">
        <f>'2'!Z15</f>
        <v>1200</v>
      </c>
      <c r="S12" s="76">
        <f>'2'!AB15</f>
        <v>65.19607843</v>
      </c>
      <c r="T12" s="77">
        <f>'2'!Y15</f>
        <v>3400</v>
      </c>
      <c r="U12" s="87" t="str">
        <f>IF('2'!AA15=1,'2'!AR6,'2'!AR7)</f>
        <v>S.A.L</v>
      </c>
      <c r="V12" s="88" t="str">
        <f>ESCALA!$B$4</f>
        <v/>
      </c>
      <c r="W12" s="89"/>
      <c r="X12" s="54">
        <v>0.291666666666667</v>
      </c>
      <c r="Y12" s="125">
        <v>3350.0</v>
      </c>
      <c r="Z12" s="308">
        <v>1196.0</v>
      </c>
      <c r="AA12" s="56">
        <v>1.0</v>
      </c>
      <c r="AB12" s="58">
        <f>IF('2'!AA12=1,(('2'!Z12*'2'!$AS$6*'2'!$AT$6)/('2'!Y12*0.0036)),IF('2'!AA12=2,(('2'!Z12*'2'!$AS$7*'2'!$AT$7)/('2'!Y12*0.0036))))</f>
        <v>65.94859038</v>
      </c>
      <c r="AC12" s="58"/>
      <c r="AD12" s="59">
        <f>(('2'!AC12*'2'!$Q$10*1000000))/('2'!Y12*3600)</f>
        <v>0</v>
      </c>
      <c r="AE12" s="60"/>
      <c r="AF12" s="61">
        <f>('2'!AE12/24)*0.454</f>
        <v>0</v>
      </c>
      <c r="AG12" s="60"/>
      <c r="AH12" s="61">
        <f>('2'!AG12/24)*0.454</f>
        <v>0</v>
      </c>
      <c r="AI12" s="60">
        <v>5200.0</v>
      </c>
      <c r="AJ12" s="61">
        <f>('2'!AI12/24)*0.454</f>
        <v>98.36666667</v>
      </c>
      <c r="AK12" s="62"/>
      <c r="AL12" s="63">
        <f>('2'!AK12/24)*0.454</f>
        <v>0</v>
      </c>
      <c r="AM12" s="62"/>
      <c r="AN12" s="63">
        <f>('2'!AM12/24)*0.454</f>
        <v>0</v>
      </c>
      <c r="AO12" s="62"/>
      <c r="AP12" s="63">
        <f>('2'!AO12/24)*0.454</f>
        <v>0</v>
      </c>
    </row>
    <row r="13" ht="18.75" customHeight="1">
      <c r="A13" s="69">
        <v>0.5</v>
      </c>
      <c r="B13" s="76">
        <v>203.0</v>
      </c>
      <c r="C13" s="76">
        <v>12.1</v>
      </c>
      <c r="D13" s="76">
        <v>11.3</v>
      </c>
      <c r="E13" s="76">
        <v>3.6</v>
      </c>
      <c r="F13" s="76">
        <v>79.0</v>
      </c>
      <c r="G13" s="76">
        <v>2.6</v>
      </c>
      <c r="H13" s="76">
        <v>2.2</v>
      </c>
      <c r="I13" s="76">
        <v>0.6</v>
      </c>
      <c r="J13" s="76">
        <v>0.6</v>
      </c>
      <c r="K13" s="76">
        <v>7.0</v>
      </c>
      <c r="L13" s="76">
        <v>6.5</v>
      </c>
      <c r="M13" s="76">
        <v>6.5</v>
      </c>
      <c r="N13" s="76">
        <v>6.2</v>
      </c>
      <c r="O13" s="76">
        <v>3.5</v>
      </c>
      <c r="P13" s="76"/>
      <c r="Q13" s="76"/>
      <c r="R13" s="77">
        <f>'2'!Z17</f>
        <v>1200</v>
      </c>
      <c r="S13" s="76">
        <f>'2'!AB17</f>
        <v>65.19607843</v>
      </c>
      <c r="T13" s="77">
        <f>'2'!Y17</f>
        <v>3400</v>
      </c>
      <c r="U13" s="73" t="str">
        <f>IF('2'!AA17=1,'2'!AR6,'2'!AR7)</f>
        <v>S.A.L</v>
      </c>
      <c r="V13" s="43"/>
      <c r="W13" s="27"/>
      <c r="X13" s="54">
        <v>0.333333333333333</v>
      </c>
      <c r="Y13" s="125">
        <v>3400.0</v>
      </c>
      <c r="Z13" s="308">
        <v>1200.0</v>
      </c>
      <c r="AA13" s="56">
        <v>1.0</v>
      </c>
      <c r="AB13" s="58">
        <f>IF('2'!AA13=1,(('2'!Z13*'2'!$AS$6*'2'!$AT$6)/('2'!Y13*0.0036)),IF('2'!AA13=2,(('2'!Z13*'2'!$AS$7*'2'!$AT$7)/('2'!Y13*0.0036))))</f>
        <v>65.19607843</v>
      </c>
      <c r="AC13" s="58"/>
      <c r="AD13" s="59">
        <f>(('2'!AC13*'2'!$Q$10*1000000))/('2'!Y13*3600)</f>
        <v>0</v>
      </c>
      <c r="AE13" s="60"/>
      <c r="AF13" s="61">
        <f>('2'!AE13/24)*0.454</f>
        <v>0</v>
      </c>
      <c r="AG13" s="60"/>
      <c r="AH13" s="61">
        <f>('2'!AG13/24)*0.454</f>
        <v>0</v>
      </c>
      <c r="AI13" s="60">
        <v>5200.0</v>
      </c>
      <c r="AJ13" s="61">
        <f>('2'!AI13/24)*0.454</f>
        <v>98.36666667</v>
      </c>
      <c r="AK13" s="62"/>
      <c r="AL13" s="63">
        <f>('2'!AK13/24)*0.454</f>
        <v>0</v>
      </c>
      <c r="AM13" s="62"/>
      <c r="AN13" s="63">
        <f>('2'!AM13/24)*0.454</f>
        <v>0</v>
      </c>
      <c r="AO13" s="62"/>
      <c r="AP13" s="63">
        <f>('2'!AO13/24)*0.454</f>
        <v>0</v>
      </c>
    </row>
    <row r="14" ht="18.75" customHeight="1">
      <c r="A14" s="69">
        <v>0.583333333333333</v>
      </c>
      <c r="B14" s="76">
        <v>220.0</v>
      </c>
      <c r="C14" s="76">
        <v>15.3</v>
      </c>
      <c r="D14" s="76">
        <v>14.6</v>
      </c>
      <c r="E14" s="76">
        <v>5.1</v>
      </c>
      <c r="F14" s="76">
        <v>86.0</v>
      </c>
      <c r="G14" s="76">
        <v>4.8</v>
      </c>
      <c r="H14" s="76">
        <v>4.4</v>
      </c>
      <c r="I14" s="76">
        <v>0.6</v>
      </c>
      <c r="J14" s="76">
        <v>0.8</v>
      </c>
      <c r="K14" s="76">
        <v>7.2</v>
      </c>
      <c r="L14" s="76">
        <v>6.5</v>
      </c>
      <c r="M14" s="76">
        <v>6.4</v>
      </c>
      <c r="N14" s="76">
        <v>6.1</v>
      </c>
      <c r="O14" s="76">
        <v>3.5</v>
      </c>
      <c r="P14" s="76"/>
      <c r="Q14" s="76"/>
      <c r="R14" s="77">
        <f>'2'!Z19</f>
        <v>1200</v>
      </c>
      <c r="S14" s="76">
        <f>'2'!AB19</f>
        <v>65.19607843</v>
      </c>
      <c r="T14" s="77">
        <f>'2'!Y19</f>
        <v>3400</v>
      </c>
      <c r="U14" s="73" t="str">
        <f>IF('2'!AA19=1,'2'!AR6,'2'!AR7)</f>
        <v>S.A.L</v>
      </c>
      <c r="V14" s="43"/>
      <c r="W14" s="27"/>
      <c r="X14" s="54">
        <v>0.375</v>
      </c>
      <c r="Y14" s="125">
        <v>3400.0</v>
      </c>
      <c r="Z14" s="308">
        <v>1200.0</v>
      </c>
      <c r="AA14" s="56">
        <v>1.0</v>
      </c>
      <c r="AB14" s="58">
        <f>IF('2'!AA14=1,(('2'!Z14*'2'!$AS$6*'2'!$AT$6)/('2'!Y14*0.0036)),IF('2'!AA14=2,(('2'!Z14*'2'!$AS$7*'2'!$AT$7)/('2'!Y14*0.0036))))</f>
        <v>65.19607843</v>
      </c>
      <c r="AC14" s="58"/>
      <c r="AD14" s="59">
        <f>(('2'!AC14*'2'!$Q$10*1000000))/('2'!Y14*3600)</f>
        <v>0</v>
      </c>
      <c r="AE14" s="60"/>
      <c r="AF14" s="61">
        <f>('2'!AE14/24)*0.454</f>
        <v>0</v>
      </c>
      <c r="AG14" s="60"/>
      <c r="AH14" s="61">
        <f>('2'!AG14/24)*0.454</f>
        <v>0</v>
      </c>
      <c r="AI14" s="60">
        <v>5200.0</v>
      </c>
      <c r="AJ14" s="61">
        <f>('2'!AI14/24)*0.454</f>
        <v>98.36666667</v>
      </c>
      <c r="AK14" s="62"/>
      <c r="AL14" s="63">
        <f>('2'!AK14/24)*0.454</f>
        <v>0</v>
      </c>
      <c r="AM14" s="62"/>
      <c r="AN14" s="63">
        <f>('2'!AM14/24)*0.454</f>
        <v>0</v>
      </c>
      <c r="AO14" s="62"/>
      <c r="AP14" s="63">
        <f>('2'!AO14/24)*0.454</f>
        <v>0</v>
      </c>
    </row>
    <row r="15" ht="18.75" customHeight="1">
      <c r="A15" s="69">
        <v>0.666666666666667</v>
      </c>
      <c r="B15" s="76">
        <v>230.0</v>
      </c>
      <c r="C15" s="76">
        <v>16.3</v>
      </c>
      <c r="D15" s="76">
        <v>15.8</v>
      </c>
      <c r="E15" s="76">
        <v>6.3</v>
      </c>
      <c r="F15" s="76">
        <v>143.0</v>
      </c>
      <c r="G15" s="76">
        <v>5.2</v>
      </c>
      <c r="H15" s="76">
        <v>4.3</v>
      </c>
      <c r="I15" s="76">
        <v>0.7</v>
      </c>
      <c r="J15" s="76">
        <v>1.0</v>
      </c>
      <c r="K15" s="76">
        <v>6.9</v>
      </c>
      <c r="L15" s="76">
        <v>6.4</v>
      </c>
      <c r="M15" s="76">
        <v>6.3</v>
      </c>
      <c r="N15" s="76">
        <v>6.4</v>
      </c>
      <c r="O15" s="76">
        <v>3.6</v>
      </c>
      <c r="P15" s="76"/>
      <c r="Q15" s="76"/>
      <c r="R15" s="77">
        <f>'2'!Z21</f>
        <v>1380</v>
      </c>
      <c r="S15" s="76">
        <f>'2'!AB21</f>
        <v>74.9754902</v>
      </c>
      <c r="T15" s="77">
        <f>'2'!Y21</f>
        <v>3400</v>
      </c>
      <c r="U15" s="73" t="str">
        <f>IF('2'!AA21=1,'2'!AR6,'2'!AR7)</f>
        <v>S.A.L</v>
      </c>
      <c r="V15" s="43"/>
      <c r="W15" s="27"/>
      <c r="X15" s="54">
        <v>0.416666666666667</v>
      </c>
      <c r="Y15" s="125">
        <v>3400.0</v>
      </c>
      <c r="Z15" s="308">
        <v>1200.0</v>
      </c>
      <c r="AA15" s="56">
        <v>1.0</v>
      </c>
      <c r="AB15" s="58">
        <f>IF('2'!AA15=1,(('2'!Z15*'2'!$AS$6*'2'!$AT$6)/('2'!Y15*0.0036)),IF('2'!AA15=2,(('2'!Z15*'2'!$AS$7*'2'!$AT$7)/('2'!Y15*0.0036))))</f>
        <v>65.19607843</v>
      </c>
      <c r="AC15" s="58"/>
      <c r="AD15" s="59">
        <f>(('2'!AC15*'2'!$Q$10*1000000))/('2'!Y15*3600)</f>
        <v>0</v>
      </c>
      <c r="AE15" s="60"/>
      <c r="AF15" s="61">
        <f>('2'!AE15/24)*0.454</f>
        <v>0</v>
      </c>
      <c r="AG15" s="60"/>
      <c r="AH15" s="61">
        <f>('2'!AG15/24)*0.454</f>
        <v>0</v>
      </c>
      <c r="AI15" s="60">
        <v>5200.0</v>
      </c>
      <c r="AJ15" s="61">
        <f>('2'!AI15/24)*0.454</f>
        <v>98.36666667</v>
      </c>
      <c r="AK15" s="62"/>
      <c r="AL15" s="63">
        <f>('2'!AK15/24)*0.454</f>
        <v>0</v>
      </c>
      <c r="AM15" s="62"/>
      <c r="AN15" s="63">
        <f>('2'!AM15/24)*0.454</f>
        <v>0</v>
      </c>
      <c r="AO15" s="62"/>
      <c r="AP15" s="63">
        <f>('2'!AO15/24)*0.454</f>
        <v>0</v>
      </c>
    </row>
    <row r="16" ht="18.75" customHeight="1">
      <c r="A16" s="69">
        <v>0.75</v>
      </c>
      <c r="B16" s="76">
        <v>249.0</v>
      </c>
      <c r="C16" s="76">
        <v>18.0</v>
      </c>
      <c r="D16" s="76">
        <v>17.6</v>
      </c>
      <c r="E16" s="76">
        <v>7.2</v>
      </c>
      <c r="F16" s="76">
        <v>196.0</v>
      </c>
      <c r="G16" s="76">
        <v>5.6</v>
      </c>
      <c r="H16" s="76">
        <v>4.4</v>
      </c>
      <c r="I16" s="76">
        <v>0.8</v>
      </c>
      <c r="J16" s="76">
        <v>1.4</v>
      </c>
      <c r="K16" s="76">
        <v>6.9</v>
      </c>
      <c r="L16" s="76">
        <v>6.4</v>
      </c>
      <c r="M16" s="76">
        <v>6.3</v>
      </c>
      <c r="N16" s="76">
        <v>6.4</v>
      </c>
      <c r="O16" s="76">
        <v>3.6</v>
      </c>
      <c r="P16" s="76"/>
      <c r="Q16" s="76"/>
      <c r="R16" s="77">
        <f>'2'!Z23</f>
        <v>1380</v>
      </c>
      <c r="S16" s="76">
        <f>'2'!AB23</f>
        <v>74.10368217</v>
      </c>
      <c r="T16" s="77">
        <f>'2'!Y23</f>
        <v>3440</v>
      </c>
      <c r="U16" s="73" t="str">
        <f>IF('2'!AA23=1,'2'!AR6,'2'!AR7)</f>
        <v>S.A.L</v>
      </c>
      <c r="V16" s="16"/>
      <c r="W16" s="18"/>
      <c r="X16" s="54">
        <v>0.458333333333333</v>
      </c>
      <c r="Y16" s="125">
        <v>3400.0</v>
      </c>
      <c r="Z16" s="308">
        <v>1200.0</v>
      </c>
      <c r="AA16" s="56">
        <v>1.0</v>
      </c>
      <c r="AB16" s="58">
        <f>IF('2'!AA16=1,(('2'!Z16*'2'!$AS$6*'2'!$AT$6)/('2'!Y16*0.0036)),IF('2'!AA16=2,(('2'!Z16*'2'!$AS$7*'2'!$AT$7)/('2'!Y16*0.0036))))</f>
        <v>65.19607843</v>
      </c>
      <c r="AC16" s="58"/>
      <c r="AD16" s="59">
        <f>(('2'!AC16*'2'!$Q$10*1000000))/('2'!Y16*3600)</f>
        <v>0</v>
      </c>
      <c r="AE16" s="60"/>
      <c r="AF16" s="61">
        <f>('2'!AE16/24)*0.454</f>
        <v>0</v>
      </c>
      <c r="AG16" s="60"/>
      <c r="AH16" s="61">
        <f>('2'!AG16/24)*0.454</f>
        <v>0</v>
      </c>
      <c r="AI16" s="60">
        <v>5200.0</v>
      </c>
      <c r="AJ16" s="61">
        <f>('2'!AI16/24)*0.454</f>
        <v>98.36666667</v>
      </c>
      <c r="AK16" s="62"/>
      <c r="AL16" s="63">
        <f>('2'!AK16/24)*0.454</f>
        <v>0</v>
      </c>
      <c r="AM16" s="62"/>
      <c r="AN16" s="63">
        <f>('2'!AM16/24)*0.454</f>
        <v>0</v>
      </c>
      <c r="AO16" s="62"/>
      <c r="AP16" s="63">
        <f>('2'!AO16/24)*0.454</f>
        <v>0</v>
      </c>
    </row>
    <row r="17" ht="18.75" customHeight="1">
      <c r="A17" s="69">
        <v>0.833333333333333</v>
      </c>
      <c r="B17" s="76">
        <v>275.0</v>
      </c>
      <c r="C17" s="76">
        <v>18.3</v>
      </c>
      <c r="D17" s="76">
        <v>17.8</v>
      </c>
      <c r="E17" s="76">
        <v>8.6</v>
      </c>
      <c r="F17" s="76">
        <v>264.0</v>
      </c>
      <c r="G17" s="76">
        <v>5.7</v>
      </c>
      <c r="H17" s="76">
        <v>4.6</v>
      </c>
      <c r="I17" s="76">
        <v>0.9</v>
      </c>
      <c r="J17" s="76">
        <v>1.3</v>
      </c>
      <c r="K17" s="76">
        <v>6.7</v>
      </c>
      <c r="L17" s="76">
        <v>6.4</v>
      </c>
      <c r="M17" s="76">
        <v>6.3</v>
      </c>
      <c r="N17" s="76">
        <v>6.2</v>
      </c>
      <c r="O17" s="76">
        <v>3.6</v>
      </c>
      <c r="P17" s="76"/>
      <c r="Q17" s="310"/>
      <c r="R17" s="77">
        <f>'2'!Z25</f>
        <v>1380</v>
      </c>
      <c r="S17" s="76">
        <f>'2'!AB25</f>
        <v>74.10368217</v>
      </c>
      <c r="T17" s="77">
        <f>'2'!Y25</f>
        <v>3440</v>
      </c>
      <c r="U17" s="73" t="str">
        <f>IF('2'!AA25=1,'2'!AR6,'2'!AR7)</f>
        <v>S.A.L</v>
      </c>
      <c r="V17" s="90" t="str">
        <f>ESCALA!$C$4</f>
        <v/>
      </c>
      <c r="W17" s="89"/>
      <c r="X17" s="54">
        <v>0.5</v>
      </c>
      <c r="Y17" s="125">
        <v>3400.0</v>
      </c>
      <c r="Z17" s="308">
        <v>1200.0</v>
      </c>
      <c r="AA17" s="56">
        <v>1.0</v>
      </c>
      <c r="AB17" s="58">
        <f>IF('2'!AA17=1,(('2'!Z17*'2'!$AS$6*'2'!$AT$6)/('2'!Y17*0.0036)),IF('2'!AA17=2,(('2'!Z17*'2'!$AS$7*'2'!$AT$7)/('2'!Y17*0.0036))))</f>
        <v>65.19607843</v>
      </c>
      <c r="AC17" s="58"/>
      <c r="AD17" s="59">
        <f>(('2'!AC17*'2'!$Q$10*1000000))/('2'!Y17*3600)</f>
        <v>0</v>
      </c>
      <c r="AE17" s="60"/>
      <c r="AF17" s="61">
        <f>('2'!AE17/24)*0.454</f>
        <v>0</v>
      </c>
      <c r="AG17" s="60"/>
      <c r="AH17" s="61">
        <f>('2'!AG17/24)*0.454</f>
        <v>0</v>
      </c>
      <c r="AI17" s="60">
        <v>5200.0</v>
      </c>
      <c r="AJ17" s="61">
        <f>('2'!AI17/24)*0.454</f>
        <v>98.36666667</v>
      </c>
      <c r="AK17" s="62"/>
      <c r="AL17" s="63">
        <f>('2'!AK17/24)*0.454</f>
        <v>0</v>
      </c>
      <c r="AM17" s="62"/>
      <c r="AN17" s="63">
        <f>('2'!AM17/24)*0.454</f>
        <v>0</v>
      </c>
      <c r="AO17" s="62"/>
      <c r="AP17" s="63">
        <f>('2'!AO17/24)*0.454</f>
        <v>0</v>
      </c>
    </row>
    <row r="18" ht="19.5" customHeight="1">
      <c r="A18" s="69">
        <v>0.916666666666667</v>
      </c>
      <c r="B18" s="76">
        <v>263.0</v>
      </c>
      <c r="C18" s="76">
        <v>17.7</v>
      </c>
      <c r="D18" s="76">
        <v>10.6</v>
      </c>
      <c r="E18" s="76">
        <v>7.6</v>
      </c>
      <c r="F18" s="76">
        <v>242.0</v>
      </c>
      <c r="G18" s="76">
        <v>5.7</v>
      </c>
      <c r="H18" s="76">
        <v>2.2</v>
      </c>
      <c r="I18" s="76">
        <v>0.9</v>
      </c>
      <c r="J18" s="76">
        <v>1.2</v>
      </c>
      <c r="K18" s="76">
        <v>6.7</v>
      </c>
      <c r="L18" s="76">
        <v>6.4</v>
      </c>
      <c r="M18" s="76">
        <v>6.3</v>
      </c>
      <c r="N18" s="76">
        <v>6.2</v>
      </c>
      <c r="O18" s="76">
        <v>3.6</v>
      </c>
      <c r="P18" s="76"/>
      <c r="Q18" s="310"/>
      <c r="R18" s="77">
        <f>'2'!Z27</f>
        <v>1850</v>
      </c>
      <c r="S18" s="76">
        <f>'2'!AB27</f>
        <v>100.5106209</v>
      </c>
      <c r="T18" s="77">
        <f>'2'!Y27</f>
        <v>3400</v>
      </c>
      <c r="U18" s="73" t="str">
        <f>IF('2'!AA27=1,'2'!AR6,'2'!AR7)</f>
        <v>S.A.L</v>
      </c>
      <c r="V18" s="16"/>
      <c r="W18" s="18"/>
      <c r="X18" s="54">
        <v>0.541666666666667</v>
      </c>
      <c r="Y18" s="125">
        <v>3400.0</v>
      </c>
      <c r="Z18" s="308">
        <v>1200.0</v>
      </c>
      <c r="AA18" s="56">
        <v>1.0</v>
      </c>
      <c r="AB18" s="58">
        <f>IF('2'!AA18=1,(('2'!Z18*'2'!$AS$6*'2'!$AT$6)/('2'!Y18*0.0036)),IF('2'!AA18=2,(('2'!Z18*'2'!$AS$7*'2'!$AT$7)/('2'!Y18*0.0036))))</f>
        <v>65.19607843</v>
      </c>
      <c r="AC18" s="58"/>
      <c r="AD18" s="59">
        <f>(('2'!AC18*'2'!$Q$10*1000000))/('2'!Y18*3600)</f>
        <v>0</v>
      </c>
      <c r="AE18" s="60"/>
      <c r="AF18" s="61">
        <f>('2'!AE18/24)*0.454</f>
        <v>0</v>
      </c>
      <c r="AG18" s="60"/>
      <c r="AH18" s="61">
        <f>('2'!AG18/24)*0.454</f>
        <v>0</v>
      </c>
      <c r="AI18" s="60">
        <v>5200.0</v>
      </c>
      <c r="AJ18" s="61">
        <f>('2'!AI18/24)*0.454</f>
        <v>98.36666667</v>
      </c>
      <c r="AK18" s="62"/>
      <c r="AL18" s="63">
        <f>('2'!AK18/24)*0.454</f>
        <v>0</v>
      </c>
      <c r="AM18" s="62"/>
      <c r="AN18" s="63">
        <f>('2'!AM18/24)*0.454</f>
        <v>0</v>
      </c>
      <c r="AO18" s="62"/>
      <c r="AP18" s="63">
        <f>('2'!AO18/24)*0.454</f>
        <v>0</v>
      </c>
    </row>
    <row r="19" ht="18.75" customHeight="1">
      <c r="A19" s="51" t="s">
        <v>52</v>
      </c>
      <c r="B19" s="91">
        <f t="array" ref="B19">IF('2'!B7:B18&gt;0.01,AVERAGE('2'!B7:B18),"")</f>
        <v>209.8333333</v>
      </c>
      <c r="C19" s="92">
        <f t="array" ref="C19">IF('2'!C7:C18&gt;0.01,AVERAGE('2'!C7:C18),"")</f>
        <v>14.175</v>
      </c>
      <c r="D19" s="92">
        <f t="array" ref="D19">IF('2'!D7:D18&gt;0.01,AVERAGE('2'!D7:D18),"")</f>
        <v>13.15833333</v>
      </c>
      <c r="E19" s="92">
        <f t="array" ref="E19">IF('2'!E7:E18&gt;0.01,AVERAGE('2'!E7:E18),"")</f>
        <v>5.325</v>
      </c>
      <c r="F19" s="92">
        <f t="array" ref="F19">IF('2'!F7:F18&gt;0.01,AVERAGE('2'!F7:F18),"")</f>
        <v>111.6666667</v>
      </c>
      <c r="G19" s="92">
        <f t="array" ref="G19">IF('2'!G7:G18&gt;0.01,AVERAGE('2'!G7:G18),"")</f>
        <v>3.2</v>
      </c>
      <c r="H19" s="92">
        <f t="array" ref="H19">IF('2'!H7:H18&gt;0.01,AVERAGE('2'!H7:H18),"")</f>
        <v>2.391666667</v>
      </c>
      <c r="I19" s="92">
        <f t="array" ref="I19">IF('2'!I7:I18&gt;0.01,AVERAGE('2'!I7:I18),"")</f>
        <v>0.5833333333</v>
      </c>
      <c r="J19" s="92">
        <f t="array" ref="J19">IF('2'!J7:J18&gt;0.01,AVERAGE('2'!J7:J18),"")</f>
        <v>0.7333333333</v>
      </c>
      <c r="K19" s="92">
        <f t="array" ref="K19">IF('2'!K7:K18&gt;0.01,AVERAGE('2'!K7:K18),"")</f>
        <v>6.95</v>
      </c>
      <c r="L19" s="92">
        <f t="array" ref="L19">IF('2'!L7:L18&gt;0.01,AVERAGE('2'!L7:L18),"")</f>
        <v>6.5</v>
      </c>
      <c r="M19" s="92">
        <f t="array" ref="M19">IF('2'!M7:M18&gt;0.01,AVERAGE('2'!M7:M18),"")</f>
        <v>6.458333333</v>
      </c>
      <c r="N19" s="92">
        <f t="array" ref="N19">IF('2'!N7:N18&gt;0.01,AVERAGE('2'!N7:N18),"")</f>
        <v>6.291666667</v>
      </c>
      <c r="O19" s="92">
        <f t="array" ref="O19">IF('2'!O7:O18&gt;0.01,AVERAGE('2'!O7:O18),"")</f>
        <v>3.566666667</v>
      </c>
      <c r="P19" s="93" t="str">
        <f t="array" ref="P19">IF('2'!P7:P18&gt;0.01,AVERAGE('2'!P7:P18),"")</f>
        <v/>
      </c>
      <c r="Q19" s="94" t="str">
        <f t="array" ref="Q19">IF('2'!Q7:Q18&gt;0.01,AVERAGE('2'!Q7:Q18),"")</f>
        <v/>
      </c>
      <c r="R19" s="94">
        <f t="array" ref="R19">IF('2'!R7:R18&gt;0.01,AVERAGE('2'!R7:R18),"")</f>
        <v>1298</v>
      </c>
      <c r="S19" s="94">
        <f t="array" ref="S19">IF('2'!S7:S18&gt;0.01,AVERAGE('2'!S7:S18),"")</f>
        <v>71.1303493</v>
      </c>
      <c r="T19" s="95"/>
      <c r="U19" s="96"/>
      <c r="V19" s="97"/>
      <c r="W19" s="97"/>
      <c r="X19" s="54">
        <v>0.583333333333333</v>
      </c>
      <c r="Y19" s="125">
        <v>3400.0</v>
      </c>
      <c r="Z19" s="308">
        <v>1200.0</v>
      </c>
      <c r="AA19" s="56">
        <v>1.0</v>
      </c>
      <c r="AB19" s="58">
        <f>IF('2'!AA19=1,(('2'!Z19*'2'!$AS$6*'2'!$AT$6)/('2'!Y19*0.0036)),IF('2'!AA19=2,(('2'!Z19*'2'!$AS$7*'2'!$AT$7)/('2'!Y19*0.0036))))</f>
        <v>65.19607843</v>
      </c>
      <c r="AC19" s="58"/>
      <c r="AD19" s="59">
        <f>(('2'!AC19*'2'!$Q$10*1000000))/('2'!Y19*3600)</f>
        <v>0</v>
      </c>
      <c r="AE19" s="60"/>
      <c r="AF19" s="61">
        <f>('2'!AE19/24)*0.454</f>
        <v>0</v>
      </c>
      <c r="AG19" s="60"/>
      <c r="AH19" s="61">
        <f>('2'!AG19/24)*0.454</f>
        <v>0</v>
      </c>
      <c r="AI19" s="60">
        <v>5200.0</v>
      </c>
      <c r="AJ19" s="61">
        <f>('2'!AI19/24)*0.454</f>
        <v>98.36666667</v>
      </c>
      <c r="AK19" s="62"/>
      <c r="AL19" s="63">
        <f>('2'!AK19/24)*0.454</f>
        <v>0</v>
      </c>
      <c r="AM19" s="62"/>
      <c r="AN19" s="63">
        <f>('2'!AM19/24)*0.454</f>
        <v>0</v>
      </c>
      <c r="AO19" s="62"/>
      <c r="AP19" s="63">
        <f>('2'!AO19/24)*0.454</f>
        <v>0</v>
      </c>
    </row>
    <row r="20" ht="18.75" customHeight="1">
      <c r="A20" s="51" t="s">
        <v>53</v>
      </c>
      <c r="B20" s="91">
        <f>MAX('2'!B7:B18)</f>
        <v>275</v>
      </c>
      <c r="C20" s="92">
        <f>MAX('2'!C7:C18)</f>
        <v>18.3</v>
      </c>
      <c r="D20" s="92">
        <f>MAX('2'!D7:D18)</f>
        <v>17.8</v>
      </c>
      <c r="E20" s="92">
        <f>MAX('2'!E7:E18)</f>
        <v>8.6</v>
      </c>
      <c r="F20" s="92">
        <f>MAX('2'!F7:F18)</f>
        <v>264</v>
      </c>
      <c r="G20" s="92">
        <f>MAX('2'!G7:G18)</f>
        <v>5.7</v>
      </c>
      <c r="H20" s="92">
        <f>MAX('2'!H7:H18)</f>
        <v>4.6</v>
      </c>
      <c r="I20" s="92">
        <f>MAX('2'!I7:I18)</f>
        <v>0.9</v>
      </c>
      <c r="J20" s="92">
        <f>MAX('2'!J7:J18)</f>
        <v>1.4</v>
      </c>
      <c r="K20" s="92">
        <f>MAX('2'!K7:K18)</f>
        <v>7.2</v>
      </c>
      <c r="L20" s="92">
        <f>MAX('2'!L7:L18)</f>
        <v>6.6</v>
      </c>
      <c r="M20" s="92">
        <f>MAX('2'!M7:M18)</f>
        <v>6.6</v>
      </c>
      <c r="N20" s="92">
        <f>MAX('2'!N7:N18)</f>
        <v>6.4</v>
      </c>
      <c r="O20" s="98">
        <f>MAX('2'!O7:O18)</f>
        <v>3.6</v>
      </c>
      <c r="P20" s="98">
        <f>MAX('2'!P7:P18)</f>
        <v>0</v>
      </c>
      <c r="Q20" s="98">
        <f>MAX('2'!Q7:Q18)</f>
        <v>0</v>
      </c>
      <c r="R20" s="98">
        <f>MAX('2'!R7:R18)</f>
        <v>1850</v>
      </c>
      <c r="S20" s="98">
        <f>MAX('2'!S7:S18)</f>
        <v>100.5106209</v>
      </c>
      <c r="T20" s="99"/>
      <c r="U20" s="21"/>
      <c r="X20" s="54">
        <v>0.625</v>
      </c>
      <c r="Y20" s="125">
        <v>3400.0</v>
      </c>
      <c r="Z20" s="308">
        <v>1350.0</v>
      </c>
      <c r="AA20" s="56">
        <v>1.0</v>
      </c>
      <c r="AB20" s="58">
        <f>IF('2'!AA20=1,(('2'!Z20*'2'!$AS$6*'2'!$AT$6)/('2'!Y20*0.0036)),IF('2'!AA20=2,(('2'!Z20*'2'!$AS$7*'2'!$AT$7)/('2'!Y20*0.0036))))</f>
        <v>73.34558824</v>
      </c>
      <c r="AC20" s="58"/>
      <c r="AD20" s="59">
        <f>(('2'!AC20*'2'!$Q$10*1000000))/('2'!Y20*3600)</f>
        <v>0</v>
      </c>
      <c r="AE20" s="60"/>
      <c r="AF20" s="61">
        <f>('2'!AE20/24)*0.454</f>
        <v>0</v>
      </c>
      <c r="AG20" s="60"/>
      <c r="AH20" s="61">
        <f>('2'!AG20/24)*0.454</f>
        <v>0</v>
      </c>
      <c r="AI20" s="60">
        <v>5200.0</v>
      </c>
      <c r="AJ20" s="61">
        <f>('2'!AI20/24)*0.454</f>
        <v>98.36666667</v>
      </c>
      <c r="AK20" s="62"/>
      <c r="AL20" s="63">
        <f>('2'!AK20/24)*0.454</f>
        <v>0</v>
      </c>
      <c r="AM20" s="62"/>
      <c r="AN20" s="63">
        <f>('2'!AM20/24)*0.454</f>
        <v>0</v>
      </c>
      <c r="AO20" s="62"/>
      <c r="AP20" s="63">
        <f>('2'!AO20/24)*0.454</f>
        <v>0</v>
      </c>
    </row>
    <row r="21" ht="19.5" customHeight="1">
      <c r="A21" s="51" t="s">
        <v>54</v>
      </c>
      <c r="B21" s="91">
        <f>MIN('2'!B7:B18)</f>
        <v>125</v>
      </c>
      <c r="C21" s="92">
        <f>MIN('2'!C7:C18)</f>
        <v>12</v>
      </c>
      <c r="D21" s="92">
        <f>MIN('2'!D7:D18)</f>
        <v>10.6</v>
      </c>
      <c r="E21" s="92">
        <f>MIN('2'!E7:E18)</f>
        <v>2.3</v>
      </c>
      <c r="F21" s="92">
        <f>MIN('2'!F7:F18)</f>
        <v>11</v>
      </c>
      <c r="G21" s="100">
        <f>MIN('2'!G7:G18)</f>
        <v>1.1</v>
      </c>
      <c r="H21" s="100">
        <f>MIN('2'!H7:H18)</f>
        <v>1</v>
      </c>
      <c r="I21" s="100">
        <f>MIN('2'!I7:I18)</f>
        <v>0.4</v>
      </c>
      <c r="J21" s="100">
        <f>MIN('2'!J7:J18)</f>
        <v>0.4</v>
      </c>
      <c r="K21" s="100">
        <f>MIN('2'!K7:K18)</f>
        <v>6.7</v>
      </c>
      <c r="L21" s="100">
        <f>MIN('2'!L7:L18)</f>
        <v>6.4</v>
      </c>
      <c r="M21" s="100">
        <f>MIN('2'!M7:M18)</f>
        <v>6.3</v>
      </c>
      <c r="N21" s="100">
        <f>MIN('2'!N7:N18)</f>
        <v>6.1</v>
      </c>
      <c r="O21" s="101">
        <f>MIN('2'!O7:O18)</f>
        <v>3.5</v>
      </c>
      <c r="P21" s="101">
        <f>MIN('2'!P7:P18)</f>
        <v>0</v>
      </c>
      <c r="Q21" s="101">
        <f>MIN('2'!Q7:Q18)</f>
        <v>0</v>
      </c>
      <c r="R21" s="101">
        <f>MIN('2'!R7:R18)</f>
        <v>1196</v>
      </c>
      <c r="S21" s="101">
        <f>MIN('2'!S7:S18)</f>
        <v>65.19607843</v>
      </c>
      <c r="T21" s="99"/>
      <c r="U21" s="21"/>
      <c r="X21" s="54">
        <v>0.666666666666667</v>
      </c>
      <c r="Y21" s="125">
        <v>3400.0</v>
      </c>
      <c r="Z21" s="308">
        <v>1380.0</v>
      </c>
      <c r="AA21" s="56">
        <v>1.0</v>
      </c>
      <c r="AB21" s="58">
        <f>IF('2'!AA21=1,(('2'!Z21*'2'!$AS$6*'2'!$AT$6)/('2'!Y21*0.0036)),IF('2'!AA21=2,(('2'!Z21*'2'!$AS$7*'2'!$AT$7)/('2'!Y21*0.0036))))</f>
        <v>74.9754902</v>
      </c>
      <c r="AC21" s="58"/>
      <c r="AD21" s="59">
        <f>(('2'!AC21*'2'!$Q$10*1000000))/('2'!Y21*3600)</f>
        <v>0</v>
      </c>
      <c r="AE21" s="60"/>
      <c r="AF21" s="61">
        <f>('2'!AE21/24)*0.454</f>
        <v>0</v>
      </c>
      <c r="AG21" s="60"/>
      <c r="AH21" s="61">
        <f>('2'!AG21/24)*0.454</f>
        <v>0</v>
      </c>
      <c r="AI21" s="60">
        <v>5200.0</v>
      </c>
      <c r="AJ21" s="61">
        <f>('2'!AI21/24)*0.454</f>
        <v>98.36666667</v>
      </c>
      <c r="AK21" s="62"/>
      <c r="AL21" s="63">
        <f>('2'!AK21/24)*0.454</f>
        <v>0</v>
      </c>
      <c r="AM21" s="62"/>
      <c r="AN21" s="63">
        <f>('2'!AM21/24)*0.454</f>
        <v>0</v>
      </c>
      <c r="AO21" s="62"/>
      <c r="AP21" s="63">
        <f>('2'!AO21/24)*0.454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3440.0</v>
      </c>
      <c r="Z22" s="308">
        <v>1380.0</v>
      </c>
      <c r="AA22" s="56">
        <v>1.0</v>
      </c>
      <c r="AB22" s="58">
        <f>IF('2'!AA22=1,(('2'!Z22*'2'!$AS$6*'2'!$AT$6)/('2'!Y22*0.0036)),IF('2'!AA22=2,(('2'!Z22*'2'!$AS$7*'2'!$AT$7)/('2'!Y22*0.0036))))</f>
        <v>74.10368217</v>
      </c>
      <c r="AC22" s="58"/>
      <c r="AD22" s="59">
        <f>(('2'!AC22*'2'!$Q$10*1000000))/('2'!Y22*3600)</f>
        <v>0</v>
      </c>
      <c r="AE22" s="60"/>
      <c r="AF22" s="61">
        <f>('2'!AE22/24)*0.454</f>
        <v>0</v>
      </c>
      <c r="AG22" s="60"/>
      <c r="AH22" s="61">
        <f>('2'!AG22/24)*0.454</f>
        <v>0</v>
      </c>
      <c r="AI22" s="60">
        <v>5200.0</v>
      </c>
      <c r="AJ22" s="61">
        <f>('2'!AI22/24)*0.454</f>
        <v>98.36666667</v>
      </c>
      <c r="AK22" s="62"/>
      <c r="AL22" s="63">
        <f>('2'!AK22/24)*0.454</f>
        <v>0</v>
      </c>
      <c r="AM22" s="62"/>
      <c r="AN22" s="63">
        <f>('2'!AM22/24)*0.454</f>
        <v>0</v>
      </c>
      <c r="AO22" s="62"/>
      <c r="AP22" s="63">
        <f>('2'!AO22/24)*0.454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3440.0</v>
      </c>
      <c r="Z23" s="308">
        <v>1380.0</v>
      </c>
      <c r="AA23" s="56">
        <v>1.0</v>
      </c>
      <c r="AB23" s="58">
        <f>IF('2'!AA23=1,(('2'!Z23*'2'!$AS$6*'2'!$AT$6)/('2'!Y23*0.0036)),IF('2'!AA23=2,(('2'!Z23*'2'!$AS$7*'2'!$AT$7)/('2'!Y23*0.0036))))</f>
        <v>74.10368217</v>
      </c>
      <c r="AC23" s="58"/>
      <c r="AD23" s="59">
        <f>(('2'!AC23*'2'!$Q$10*1000000))/('2'!Y23*3600)</f>
        <v>0</v>
      </c>
      <c r="AE23" s="60"/>
      <c r="AF23" s="61">
        <f>('2'!AE23/24)*0.454</f>
        <v>0</v>
      </c>
      <c r="AG23" s="60"/>
      <c r="AH23" s="61">
        <f>('2'!AG23/24)*0.454</f>
        <v>0</v>
      </c>
      <c r="AI23" s="60">
        <v>5200.0</v>
      </c>
      <c r="AJ23" s="61">
        <f>('2'!AI23/24)*0.454</f>
        <v>98.36666667</v>
      </c>
      <c r="AK23" s="62"/>
      <c r="AL23" s="63">
        <f>('2'!AK23/24)*0.454</f>
        <v>0</v>
      </c>
      <c r="AM23" s="62"/>
      <c r="AN23" s="63">
        <f>('2'!AM23/24)*0.454</f>
        <v>0</v>
      </c>
      <c r="AO23" s="62"/>
      <c r="AP23" s="63">
        <f>('2'!AO23/24)*0.454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3440.0</v>
      </c>
      <c r="Z24" s="308">
        <v>1380.0</v>
      </c>
      <c r="AA24" s="56">
        <v>1.0</v>
      </c>
      <c r="AB24" s="57">
        <f>IF('2'!AA24=1,(('2'!Z24*'2'!$AS$6*'2'!$AT$6)/('2'!Y24*0.0036)),IF('2'!AA24=2,(('2'!Z24*'2'!$AS$7*'2'!$AT$7)/('2'!Y24*0.0036))))</f>
        <v>74.10368217</v>
      </c>
      <c r="AC24" s="57"/>
      <c r="AD24" s="154">
        <f>(('2'!AC24*'2'!$Q$10*1000000))/('2'!Y24*3600)</f>
        <v>0</v>
      </c>
      <c r="AE24" s="60"/>
      <c r="AF24" s="311">
        <f>('2'!AE24/24)*0.454</f>
        <v>0</v>
      </c>
      <c r="AG24" s="60"/>
      <c r="AH24" s="311">
        <f>('2'!AG24/24)*0.454</f>
        <v>0</v>
      </c>
      <c r="AI24" s="60">
        <v>5200.0</v>
      </c>
      <c r="AJ24" s="311">
        <f>('2'!AI24/24)*0.454</f>
        <v>98.36666667</v>
      </c>
      <c r="AK24" s="62"/>
      <c r="AL24" s="110">
        <f>('2'!AK24/24)*0.454</f>
        <v>0</v>
      </c>
      <c r="AM24" s="312"/>
      <c r="AN24" s="110">
        <f>('2'!AM24/24)*0.454</f>
        <v>0</v>
      </c>
      <c r="AO24" s="62"/>
      <c r="AP24" s="110">
        <f>('2'!AO24/24)*0.454</f>
        <v>0</v>
      </c>
    </row>
    <row r="25" ht="19.5" customHeight="1">
      <c r="A25" s="111">
        <v>0.416666666666667</v>
      </c>
      <c r="B25" s="313">
        <v>0.51</v>
      </c>
      <c r="C25" s="313">
        <v>0.3</v>
      </c>
      <c r="D25" s="313">
        <v>0.4</v>
      </c>
      <c r="E25" s="313">
        <v>0.56</v>
      </c>
      <c r="F25" s="313">
        <v>0.48</v>
      </c>
      <c r="G25" s="313" t="s">
        <v>131</v>
      </c>
      <c r="H25" s="313">
        <v>0.53</v>
      </c>
      <c r="I25" s="313">
        <v>0.43</v>
      </c>
      <c r="J25" s="313" t="s">
        <v>131</v>
      </c>
      <c r="K25" s="313">
        <v>0.56</v>
      </c>
      <c r="L25" s="313">
        <v>0.35</v>
      </c>
      <c r="M25" s="313">
        <v>0.42</v>
      </c>
      <c r="N25" s="313">
        <v>0.39</v>
      </c>
      <c r="O25" s="313">
        <v>0.47</v>
      </c>
      <c r="P25" s="313">
        <v>0.52</v>
      </c>
      <c r="Q25" s="313" t="s">
        <v>131</v>
      </c>
      <c r="R25" s="112" t="str">
        <f t="shared" ref="R25:R26" si="1">#DIV/0!</f>
        <v>#DIV/0!</v>
      </c>
      <c r="S25" s="113"/>
      <c r="T25" s="314" t="s">
        <v>0</v>
      </c>
      <c r="U25" s="115">
        <f>ESCALA!$A$4</f>
        <v>43923</v>
      </c>
      <c r="X25" s="54">
        <v>0.833333333333333</v>
      </c>
      <c r="Y25" s="125">
        <v>3440.0</v>
      </c>
      <c r="Z25" s="308">
        <v>1380.0</v>
      </c>
      <c r="AA25" s="56">
        <v>1.0</v>
      </c>
      <c r="AB25" s="58">
        <f>IF('2'!AA25=1,(('2'!Z25*'2'!$AS$6*'2'!$AT$6)/('2'!Y25*0.0036)),IF('2'!AA25=2,(('2'!Z25*'2'!$AS$7*'2'!$AT$7)/('2'!Y25*0.0036))))</f>
        <v>74.10368217</v>
      </c>
      <c r="AC25" s="58"/>
      <c r="AD25" s="59">
        <f>(('2'!AC25*'2'!$Q$10*1000000))/('2'!Y25*3600)</f>
        <v>0</v>
      </c>
      <c r="AE25" s="60"/>
      <c r="AF25" s="61">
        <f>('2'!AE25/24)*0.454</f>
        <v>0</v>
      </c>
      <c r="AG25" s="60"/>
      <c r="AH25" s="61">
        <f>('2'!AG25/24)*0.454</f>
        <v>0</v>
      </c>
      <c r="AI25" s="60">
        <v>5200.0</v>
      </c>
      <c r="AJ25" s="61">
        <f>('2'!AI25/24)*0.454</f>
        <v>98.36666667</v>
      </c>
      <c r="AK25" s="62"/>
      <c r="AL25" s="63">
        <f>('2'!AK25/24)*0.454</f>
        <v>0</v>
      </c>
      <c r="AM25" s="62"/>
      <c r="AN25" s="63">
        <f>('2'!AM25/24)*0.454</f>
        <v>0</v>
      </c>
      <c r="AO25" s="62"/>
      <c r="AP25" s="63">
        <f>('2'!AO25/24)*0.454</f>
        <v>0</v>
      </c>
    </row>
    <row r="26" ht="19.5" customHeight="1">
      <c r="A26" s="111">
        <v>0.666666666666667</v>
      </c>
      <c r="B26" s="313"/>
      <c r="C26" s="313"/>
      <c r="D26" s="313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3400.0</v>
      </c>
      <c r="Z26" s="308">
        <v>1850.0</v>
      </c>
      <c r="AA26" s="56">
        <v>1.0</v>
      </c>
      <c r="AB26" s="58">
        <f>IF('2'!AA26=1,(('2'!Z26*'2'!$AS$6*'2'!$AT$6)/('2'!Y26*0.0036)),IF('2'!AA26=2,(('2'!Z26*'2'!$AS$7*'2'!$AT$7)/('2'!Y26*0.0036))))</f>
        <v>100.5106209</v>
      </c>
      <c r="AC26" s="58"/>
      <c r="AD26" s="59">
        <f>(('2'!AC26*'2'!$Q$10*1000000))/('2'!Y26*3600)</f>
        <v>0</v>
      </c>
      <c r="AE26" s="60"/>
      <c r="AF26" s="61">
        <f>('2'!AE26/24)*0.454</f>
        <v>0</v>
      </c>
      <c r="AG26" s="60"/>
      <c r="AH26" s="61">
        <f>('2'!AG26/24)*0.454</f>
        <v>0</v>
      </c>
      <c r="AI26" s="60"/>
      <c r="AJ26" s="61">
        <f>('2'!AI26/24)*0.454</f>
        <v>0</v>
      </c>
      <c r="AK26" s="62"/>
      <c r="AL26" s="63">
        <f>('2'!AK26/24)*0.454</f>
        <v>0</v>
      </c>
      <c r="AM26" s="62"/>
      <c r="AN26" s="63">
        <f>('2'!AM26/24)*0.454</f>
        <v>0</v>
      </c>
      <c r="AO26" s="62"/>
      <c r="AP26" s="63">
        <f>('2'!AO26/24)*0.454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3400.0</v>
      </c>
      <c r="Z27" s="308">
        <v>1850.0</v>
      </c>
      <c r="AA27" s="56">
        <v>1.0</v>
      </c>
      <c r="AB27" s="58">
        <f>IF('2'!AA27=1,(('2'!Z27*'2'!$AS$6*'2'!$AT$6)/('2'!Y27*0.0036)),IF('2'!AA27=2,(('2'!Z27*'2'!$AS$7*'2'!$AT$7)/('2'!Y27*0.0036))))</f>
        <v>100.5106209</v>
      </c>
      <c r="AC27" s="58"/>
      <c r="AD27" s="59">
        <f>(('2'!AC27*'2'!$Q$10*1000000))/('2'!Y27*3600)</f>
        <v>0</v>
      </c>
      <c r="AE27" s="60"/>
      <c r="AF27" s="61">
        <f>('2'!AE27/24)*0.454</f>
        <v>0</v>
      </c>
      <c r="AG27" s="60"/>
      <c r="AH27" s="61">
        <f>('2'!AG27/24)*0.454</f>
        <v>0</v>
      </c>
      <c r="AI27" s="60"/>
      <c r="AJ27" s="61">
        <f>('2'!AI27/24)*0.454</f>
        <v>0</v>
      </c>
      <c r="AK27" s="62"/>
      <c r="AL27" s="63">
        <f>('2'!AK27/24)*0.454</f>
        <v>0</v>
      </c>
      <c r="AM27" s="62"/>
      <c r="AN27" s="63">
        <f>('2'!AM27/24)*0.454</f>
        <v>0</v>
      </c>
      <c r="AO27" s="62"/>
      <c r="AP27" s="63">
        <f>('2'!AO27/24)*0.454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3400.0</v>
      </c>
      <c r="Z28" s="308">
        <v>1850.0</v>
      </c>
      <c r="AA28" s="56">
        <v>1.0</v>
      </c>
      <c r="AB28" s="58">
        <f>IF('2'!AA28=1,(('2'!Z28*'2'!$AS$6*'2'!$AT$6)/('2'!Y28*0.0036)),IF('2'!AA28=2,(('2'!Z28*'2'!$AS$7*'2'!$AT$7)/('2'!Y28*0.0036))))</f>
        <v>100.5106209</v>
      </c>
      <c r="AC28" s="58"/>
      <c r="AD28" s="59">
        <f>(('2'!AC28*'2'!$Q$10*1000000))/('2'!Y28*3600)</f>
        <v>0</v>
      </c>
      <c r="AE28" s="60"/>
      <c r="AF28" s="61">
        <f>('2'!AE28/24)*0.454</f>
        <v>0</v>
      </c>
      <c r="AG28" s="60"/>
      <c r="AH28" s="61">
        <f>('2'!AG28/24)*0.454</f>
        <v>0</v>
      </c>
      <c r="AI28" s="60"/>
      <c r="AJ28" s="61">
        <f>('2'!AI28/24)*0.454</f>
        <v>0</v>
      </c>
      <c r="AK28" s="62"/>
      <c r="AL28" s="63">
        <f>('2'!AK28/24)*0.454</f>
        <v>0</v>
      </c>
      <c r="AM28" s="62"/>
      <c r="AN28" s="63">
        <f>('2'!AM28/24)*0.454</f>
        <v>0</v>
      </c>
      <c r="AO28" s="62"/>
      <c r="AP28" s="63">
        <f>('2'!AO28/24)*0.454</f>
        <v>0</v>
      </c>
    </row>
    <row r="29" ht="18.75" customHeight="1">
      <c r="A29" s="129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3400.0</v>
      </c>
      <c r="Z29" s="308">
        <v>1850.0</v>
      </c>
      <c r="AA29" s="56">
        <v>1.0</v>
      </c>
      <c r="AB29" s="58">
        <f>IF('2'!AA29=1,(('2'!Z29*'2'!$AS$6*'2'!$AT$6)/('2'!Y29*0.0036)),IF('2'!AA29=2,(('2'!Z29*'2'!$AS$7*'2'!$AT$7)/('2'!Y29*0.0036))))</f>
        <v>100.5106209</v>
      </c>
      <c r="AC29" s="58"/>
      <c r="AD29" s="59">
        <f>(('2'!AC29*'2'!$Q$10*1000000))/('2'!Y29*3600)</f>
        <v>0</v>
      </c>
      <c r="AE29" s="60"/>
      <c r="AF29" s="61">
        <f>('2'!AE29/24)*0.454</f>
        <v>0</v>
      </c>
      <c r="AG29" s="60"/>
      <c r="AH29" s="61">
        <f>('2'!AG29/24)*0.454</f>
        <v>0</v>
      </c>
      <c r="AI29" s="60"/>
      <c r="AJ29" s="61">
        <f>('2'!AI29/24)*0.454</f>
        <v>0</v>
      </c>
      <c r="AK29" s="62"/>
      <c r="AL29" s="63">
        <f>('2'!AK29/24)*0.454</f>
        <v>0</v>
      </c>
      <c r="AM29" s="62"/>
      <c r="AN29" s="63">
        <f>('2'!AM29/24)*0.454</f>
        <v>0</v>
      </c>
      <c r="AO29" s="62"/>
      <c r="AP29" s="63">
        <f>('2'!AO29/24)*0.454</f>
        <v>0</v>
      </c>
    </row>
    <row r="30" ht="18.75" customHeight="1">
      <c r="A30" s="43"/>
      <c r="U30" s="27"/>
      <c r="X30" s="130" t="s">
        <v>55</v>
      </c>
      <c r="Y30" s="131">
        <f>SUM('2'!Y6:Y29)*3.6</f>
        <v>293076</v>
      </c>
      <c r="Z30" s="132">
        <f>SUM('2'!Z6:Z29)</f>
        <v>32422</v>
      </c>
      <c r="AA30" s="133"/>
      <c r="AB30" s="132"/>
      <c r="AC30" s="133"/>
      <c r="AD30" s="132"/>
      <c r="AE30" s="60"/>
      <c r="AF30" s="61">
        <f>SUM('2'!AF6:AF29)</f>
        <v>0</v>
      </c>
      <c r="AG30" s="60"/>
      <c r="AH30" s="61">
        <f>SUM('2'!AH6:AH29)</f>
        <v>0</v>
      </c>
      <c r="AI30" s="60"/>
      <c r="AJ30" s="61">
        <f>SUM('2'!AJ6:AJ29)</f>
        <v>1967.333333</v>
      </c>
      <c r="AK30" s="62"/>
      <c r="AL30" s="63">
        <f>SUM('2'!AL6:AL29)</f>
        <v>0</v>
      </c>
      <c r="AM30" s="62"/>
      <c r="AN30" s="63">
        <f>SUM('2'!AN6:AN29)</f>
        <v>0</v>
      </c>
      <c r="AO30" s="62"/>
      <c r="AP30" s="63">
        <f>SUM('2'!AP6:AP29)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SUMIF('2'!AA6:AA29,"=1",'2'!Z6:Z29)</f>
        <v>30030</v>
      </c>
      <c r="AA32" s="132">
        <f>'2'!Z32*'2'!AS6</f>
        <v>39939.9</v>
      </c>
      <c r="AB32" s="139">
        <f>SUMIF('2'!$AA$6:$AA$29,"=1",'2'!$AB$6:$AB$29)/COUNTIF('2'!$AA$6:$AA$29,"=1")</f>
        <v>74.22244508</v>
      </c>
      <c r="AC32" s="140">
        <f>SUMIF('2'!AA6:AA29,"=1",'2'!AC6:AC29)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SUMIF('2'!AA6:AA29,"=2",'2'!Z6:Z29)</f>
        <v>0</v>
      </c>
      <c r="AA33" s="132">
        <f>'2'!Z33*'2'!AS7</f>
        <v>0</v>
      </c>
      <c r="AB33" s="139" t="str">
        <f>SUMIF('2'!$AA$6:$AA$29,"=2",'2'!$AB$6:$AB$29)/COUNTIF('2'!$AA$6:$AA$29,"=2")</f>
        <v>#DIV/0!</v>
      </c>
      <c r="AC33" s="145">
        <f>SUMIF('2'!AA6:AA29,"=2",'2'!AC6:AC29)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AVERAGE('2'!Y6:Y29)</f>
        <v>3392.083333</v>
      </c>
      <c r="Z34" s="56">
        <f>AVERAGE('2'!Z6:Z29)</f>
        <v>1350.916667</v>
      </c>
      <c r="AA34" s="152"/>
      <c r="AB34" s="152"/>
      <c r="AC34" s="153" t="str">
        <f>SUM('2'!AC6:AC29)/COUNTIF('2'!AC6:AC29,"&lt;&gt;0")</f>
        <v>#DIV/0!</v>
      </c>
      <c r="AD34" s="154" t="str">
        <f>SUM('2'!AD6:AD29)/COUNTIF('2'!AD6:AD29,"&lt;&gt;0")</f>
        <v>#DIV/0!</v>
      </c>
      <c r="AE34" s="133"/>
      <c r="AF34" s="153">
        <f>AVERAGE('2'!AF6:AF29)</f>
        <v>0</v>
      </c>
      <c r="AG34" s="153"/>
      <c r="AH34" s="153">
        <f>AVERAGE('2'!AH6:AH29)</f>
        <v>0</v>
      </c>
      <c r="AI34" s="153"/>
      <c r="AJ34" s="153">
        <f>'2'!AJ30/24</f>
        <v>81.97222222</v>
      </c>
      <c r="AK34" s="153"/>
      <c r="AL34" s="153">
        <f>AVERAGE('2'!AL6:AL29)</f>
        <v>0</v>
      </c>
      <c r="AM34" s="153"/>
      <c r="AN34" s="153">
        <f>AVERAGE('2'!AN6:AN29)</f>
        <v>0</v>
      </c>
      <c r="AO34" s="153"/>
      <c r="AP34" s="153">
        <f>AVERAGE('2'!AP6:AP29)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318" t="s">
        <v>71</v>
      </c>
      <c r="F36" s="108" t="s">
        <v>40</v>
      </c>
      <c r="G36" s="108" t="s">
        <v>72</v>
      </c>
      <c r="H36" s="318" t="s">
        <v>71</v>
      </c>
      <c r="I36" s="108" t="s">
        <v>40</v>
      </c>
      <c r="J36" s="108" t="s">
        <v>72</v>
      </c>
      <c r="K36" s="31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319" t="s">
        <v>73</v>
      </c>
      <c r="Y36" s="163">
        <v>1.0</v>
      </c>
      <c r="Z36" s="164"/>
      <c r="AA36" s="165" t="s">
        <v>74</v>
      </c>
      <c r="AB36" s="163">
        <v>4.0</v>
      </c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72.3</v>
      </c>
      <c r="D37" s="76">
        <v>54.2</v>
      </c>
      <c r="E37" s="76">
        <v>36.1</v>
      </c>
      <c r="F37" s="76">
        <v>1.2</v>
      </c>
      <c r="G37" s="76">
        <v>0.2</v>
      </c>
      <c r="H37" s="76">
        <v>0.2</v>
      </c>
      <c r="I37" s="320">
        <v>0.15</v>
      </c>
      <c r="J37" s="320">
        <v>0.0</v>
      </c>
      <c r="K37" s="320">
        <v>0.0</v>
      </c>
      <c r="L37" s="321">
        <v>0.1</v>
      </c>
      <c r="M37" s="106"/>
      <c r="N37" s="157"/>
      <c r="O37" s="51"/>
      <c r="P37" s="51"/>
      <c r="Q37" s="51"/>
      <c r="R37" s="51"/>
      <c r="S37" s="51"/>
      <c r="T37" s="51"/>
      <c r="U37" s="322" t="str">
        <f>'2'!V12</f>
        <v/>
      </c>
      <c r="X37" s="169" t="s">
        <v>75</v>
      </c>
      <c r="Y37" s="128"/>
      <c r="Z37" s="170">
        <f>COUNTA('2'!Z6:Z29)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>
        <v>0.6</v>
      </c>
      <c r="G38" s="323"/>
      <c r="H38" s="323">
        <v>0.0</v>
      </c>
      <c r="I38" s="156">
        <v>0.03</v>
      </c>
      <c r="J38" s="156"/>
      <c r="K38" s="156">
        <v>0.03</v>
      </c>
      <c r="L38" s="109"/>
      <c r="M38" s="106"/>
      <c r="N38" s="157"/>
      <c r="O38" s="156"/>
      <c r="P38" s="156"/>
      <c r="Q38" s="156"/>
      <c r="R38" s="156"/>
      <c r="S38" s="156"/>
      <c r="T38" s="324"/>
      <c r="U38" s="133"/>
      <c r="X38" s="174"/>
      <c r="Y38" s="174"/>
      <c r="Z38" s="175"/>
      <c r="AA38" s="171"/>
      <c r="AB38" s="171"/>
      <c r="AJ38" s="178" t="s">
        <v>78</v>
      </c>
      <c r="AK38" s="180">
        <f>SUM('2'!AF30+'2'!AH30)</f>
        <v>0</v>
      </c>
      <c r="AL38" s="178" t="s">
        <v>78</v>
      </c>
      <c r="AM38" s="179">
        <f>SUM('2'!AL30+'2'!AN30)</f>
        <v>0</v>
      </c>
      <c r="AO38" s="178" t="s">
        <v>78</v>
      </c>
      <c r="AP38" s="180">
        <f>'2'!AJ30</f>
        <v>1967.333333</v>
      </c>
      <c r="AQ38" s="178" t="s">
        <v>78</v>
      </c>
      <c r="AR38" s="179">
        <f>'2'!AP30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206"/>
      <c r="X39" s="174"/>
      <c r="Y39" s="174"/>
      <c r="Z39" s="175"/>
      <c r="AA39" s="171"/>
      <c r="AB39" s="171"/>
      <c r="AC39" s="171"/>
      <c r="AD39" s="171"/>
      <c r="AE39" s="171"/>
      <c r="AF39" s="189"/>
      <c r="AG39" s="189"/>
      <c r="AJ39" s="325" t="s">
        <v>86</v>
      </c>
      <c r="AK39" s="326">
        <f>('2'!AK38/'2'!Y30)*1000</f>
        <v>0</v>
      </c>
      <c r="AL39" s="327" t="s">
        <v>86</v>
      </c>
      <c r="AM39" s="328">
        <f>('2'!AM38/'2'!Y30)*1000</f>
        <v>0</v>
      </c>
      <c r="AO39" s="325" t="s">
        <v>86</v>
      </c>
      <c r="AP39" s="326">
        <f>('2'!AP38/'2'!Y30)*1000</f>
        <v>6.712707057</v>
      </c>
      <c r="AQ39" s="327" t="s">
        <v>86</v>
      </c>
      <c r="AR39" s="328">
        <f>('2'!AR38/'2'!Y30)*1000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SUM('2'!AK38,'2'!AM38)</f>
        <v>0</v>
      </c>
      <c r="AM40" s="128"/>
      <c r="AO40" s="210" t="s">
        <v>90</v>
      </c>
      <c r="AP40" s="128"/>
      <c r="AQ40" s="211">
        <f>SUM('2'!AP38,'2'!AR38)</f>
        <v>1967.333333</v>
      </c>
      <c r="AR40" s="128"/>
    </row>
    <row r="41" ht="16.5" customHeight="1">
      <c r="A41" s="212">
        <f>COUNTA('2'!E7:E18)</f>
        <v>12</v>
      </c>
      <c r="B41" s="213">
        <f>COUNTA('2'!I7:I18)</f>
        <v>12</v>
      </c>
      <c r="C41" s="214">
        <f>COUNTA('2'!J7:J18)</f>
        <v>12</v>
      </c>
      <c r="D41" s="80"/>
      <c r="E41" s="214">
        <f>COUNTIF('2'!E7:E18,"&gt;15")</f>
        <v>0</v>
      </c>
      <c r="F41" s="80"/>
      <c r="G41" s="214">
        <f>COUNTIF('2'!J7:J18,"&gt;1")</f>
        <v>3</v>
      </c>
      <c r="H41" s="80"/>
      <c r="I41" s="215"/>
      <c r="J41" s="214">
        <f>'2'!A41-'2'!E41</f>
        <v>12</v>
      </c>
      <c r="K41" s="80"/>
      <c r="L41" s="214">
        <f>'2'!C41-'2'!G41</f>
        <v>9</v>
      </c>
      <c r="M41" s="80"/>
      <c r="N41" s="215"/>
      <c r="O41" s="216">
        <f>COUNTIF('2'!J7:J18,"&lt;=0,5")</f>
        <v>6</v>
      </c>
      <c r="P41" s="217"/>
      <c r="Q41" s="218"/>
      <c r="R41" s="219"/>
      <c r="S41" s="220">
        <f>COUNTIF('2'!J7:J18,"&lt;=1,0")</f>
        <v>9</v>
      </c>
      <c r="T41" s="221"/>
      <c r="U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SUM(('2'!AK38+'2'!AM38)/'2'!Y30)*1000</f>
        <v>0</v>
      </c>
      <c r="AM41" s="128"/>
      <c r="AO41" s="210" t="s">
        <v>91</v>
      </c>
      <c r="AP41" s="128"/>
      <c r="AQ41" s="223">
        <f>SUM(('2'!AP38+'2'!AR38)/'2'!Y30)*1000</f>
        <v>6.712707057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>
        <v>35.0</v>
      </c>
      <c r="Z44" s="68" t="s">
        <v>101</v>
      </c>
      <c r="AA44" s="241">
        <v>150.0</v>
      </c>
      <c r="AB44" s="68" t="s">
        <v>101</v>
      </c>
      <c r="AC44" s="241"/>
      <c r="AD44" s="242"/>
      <c r="AE44" s="243"/>
      <c r="AF44" s="244" t="s">
        <v>102</v>
      </c>
      <c r="AG44" s="245">
        <f>SUM('2'!Y45,'2'!AA45,'2'!AC45,'2'!AE45)</f>
        <v>228995.5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COUNTIF('2'!I7:I18,"&lt;=5,0")</f>
        <v>12</v>
      </c>
      <c r="I45" s="127"/>
      <c r="J45" s="128"/>
      <c r="K45" s="215"/>
      <c r="L45" s="208">
        <f>COUNTA('2'!L37)</f>
        <v>1</v>
      </c>
      <c r="M45" s="128"/>
      <c r="O45" s="248"/>
      <c r="P45" s="249"/>
      <c r="Q45" s="250">
        <f>'2'!S41-'2'!O41</f>
        <v>3</v>
      </c>
      <c r="R45" s="251"/>
      <c r="S45" s="252"/>
      <c r="T45" s="253"/>
      <c r="X45" s="133" t="s">
        <v>104</v>
      </c>
      <c r="Y45" s="254">
        <f>'2'!Y44*275.3</f>
        <v>9635.5</v>
      </c>
      <c r="Z45" s="133" t="s">
        <v>104</v>
      </c>
      <c r="AA45" s="254">
        <f>262.4*'2'!AA44</f>
        <v>39360</v>
      </c>
      <c r="AB45" s="133" t="s">
        <v>104</v>
      </c>
      <c r="AC45" s="254">
        <f>'2'!AC44*277.7</f>
        <v>0</v>
      </c>
      <c r="AD45" s="133" t="s">
        <v>104</v>
      </c>
      <c r="AE45" s="255">
        <v>180000.0</v>
      </c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0" customHeight="1">
      <c r="F46" s="257"/>
      <c r="X46" s="196" t="s">
        <v>105</v>
      </c>
      <c r="Y46" s="258">
        <f>'2'!AS6</f>
        <v>1.33</v>
      </c>
      <c r="Z46" s="196" t="s">
        <v>105</v>
      </c>
      <c r="AA46" s="258">
        <f>'2'!Y46</f>
        <v>1.33</v>
      </c>
      <c r="AB46" s="196" t="s">
        <v>105</v>
      </c>
      <c r="AC46" s="258">
        <f>'2'!Y46</f>
        <v>1.33</v>
      </c>
      <c r="AD46" s="196" t="s">
        <v>105</v>
      </c>
      <c r="AE46" s="329"/>
      <c r="AF46" s="260" t="s">
        <v>106</v>
      </c>
      <c r="AG46" s="261">
        <f>SUM('2'!Y47,'2'!AA47,'2'!AC47,'2'!AE47)</f>
        <v>65164.015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'2'!Y45*'2'!Y46</f>
        <v>12815.215</v>
      </c>
      <c r="Z47" s="133" t="s">
        <v>108</v>
      </c>
      <c r="AA47" s="254">
        <f>'2'!AA45*'2'!AA46</f>
        <v>52348.8</v>
      </c>
      <c r="AB47" s="133" t="s">
        <v>108</v>
      </c>
      <c r="AC47" s="254">
        <f>'2'!AC45*'2'!AC46</f>
        <v>0</v>
      </c>
      <c r="AD47" s="133" t="s">
        <v>108</v>
      </c>
      <c r="AE47" s="254"/>
      <c r="AF47" s="46"/>
      <c r="AG47" s="46"/>
      <c r="AI47" s="133" t="s">
        <v>104</v>
      </c>
      <c r="AJ47" s="254">
        <f>'2'!AJ46*275.3</f>
        <v>0</v>
      </c>
      <c r="AK47" s="133" t="s">
        <v>104</v>
      </c>
      <c r="AL47" s="254">
        <f>262.4*'2'!AL46</f>
        <v>0</v>
      </c>
      <c r="AM47" s="133" t="s">
        <v>104</v>
      </c>
      <c r="AN47" s="254">
        <f>'2'!AN46*277.7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'2'!Y46</f>
        <v>1.33</v>
      </c>
      <c r="AK48" s="265" t="s">
        <v>105</v>
      </c>
      <c r="AL48" s="258">
        <f>'2'!AJ48</f>
        <v>1.33</v>
      </c>
      <c r="AM48" s="265" t="s">
        <v>105</v>
      </c>
      <c r="AN48" s="258">
        <f>'2'!AJ48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'2'!AJ47*'2'!AJ48</f>
        <v>0</v>
      </c>
      <c r="AK49" s="133" t="s">
        <v>108</v>
      </c>
      <c r="AL49" s="254">
        <f>'2'!AL47*'2'!AL48</f>
        <v>0</v>
      </c>
      <c r="AM49" s="133" t="s">
        <v>108</v>
      </c>
      <c r="AN49" s="254">
        <f>'2'!AN47*'2'!AN48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COUNTA('2'!O7:O18)</f>
        <v>12</v>
      </c>
      <c r="P51" s="128"/>
      <c r="R51" s="247">
        <f>COUNTIF('2'!O7:O18,"&gt;=0,5")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SUM('2'!Y53,'2'!AA53,'2'!AC53,'2'!AE53)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'2'!Y52*275.3</f>
        <v>0</v>
      </c>
      <c r="Z53" s="133" t="s">
        <v>104</v>
      </c>
      <c r="AA53" s="254">
        <f>262.4*'2'!AA52</f>
        <v>0</v>
      </c>
      <c r="AB53" s="133" t="s">
        <v>104</v>
      </c>
      <c r="AC53" s="254">
        <f>'2'!AC52*277.7</f>
        <v>0</v>
      </c>
      <c r="AD53" s="133" t="s">
        <v>104</v>
      </c>
      <c r="AE53" s="274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'2'!AS7</f>
        <v>1.377</v>
      </c>
      <c r="Z54" s="196" t="s">
        <v>105</v>
      </c>
      <c r="AA54" s="258">
        <f>'2'!Y54</f>
        <v>1.377</v>
      </c>
      <c r="AB54" s="196" t="s">
        <v>105</v>
      </c>
      <c r="AC54" s="258">
        <f>'2'!Y54</f>
        <v>1.377</v>
      </c>
      <c r="AD54" s="196" t="s">
        <v>105</v>
      </c>
      <c r="AE54" s="329"/>
      <c r="AF54" s="260" t="s">
        <v>106</v>
      </c>
      <c r="AG54" s="261">
        <f>SUM('2'!Y55,'2'!AA55,'2'!AC55,'2'!AE55)</f>
        <v>0</v>
      </c>
      <c r="AI54" s="133" t="s">
        <v>104</v>
      </c>
      <c r="AJ54" s="254">
        <f>'2'!AJ53*275.3</f>
        <v>0</v>
      </c>
      <c r="AK54" s="133" t="s">
        <v>104</v>
      </c>
      <c r="AL54" s="254">
        <f>262.4*'2'!AL53</f>
        <v>0</v>
      </c>
      <c r="AM54" s="133" t="s">
        <v>104</v>
      </c>
      <c r="AN54" s="276">
        <f>'2'!AN53*277.7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'2'!Y53*'2'!Y54</f>
        <v>0</v>
      </c>
      <c r="Z55" s="133" t="s">
        <v>108</v>
      </c>
      <c r="AA55" s="254">
        <f>'2'!AA53*'2'!AA54</f>
        <v>0</v>
      </c>
      <c r="AB55" s="133" t="s">
        <v>108</v>
      </c>
      <c r="AC55" s="254"/>
      <c r="AD55" s="133" t="s">
        <v>108</v>
      </c>
      <c r="AE55" s="254"/>
      <c r="AF55" s="46"/>
      <c r="AG55" s="46"/>
      <c r="AI55" s="196" t="s">
        <v>105</v>
      </c>
      <c r="AJ55" s="258">
        <f>'2'!Y54</f>
        <v>1.377</v>
      </c>
      <c r="AK55" s="196" t="s">
        <v>105</v>
      </c>
      <c r="AL55" s="258">
        <f>'2'!AJ55</f>
        <v>1.377</v>
      </c>
      <c r="AM55" s="196" t="s">
        <v>105</v>
      </c>
      <c r="AN55" s="258">
        <f>'2'!AJ55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'2'!AJ54*'2'!AJ55</f>
        <v>0</v>
      </c>
      <c r="AK56" s="133" t="s">
        <v>108</v>
      </c>
      <c r="AL56" s="254">
        <f>'2'!AL54*'2'!AL55</f>
        <v>0</v>
      </c>
      <c r="AM56" s="133" t="s">
        <v>108</v>
      </c>
      <c r="AN56" s="254">
        <f>'2'!AN54*'2'!AN55</f>
        <v>0</v>
      </c>
      <c r="AO56" s="16"/>
      <c r="AP56" s="17"/>
      <c r="AQ56" s="17"/>
      <c r="AR56" s="18"/>
    </row>
    <row r="57" ht="15.75" customHeight="1">
      <c r="O57" s="169">
        <f>COUNTA('2'!N7:N18)</f>
        <v>12</v>
      </c>
      <c r="P57" s="128"/>
      <c r="R57" s="277">
        <f>COUNTIF('2'!N7:N18,"&gt;=6")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'2'!AJ56+'2'!AL56+'2'!AN56</f>
        <v>0</v>
      </c>
      <c r="AM61" s="80"/>
      <c r="AN61" s="286" t="s">
        <v>121</v>
      </c>
      <c r="AO61" s="79"/>
      <c r="AP61" s="80"/>
      <c r="AQ61" s="287">
        <f>'2'!AJ49+'2'!AL49+'2'!AN49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'2'!AA33</f>
        <v>0</v>
      </c>
      <c r="AM62" s="80"/>
      <c r="AN62" s="286" t="s">
        <v>123</v>
      </c>
      <c r="AO62" s="79"/>
      <c r="AP62" s="80"/>
      <c r="AQ62" s="293">
        <f>'2'!AA32</f>
        <v>39939.9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/>
      <c r="AE63" s="97"/>
      <c r="AI63" s="286" t="s">
        <v>125</v>
      </c>
      <c r="AJ63" s="79"/>
      <c r="AK63" s="80"/>
      <c r="AL63" s="287">
        <f>'2'!AL61-'2'!AL62</f>
        <v>0</v>
      </c>
      <c r="AM63" s="80"/>
      <c r="AN63" s="286" t="s">
        <v>125</v>
      </c>
      <c r="AO63" s="79"/>
      <c r="AP63" s="80"/>
      <c r="AQ63" s="287">
        <f>'2'!AQ61-'2'!AQ62</f>
        <v>-39939.9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'1'!$Y$68</f>
        <v>-2383.5</v>
      </c>
      <c r="Z65" s="43"/>
      <c r="AA65" s="27"/>
      <c r="AB65" s="299" t="s">
        <v>126</v>
      </c>
      <c r="AC65" s="330">
        <f>'1'!$AC$68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>
        <f>SUM('2'!AK38,'2'!AP38)</f>
        <v>1967.333333</v>
      </c>
      <c r="Z67" s="43"/>
      <c r="AA67" s="27"/>
      <c r="AB67" s="296" t="s">
        <v>124</v>
      </c>
      <c r="AC67" s="254">
        <f>SUM('2'!AM38,'2'!AR38)</f>
        <v>0</v>
      </c>
    </row>
    <row r="68" ht="15.75" customHeight="1">
      <c r="X68" s="294" t="s">
        <v>128</v>
      </c>
      <c r="Y68" s="301">
        <f>SUM('2'!Y63,'2'!Y65)-'2'!Y67</f>
        <v>-4350.833333</v>
      </c>
      <c r="Z68" s="16"/>
      <c r="AA68" s="18"/>
      <c r="AB68" s="296" t="s">
        <v>128</v>
      </c>
      <c r="AC68" s="302">
        <f>SUM('2'!AC63,'2'!AC65)-'2'!AC67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1" width="8.57"/>
    <col customWidth="1" min="12" max="12" width="6.14"/>
    <col customWidth="1" min="13" max="20" width="8.57"/>
    <col customWidth="1" min="21" max="21" width="8.71"/>
    <col customWidth="1" min="22" max="23" width="8.57"/>
    <col customWidth="1" min="24" max="26" width="8.71"/>
    <col customWidth="1" min="27" max="47" width="8.57"/>
  </cols>
  <sheetData>
    <row r="1" ht="13.5" customHeight="1">
      <c r="L1" s="97"/>
    </row>
    <row r="2" ht="15.0" customHeight="1">
      <c r="A2" s="10"/>
      <c r="B2" s="11"/>
      <c r="C2" s="12"/>
      <c r="D2" s="331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24" t="s">
        <v>13</v>
      </c>
      <c r="U4" s="332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3400.0</v>
      </c>
      <c r="Z6" s="308">
        <v>1850.0</v>
      </c>
      <c r="AA6" s="56">
        <v>1.0</v>
      </c>
      <c r="AB6" s="58">
        <f>IF('3'!AA6=1,(('3'!Z6*'3'!$AS$6*'3'!$AT$6)/('3'!Y6*0.0036)),IF('3'!AA6=2,(('3'!Z6*'3'!$AS$7*'3'!$AT$7)/('3'!Y6*0.0036))))</f>
        <v>100.5106209</v>
      </c>
      <c r="AC6" s="58"/>
      <c r="AD6" s="59">
        <f>(('3'!AC6*'3'!$O$9*1000000))/('3'!Y6*3600)</f>
        <v>0</v>
      </c>
      <c r="AE6" s="60"/>
      <c r="AF6" s="61">
        <f>('3'!AE6/24)*0.454</f>
        <v>0</v>
      </c>
      <c r="AG6" s="60"/>
      <c r="AH6" s="61">
        <f>('3'!AG6/24)*0.454</f>
        <v>0</v>
      </c>
      <c r="AI6" s="308">
        <v>5200.0</v>
      </c>
      <c r="AJ6" s="61">
        <f>('3'!AI6/24)*0.454</f>
        <v>98.36666667</v>
      </c>
      <c r="AK6" s="62"/>
      <c r="AL6" s="63">
        <f>('3'!AK6/24)*0.454</f>
        <v>0</v>
      </c>
      <c r="AM6" s="62"/>
      <c r="AN6" s="63">
        <f>('3'!AM6/24)*0.454</f>
        <v>0</v>
      </c>
      <c r="AO6" s="62"/>
      <c r="AP6" s="63">
        <f>('3'!AO6/24)*0.454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246.0</v>
      </c>
      <c r="C7" s="76">
        <v>16.3</v>
      </c>
      <c r="D7" s="76">
        <v>10.2</v>
      </c>
      <c r="E7" s="76">
        <v>7.3</v>
      </c>
      <c r="F7" s="76">
        <v>226.0</v>
      </c>
      <c r="G7" s="76">
        <v>4.9</v>
      </c>
      <c r="H7" s="76">
        <v>2.1</v>
      </c>
      <c r="I7" s="76">
        <v>0.9</v>
      </c>
      <c r="J7" s="76">
        <v>1.2</v>
      </c>
      <c r="K7" s="76">
        <v>6.7</v>
      </c>
      <c r="L7" s="76">
        <v>6.4</v>
      </c>
      <c r="M7" s="76">
        <v>6.3</v>
      </c>
      <c r="N7" s="76">
        <v>6.2</v>
      </c>
      <c r="O7" s="76">
        <v>3.6</v>
      </c>
      <c r="P7" s="76"/>
      <c r="Q7" s="310"/>
      <c r="R7" s="77">
        <f>'2'!$Z$29</f>
        <v>1850</v>
      </c>
      <c r="S7" s="309">
        <f>'2'!$AB$29</f>
        <v>100.5106209</v>
      </c>
      <c r="T7" s="77">
        <f>'2'!$Y$29</f>
        <v>3400</v>
      </c>
      <c r="U7" s="73" t="str">
        <f>IF('3'!AA6=1,'3'!AR6,'3'!AR7)</f>
        <v>S.A.L</v>
      </c>
      <c r="V7" s="74" t="str">
        <f>ESCALA!$C$4</f>
        <v/>
      </c>
      <c r="W7" s="12"/>
      <c r="X7" s="54">
        <v>0.0833333333333333</v>
      </c>
      <c r="Y7" s="125">
        <v>3400.0</v>
      </c>
      <c r="Z7" s="308">
        <v>1850.0</v>
      </c>
      <c r="AA7" s="56">
        <v>1.0</v>
      </c>
      <c r="AB7" s="58">
        <f>IF('3'!AA7=1,(('3'!Z7*'3'!$AS$6*'3'!$AT$6)/('3'!Y7*0.0036)),IF('3'!AA7=2,(('3'!Z7*'3'!$AS$7*'3'!$AT$7)/('3'!Y7*0.0036))))</f>
        <v>100.5106209</v>
      </c>
      <c r="AC7" s="58"/>
      <c r="AD7" s="59">
        <f>(('3'!AC7*'3'!$O$9*1000000))/('3'!Y7*3600)</f>
        <v>0</v>
      </c>
      <c r="AE7" s="60"/>
      <c r="AF7" s="61">
        <f>('3'!AE7/24)*0.454</f>
        <v>0</v>
      </c>
      <c r="AG7" s="60"/>
      <c r="AH7" s="61">
        <f>('3'!AG7/24)*0.454</f>
        <v>0</v>
      </c>
      <c r="AI7" s="308">
        <v>5200.0</v>
      </c>
      <c r="AJ7" s="61">
        <f>('3'!AI7/24)*0.454</f>
        <v>98.36666667</v>
      </c>
      <c r="AK7" s="62"/>
      <c r="AL7" s="63">
        <f>('3'!AK7/24)*0.454</f>
        <v>0</v>
      </c>
      <c r="AM7" s="62"/>
      <c r="AN7" s="63">
        <f>('3'!AM7/24)*0.454</f>
        <v>0</v>
      </c>
      <c r="AO7" s="62"/>
      <c r="AP7" s="63">
        <f>('3'!AO7/24)*0.454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259.0</v>
      </c>
      <c r="C8" s="76">
        <v>12.1</v>
      </c>
      <c r="D8" s="76">
        <v>9.3</v>
      </c>
      <c r="E8" s="76">
        <v>5.9</v>
      </c>
      <c r="F8" s="76">
        <v>209.0</v>
      </c>
      <c r="G8" s="76">
        <v>3.6</v>
      </c>
      <c r="H8" s="76">
        <v>2.0</v>
      </c>
      <c r="I8" s="76">
        <v>0.8</v>
      </c>
      <c r="J8" s="76">
        <v>0.8</v>
      </c>
      <c r="K8" s="76">
        <v>6.7</v>
      </c>
      <c r="L8" s="76">
        <v>6.4</v>
      </c>
      <c r="M8" s="76">
        <v>6.2</v>
      </c>
      <c r="N8" s="76">
        <v>6.1</v>
      </c>
      <c r="O8" s="76">
        <v>3.6</v>
      </c>
      <c r="P8" s="76"/>
      <c r="Q8" s="310"/>
      <c r="R8" s="75">
        <f>'3'!Z7</f>
        <v>1850</v>
      </c>
      <c r="S8" s="76">
        <f>'3'!AB7</f>
        <v>100.5106209</v>
      </c>
      <c r="T8" s="77">
        <f>'3'!Y7</f>
        <v>3400</v>
      </c>
      <c r="U8" s="73" t="str">
        <f>IF('3'!AA7=1,'3'!AR6,'3'!AR7)</f>
        <v>S.A.L</v>
      </c>
      <c r="V8" s="43"/>
      <c r="W8" s="27"/>
      <c r="X8" s="54">
        <v>0.125</v>
      </c>
      <c r="Y8" s="125">
        <v>3400.0</v>
      </c>
      <c r="Z8" s="308">
        <v>1850.0</v>
      </c>
      <c r="AA8" s="56">
        <v>1.0</v>
      </c>
      <c r="AB8" s="58">
        <f>IF('3'!AA8=1,(('3'!Z8*'3'!$AS$6*'3'!$AT$6)/('3'!Y8*0.0036)),IF('3'!AA8=2,(('3'!Z8*'3'!$AS$7*'3'!$AT$7)/('3'!Y8*0.0036))))</f>
        <v>100.5106209</v>
      </c>
      <c r="AC8" s="58"/>
      <c r="AD8" s="59">
        <f>(('3'!AC8*'3'!$O$9*1000000))/('3'!Y8*3600)</f>
        <v>0</v>
      </c>
      <c r="AE8" s="60"/>
      <c r="AF8" s="61">
        <f>('3'!AE8/24)*0.454</f>
        <v>0</v>
      </c>
      <c r="AG8" s="60"/>
      <c r="AH8" s="61">
        <f>('3'!AG8/24)*0.454</f>
        <v>0</v>
      </c>
      <c r="AI8" s="308">
        <v>5200.0</v>
      </c>
      <c r="AJ8" s="61">
        <f>('3'!AI8/24)*0.454</f>
        <v>98.36666667</v>
      </c>
      <c r="AK8" s="62"/>
      <c r="AL8" s="63">
        <f>('3'!AK8/24)*0.454</f>
        <v>0</v>
      </c>
      <c r="AM8" s="62"/>
      <c r="AN8" s="63">
        <f>('3'!AM8/24)*0.454</f>
        <v>0</v>
      </c>
      <c r="AO8" s="62"/>
      <c r="AP8" s="63">
        <f>('3'!AO8/24)*0.454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273.0</v>
      </c>
      <c r="C9" s="76">
        <v>10.6</v>
      </c>
      <c r="D9" s="76">
        <v>8.6</v>
      </c>
      <c r="E9" s="76">
        <v>4.6</v>
      </c>
      <c r="F9" s="76">
        <v>195.0</v>
      </c>
      <c r="G9" s="76">
        <v>3.2</v>
      </c>
      <c r="H9" s="76">
        <v>1.9</v>
      </c>
      <c r="I9" s="76">
        <v>0.8</v>
      </c>
      <c r="J9" s="76">
        <v>0.6</v>
      </c>
      <c r="K9" s="76">
        <v>6.6</v>
      </c>
      <c r="L9" s="76">
        <v>6.2</v>
      </c>
      <c r="M9" s="76">
        <v>6.2</v>
      </c>
      <c r="N9" s="76">
        <v>6.1</v>
      </c>
      <c r="O9" s="76">
        <v>3.6</v>
      </c>
      <c r="P9" s="76"/>
      <c r="Q9" s="310"/>
      <c r="R9" s="77">
        <f>'3'!Z9</f>
        <v>1850</v>
      </c>
      <c r="S9" s="76">
        <f>'3'!AB9</f>
        <v>100.5106209</v>
      </c>
      <c r="T9" s="77">
        <f>'3'!Y9</f>
        <v>3400</v>
      </c>
      <c r="U9" s="73" t="str">
        <f>IF('3'!AA9=1,'3'!AR6,'3'!AR7)</f>
        <v>S.A.L</v>
      </c>
      <c r="V9" s="43"/>
      <c r="W9" s="27"/>
      <c r="X9" s="54">
        <v>0.166666666666667</v>
      </c>
      <c r="Y9" s="125">
        <v>3400.0</v>
      </c>
      <c r="Z9" s="308">
        <v>1850.0</v>
      </c>
      <c r="AA9" s="56">
        <v>1.0</v>
      </c>
      <c r="AB9" s="58">
        <f>IF('3'!AA9=1,(('3'!Z9*'3'!$AS$6*'3'!$AT$6)/('3'!Y9*0.0036)),IF('3'!AA9=2,(('3'!Z9*'3'!$AS$7*'3'!$AT$7)/('3'!Y9*0.0036))))</f>
        <v>100.5106209</v>
      </c>
      <c r="AC9" s="58"/>
      <c r="AD9" s="59">
        <f>(('3'!AC9*'3'!$O$9*1000000))/('3'!Y9*3600)</f>
        <v>0</v>
      </c>
      <c r="AE9" s="60"/>
      <c r="AF9" s="61">
        <f>('3'!AE9/24)*0.454</f>
        <v>0</v>
      </c>
      <c r="AG9" s="60"/>
      <c r="AH9" s="61">
        <f>('3'!AG9/24)*0.454</f>
        <v>0</v>
      </c>
      <c r="AI9" s="308">
        <v>5200.0</v>
      </c>
      <c r="AJ9" s="61">
        <f>('3'!AI9/24)*0.454</f>
        <v>98.36666667</v>
      </c>
      <c r="AK9" s="62"/>
      <c r="AL9" s="63">
        <f>('3'!AK9/24)*0.454</f>
        <v>0</v>
      </c>
      <c r="AM9" s="62"/>
      <c r="AN9" s="63">
        <f>('3'!AM9/24)*0.454</f>
        <v>0</v>
      </c>
      <c r="AO9" s="62"/>
      <c r="AP9" s="63">
        <f>('3'!AO9/24)*0.454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301.0</v>
      </c>
      <c r="C10" s="76">
        <v>9.9</v>
      </c>
      <c r="D10" s="76">
        <v>7.2</v>
      </c>
      <c r="E10" s="76">
        <v>3.0</v>
      </c>
      <c r="F10" s="76">
        <v>186.0</v>
      </c>
      <c r="G10" s="76">
        <v>2.7</v>
      </c>
      <c r="H10" s="76">
        <v>1.5</v>
      </c>
      <c r="I10" s="76">
        <v>0.6</v>
      </c>
      <c r="J10" s="76">
        <v>0.6</v>
      </c>
      <c r="K10" s="76">
        <v>6.6</v>
      </c>
      <c r="L10" s="76">
        <v>6.2</v>
      </c>
      <c r="M10" s="76">
        <v>6.1</v>
      </c>
      <c r="N10" s="76">
        <v>6.0</v>
      </c>
      <c r="O10" s="76">
        <v>3.6</v>
      </c>
      <c r="P10" s="76"/>
      <c r="Q10" s="310"/>
      <c r="R10" s="77">
        <f>'3'!Z11</f>
        <v>1850</v>
      </c>
      <c r="S10" s="76">
        <f>'3'!AB11</f>
        <v>100.5106209</v>
      </c>
      <c r="T10" s="77">
        <f>'3'!Y11</f>
        <v>3400</v>
      </c>
      <c r="U10" s="83" t="str">
        <f>IF('3'!AA11=1,'3'!AR6,'3'!AR7)</f>
        <v>S.A.L</v>
      </c>
      <c r="V10" s="43"/>
      <c r="W10" s="27"/>
      <c r="X10" s="54">
        <v>0.208333333333333</v>
      </c>
      <c r="Y10" s="125">
        <v>3400.0</v>
      </c>
      <c r="Z10" s="308">
        <v>1850.0</v>
      </c>
      <c r="AA10" s="56">
        <v>1.0</v>
      </c>
      <c r="AB10" s="58">
        <f>IF('3'!AA10=1,(('3'!Z10*'3'!$AS$6*'3'!$AT$6)/('3'!Y10*0.0036)),IF('3'!AA10=2,(('3'!Z10*'3'!$AS$7*'3'!$AT$7)/('3'!Y10*0.0036))))</f>
        <v>100.5106209</v>
      </c>
      <c r="AC10" s="58"/>
      <c r="AD10" s="59">
        <f>(('3'!AC10*'3'!$O$9*1000000))/('3'!Y10*3600)</f>
        <v>0</v>
      </c>
      <c r="AE10" s="60"/>
      <c r="AF10" s="61">
        <f>('3'!AE10/24)*0.454</f>
        <v>0</v>
      </c>
      <c r="AG10" s="60"/>
      <c r="AH10" s="61">
        <f>('3'!AG10/24)*0.454</f>
        <v>0</v>
      </c>
      <c r="AI10" s="308">
        <v>5200.0</v>
      </c>
      <c r="AJ10" s="61">
        <f>('3'!AI10/24)*0.454</f>
        <v>98.36666667</v>
      </c>
      <c r="AK10" s="62"/>
      <c r="AL10" s="63">
        <f>('3'!AK10/24)*0.454</f>
        <v>0</v>
      </c>
      <c r="AM10" s="62"/>
      <c r="AN10" s="63">
        <f>('3'!AM10/24)*0.454</f>
        <v>0</v>
      </c>
      <c r="AO10" s="62"/>
      <c r="AP10" s="63">
        <f>('3'!AO10/24)*0.454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319.0</v>
      </c>
      <c r="C11" s="76">
        <v>14.0</v>
      </c>
      <c r="D11" s="76">
        <v>12.0</v>
      </c>
      <c r="E11" s="76">
        <v>4.0</v>
      </c>
      <c r="F11" s="333">
        <v>157.0</v>
      </c>
      <c r="G11" s="76">
        <v>3.8</v>
      </c>
      <c r="H11" s="76">
        <v>2.2</v>
      </c>
      <c r="I11" s="76">
        <v>0.7</v>
      </c>
      <c r="J11" s="76">
        <v>0.5</v>
      </c>
      <c r="K11" s="76">
        <v>6.6</v>
      </c>
      <c r="L11" s="76">
        <v>6.2</v>
      </c>
      <c r="M11" s="76">
        <v>6.2</v>
      </c>
      <c r="N11" s="76">
        <v>6.0</v>
      </c>
      <c r="O11" s="76">
        <v>3.6</v>
      </c>
      <c r="P11" s="76"/>
      <c r="Q11" s="310"/>
      <c r="R11" s="77">
        <f>'3'!Z13</f>
        <v>1850</v>
      </c>
      <c r="S11" s="76">
        <f>'3'!AB13</f>
        <v>100.1864882</v>
      </c>
      <c r="T11" s="77">
        <f>'3'!Y13</f>
        <v>3411</v>
      </c>
      <c r="U11" s="86" t="str">
        <f>IF('3'!AA13=1,'3'!AR6,'3'!AR7)</f>
        <v>S.A.L</v>
      </c>
      <c r="V11" s="16"/>
      <c r="W11" s="18"/>
      <c r="X11" s="54">
        <v>0.25</v>
      </c>
      <c r="Y11" s="125">
        <v>3400.0</v>
      </c>
      <c r="Z11" s="308">
        <v>1850.0</v>
      </c>
      <c r="AA11" s="56">
        <v>1.0</v>
      </c>
      <c r="AB11" s="58">
        <f>IF('3'!AA11=1,(('3'!Z11*'3'!$AS$6*'3'!$AT$6)/('3'!Y11*0.0036)),IF('3'!AA11=2,(('3'!Z11*'3'!$AS$7*'3'!$AT$7)/('3'!Y11*0.0036))))</f>
        <v>100.5106209</v>
      </c>
      <c r="AC11" s="58"/>
      <c r="AD11" s="59">
        <f>(('3'!AC11*'3'!$O$9*1000000))/('3'!Y11*3600)</f>
        <v>0</v>
      </c>
      <c r="AE11" s="60"/>
      <c r="AF11" s="61">
        <f>('3'!AE11/24)*0.454</f>
        <v>0</v>
      </c>
      <c r="AG11" s="60"/>
      <c r="AH11" s="61">
        <f>('3'!AG11/24)*0.454</f>
        <v>0</v>
      </c>
      <c r="AI11" s="308">
        <v>5200.0</v>
      </c>
      <c r="AJ11" s="61">
        <f>('3'!AI11/24)*0.454</f>
        <v>98.36666667</v>
      </c>
      <c r="AK11" s="62"/>
      <c r="AL11" s="63">
        <f>('3'!AK11/24)*0.454</f>
        <v>0</v>
      </c>
      <c r="AM11" s="62"/>
      <c r="AN11" s="63">
        <f>('3'!AM11/24)*0.454</f>
        <v>0</v>
      </c>
      <c r="AO11" s="62"/>
      <c r="AP11" s="63">
        <f>('3'!AO11/24)*0.454</f>
        <v>0</v>
      </c>
    </row>
    <row r="12" ht="18.75" customHeight="1">
      <c r="A12" s="69">
        <v>0.416666666666667</v>
      </c>
      <c r="B12" s="76">
        <v>308.0</v>
      </c>
      <c r="C12" s="76">
        <v>13.0</v>
      </c>
      <c r="D12" s="76">
        <v>13.0</v>
      </c>
      <c r="E12" s="76">
        <v>9.0</v>
      </c>
      <c r="F12" s="76">
        <v>163.0</v>
      </c>
      <c r="G12" s="76">
        <v>3.3</v>
      </c>
      <c r="H12" s="76">
        <v>2.1</v>
      </c>
      <c r="I12" s="76">
        <v>0.9</v>
      </c>
      <c r="J12" s="76">
        <v>0.5</v>
      </c>
      <c r="K12" s="76">
        <v>6.6</v>
      </c>
      <c r="L12" s="76">
        <v>6.2</v>
      </c>
      <c r="M12" s="76">
        <v>6.2</v>
      </c>
      <c r="N12" s="76">
        <v>6.0</v>
      </c>
      <c r="O12" s="76">
        <v>3.6</v>
      </c>
      <c r="P12" s="76"/>
      <c r="Q12" s="310"/>
      <c r="R12" s="77">
        <f>'3'!Z15</f>
        <v>1850</v>
      </c>
      <c r="S12" s="76">
        <f>'3'!AB15</f>
        <v>100.7773846</v>
      </c>
      <c r="T12" s="77">
        <f>'3'!Y15</f>
        <v>3391</v>
      </c>
      <c r="U12" s="87" t="str">
        <f>IF('3'!AA15=1,'3'!AR6,'3'!AR7)</f>
        <v>S.A.L</v>
      </c>
      <c r="V12" s="88" t="str">
        <f>ESCALA!$B$5</f>
        <v/>
      </c>
      <c r="W12" s="89"/>
      <c r="X12" s="54">
        <v>0.291666666666667</v>
      </c>
      <c r="Y12" s="125">
        <v>3380.0</v>
      </c>
      <c r="Z12" s="308">
        <v>1850.0</v>
      </c>
      <c r="AA12" s="56">
        <v>1.0</v>
      </c>
      <c r="AB12" s="58">
        <f>IF('3'!AA12=1,(('3'!Z12*'3'!$AS$6*'3'!$AT$6)/('3'!Y12*0.0036)),IF('3'!AA12=2,(('3'!Z12*'3'!$AS$7*'3'!$AT$7)/('3'!Y12*0.0036))))</f>
        <v>101.1053583</v>
      </c>
      <c r="AC12" s="58"/>
      <c r="AD12" s="59">
        <f>(('3'!AC12*'3'!$O$9*1000000))/('3'!Y12*3600)</f>
        <v>0</v>
      </c>
      <c r="AE12" s="60"/>
      <c r="AF12" s="61">
        <f>('3'!AE12/24)*0.454</f>
        <v>0</v>
      </c>
      <c r="AG12" s="60"/>
      <c r="AH12" s="61">
        <f>('3'!AG12/24)*0.454</f>
        <v>0</v>
      </c>
      <c r="AI12" s="308">
        <v>5200.0</v>
      </c>
      <c r="AJ12" s="61">
        <f>('3'!AI12/24)*0.454</f>
        <v>98.36666667</v>
      </c>
      <c r="AK12" s="62"/>
      <c r="AL12" s="63">
        <f>('3'!AK12/24)*0.454</f>
        <v>0</v>
      </c>
      <c r="AM12" s="62"/>
      <c r="AN12" s="63">
        <f>('3'!AM12/24)*0.454</f>
        <v>0</v>
      </c>
      <c r="AO12" s="62"/>
      <c r="AP12" s="63">
        <f>('3'!AO12/24)*0.454</f>
        <v>0</v>
      </c>
    </row>
    <row r="13" ht="18.75" customHeight="1">
      <c r="A13" s="69">
        <v>0.5</v>
      </c>
      <c r="B13" s="76">
        <v>318.0</v>
      </c>
      <c r="C13" s="76">
        <v>16.0</v>
      </c>
      <c r="D13" s="76">
        <v>16.0</v>
      </c>
      <c r="E13" s="76">
        <v>11.0</v>
      </c>
      <c r="F13" s="76">
        <v>156.0</v>
      </c>
      <c r="G13" s="76">
        <v>3.8</v>
      </c>
      <c r="H13" s="76">
        <v>2.8</v>
      </c>
      <c r="I13" s="76">
        <v>1.3</v>
      </c>
      <c r="J13" s="76">
        <v>0.8</v>
      </c>
      <c r="K13" s="76">
        <v>6.6</v>
      </c>
      <c r="L13" s="76">
        <v>6.1</v>
      </c>
      <c r="M13" s="76">
        <v>6.1</v>
      </c>
      <c r="N13" s="76">
        <v>6.0</v>
      </c>
      <c r="O13" s="76">
        <v>3.6</v>
      </c>
      <c r="P13" s="76"/>
      <c r="Q13" s="310"/>
      <c r="R13" s="77">
        <f>'3'!Z17</f>
        <v>1750</v>
      </c>
      <c r="S13" s="76">
        <f>'3'!AB17</f>
        <v>95.89554699</v>
      </c>
      <c r="T13" s="77">
        <f>'3'!Y17</f>
        <v>3371</v>
      </c>
      <c r="U13" s="73" t="str">
        <f>IF('3'!AA17=1,'3'!AR6,'3'!AR7)</f>
        <v>S.A.L</v>
      </c>
      <c r="V13" s="43"/>
      <c r="W13" s="27"/>
      <c r="X13" s="54">
        <v>0.333333333333333</v>
      </c>
      <c r="Y13" s="125">
        <v>3411.0</v>
      </c>
      <c r="Z13" s="308">
        <v>1850.0</v>
      </c>
      <c r="AA13" s="56">
        <v>1.0</v>
      </c>
      <c r="AB13" s="58">
        <f>IF('3'!AA13=1,(('3'!Z13*'3'!$AS$6*'3'!$AT$6)/('3'!Y13*0.0036)),IF('3'!AA13=2,(('3'!Z13*'3'!$AS$7*'3'!$AT$7)/('3'!Y13*0.0036))))</f>
        <v>100.1864882</v>
      </c>
      <c r="AC13" s="58"/>
      <c r="AD13" s="59">
        <f>(('3'!AC13*'3'!$O$9*1000000))/('3'!Y13*3600)</f>
        <v>0</v>
      </c>
      <c r="AE13" s="60"/>
      <c r="AF13" s="61">
        <f>('3'!AE13/24)*0.454</f>
        <v>0</v>
      </c>
      <c r="AG13" s="60"/>
      <c r="AH13" s="61">
        <f>('3'!AG13/24)*0.454</f>
        <v>0</v>
      </c>
      <c r="AI13" s="308">
        <v>5200.0</v>
      </c>
      <c r="AJ13" s="61">
        <f>('3'!AI13/24)*0.454</f>
        <v>98.36666667</v>
      </c>
      <c r="AK13" s="62"/>
      <c r="AL13" s="63">
        <f>('3'!AK13/24)*0.454</f>
        <v>0</v>
      </c>
      <c r="AM13" s="62"/>
      <c r="AN13" s="63">
        <f>('3'!AM13/24)*0.454</f>
        <v>0</v>
      </c>
      <c r="AO13" s="62"/>
      <c r="AP13" s="63">
        <f>('3'!AO13/24)*0.454</f>
        <v>0</v>
      </c>
    </row>
    <row r="14" ht="18.75" customHeight="1">
      <c r="A14" s="69">
        <v>0.583333333333333</v>
      </c>
      <c r="B14" s="76">
        <v>317.0</v>
      </c>
      <c r="C14" s="76">
        <v>19.0</v>
      </c>
      <c r="D14" s="76">
        <v>19.0</v>
      </c>
      <c r="E14" s="76">
        <v>9.0</v>
      </c>
      <c r="F14" s="76">
        <v>149.0</v>
      </c>
      <c r="G14" s="76">
        <v>3.8</v>
      </c>
      <c r="H14" s="76">
        <v>2.3</v>
      </c>
      <c r="I14" s="76">
        <v>1.23</v>
      </c>
      <c r="J14" s="76">
        <v>1.2</v>
      </c>
      <c r="K14" s="76">
        <v>6.6</v>
      </c>
      <c r="L14" s="76">
        <v>6.2</v>
      </c>
      <c r="M14" s="76">
        <v>6.2</v>
      </c>
      <c r="N14" s="76">
        <v>6.0</v>
      </c>
      <c r="O14" s="76">
        <v>3.6</v>
      </c>
      <c r="P14" s="76"/>
      <c r="Q14" s="310"/>
      <c r="R14" s="77">
        <f>'3'!Z19</f>
        <v>1750</v>
      </c>
      <c r="S14" s="76">
        <f>'3'!AB19</f>
        <v>96.09509182</v>
      </c>
      <c r="T14" s="77">
        <f>'3'!Y19</f>
        <v>3364</v>
      </c>
      <c r="U14" s="73" t="str">
        <f>IF('3'!AA19=1,'3'!AR6,'3'!AR7)</f>
        <v>S.A.L</v>
      </c>
      <c r="V14" s="43"/>
      <c r="W14" s="27"/>
      <c r="X14" s="54">
        <v>0.375</v>
      </c>
      <c r="Y14" s="125">
        <v>3392.0</v>
      </c>
      <c r="Z14" s="308">
        <v>1850.0</v>
      </c>
      <c r="AA14" s="56">
        <v>1.0</v>
      </c>
      <c r="AB14" s="58">
        <f>IF('3'!AA14=1,(('3'!Z14*'3'!$AS$6*'3'!$AT$6)/('3'!Y14*0.0036)),IF('3'!AA14=2,(('3'!Z14*'3'!$AS$7*'3'!$AT$7)/('3'!Y14*0.0036))))</f>
        <v>100.7476743</v>
      </c>
      <c r="AC14" s="58"/>
      <c r="AD14" s="59">
        <f>(('3'!AC14*'3'!$O$9*1000000))/('3'!Y14*3600)</f>
        <v>0</v>
      </c>
      <c r="AE14" s="60"/>
      <c r="AF14" s="61">
        <f>('3'!AE14/24)*0.454</f>
        <v>0</v>
      </c>
      <c r="AG14" s="60"/>
      <c r="AH14" s="61">
        <f>('3'!AG14/24)*0.454</f>
        <v>0</v>
      </c>
      <c r="AI14" s="308">
        <v>5200.0</v>
      </c>
      <c r="AJ14" s="61">
        <f>('3'!AI14/24)*0.454</f>
        <v>98.36666667</v>
      </c>
      <c r="AK14" s="62"/>
      <c r="AL14" s="63">
        <f>('3'!AK14/24)*0.454</f>
        <v>0</v>
      </c>
      <c r="AM14" s="62"/>
      <c r="AN14" s="63">
        <f>('3'!AM14/24)*0.454</f>
        <v>0</v>
      </c>
      <c r="AO14" s="62"/>
      <c r="AP14" s="63">
        <f>('3'!AO14/24)*0.454</f>
        <v>0</v>
      </c>
    </row>
    <row r="15" ht="18.75" customHeight="1">
      <c r="A15" s="69">
        <v>0.666666666666667</v>
      </c>
      <c r="B15" s="76">
        <v>320.0</v>
      </c>
      <c r="C15" s="76">
        <v>20.0</v>
      </c>
      <c r="D15" s="76">
        <v>20.0</v>
      </c>
      <c r="E15" s="76">
        <v>9.0</v>
      </c>
      <c r="F15" s="76">
        <v>142.0</v>
      </c>
      <c r="G15" s="76">
        <v>3.9</v>
      </c>
      <c r="H15" s="76">
        <v>2.6</v>
      </c>
      <c r="I15" s="76">
        <v>1.2</v>
      </c>
      <c r="J15" s="76">
        <v>1.2</v>
      </c>
      <c r="K15" s="76">
        <v>6.6</v>
      </c>
      <c r="L15" s="76">
        <v>6.2</v>
      </c>
      <c r="M15" s="76">
        <v>6.2</v>
      </c>
      <c r="N15" s="76">
        <v>6.0</v>
      </c>
      <c r="O15" s="76">
        <v>3.6</v>
      </c>
      <c r="P15" s="76"/>
      <c r="Q15" s="310"/>
      <c r="R15" s="77">
        <f>'3'!Z21</f>
        <v>1750</v>
      </c>
      <c r="S15" s="76">
        <f>'3'!AB21</f>
        <v>96.95977471</v>
      </c>
      <c r="T15" s="77">
        <f>'3'!Y21</f>
        <v>3334</v>
      </c>
      <c r="U15" s="73" t="str">
        <f>IF('3'!AA21=1,'3'!AR6,'3'!AR7)</f>
        <v>S.A.L</v>
      </c>
      <c r="V15" s="43"/>
      <c r="W15" s="27"/>
      <c r="X15" s="54">
        <v>0.416666666666667</v>
      </c>
      <c r="Y15" s="125">
        <v>3391.0</v>
      </c>
      <c r="Z15" s="308">
        <v>1850.0</v>
      </c>
      <c r="AA15" s="56">
        <v>1.0</v>
      </c>
      <c r="AB15" s="58">
        <f>IF('3'!AA15=1,(('3'!Z15*'3'!$AS$6*'3'!$AT$6)/('3'!Y15*0.0036)),IF('3'!AA15=2,(('3'!Z15*'3'!$AS$7*'3'!$AT$7)/('3'!Y15*0.0036))))</f>
        <v>100.7773846</v>
      </c>
      <c r="AC15" s="58"/>
      <c r="AD15" s="59">
        <f>(('3'!AC15*'3'!$O$9*1000000))/('3'!Y15*3600)</f>
        <v>0</v>
      </c>
      <c r="AE15" s="60"/>
      <c r="AF15" s="61">
        <f>('3'!AE15/24)*0.454</f>
        <v>0</v>
      </c>
      <c r="AG15" s="60"/>
      <c r="AH15" s="61">
        <f>('3'!AG15/24)*0.454</f>
        <v>0</v>
      </c>
      <c r="AI15" s="308">
        <v>5200.0</v>
      </c>
      <c r="AJ15" s="61">
        <f>('3'!AI15/24)*0.454</f>
        <v>98.36666667</v>
      </c>
      <c r="AK15" s="62"/>
      <c r="AL15" s="63">
        <f>('3'!AK15/24)*0.454</f>
        <v>0</v>
      </c>
      <c r="AM15" s="62"/>
      <c r="AN15" s="63">
        <f>('3'!AM15/24)*0.454</f>
        <v>0</v>
      </c>
      <c r="AO15" s="62"/>
      <c r="AP15" s="63">
        <f>('3'!AO15/24)*0.454</f>
        <v>0</v>
      </c>
    </row>
    <row r="16" ht="18.75" customHeight="1">
      <c r="A16" s="69">
        <v>0.75</v>
      </c>
      <c r="B16" s="76">
        <v>317.0</v>
      </c>
      <c r="C16" s="76">
        <v>20.0</v>
      </c>
      <c r="D16" s="76">
        <v>20.0</v>
      </c>
      <c r="E16" s="76">
        <v>9.0</v>
      </c>
      <c r="F16" s="76">
        <v>137.0</v>
      </c>
      <c r="G16" s="76">
        <v>3.3</v>
      </c>
      <c r="H16" s="76">
        <v>2.5</v>
      </c>
      <c r="I16" s="76">
        <v>1.1</v>
      </c>
      <c r="J16" s="76">
        <v>1.1</v>
      </c>
      <c r="K16" s="76">
        <v>6.6</v>
      </c>
      <c r="L16" s="76">
        <v>6.2</v>
      </c>
      <c r="M16" s="76">
        <v>6.2</v>
      </c>
      <c r="N16" s="76">
        <v>6.0</v>
      </c>
      <c r="O16" s="76">
        <v>3.8</v>
      </c>
      <c r="P16" s="76"/>
      <c r="Q16" s="310"/>
      <c r="R16" s="77">
        <f>'3'!Z23</f>
        <v>1550</v>
      </c>
      <c r="S16" s="76">
        <f>'3'!AB23</f>
        <v>84.70989481</v>
      </c>
      <c r="T16" s="77">
        <f>'3'!Y23</f>
        <v>3380</v>
      </c>
      <c r="U16" s="73" t="str">
        <f>IF('3'!AA23=1,'3'!AR6,'3'!AR7)</f>
        <v>S.A.L</v>
      </c>
      <c r="V16" s="16"/>
      <c r="W16" s="18"/>
      <c r="X16" s="54">
        <v>0.458333333333333</v>
      </c>
      <c r="Y16" s="125">
        <v>3380.0</v>
      </c>
      <c r="Z16" s="308">
        <v>1750.0</v>
      </c>
      <c r="AA16" s="56">
        <v>1.0</v>
      </c>
      <c r="AB16" s="58">
        <f>IF('3'!AA16=1,(('3'!Z16*'3'!$AS$6*'3'!$AT$6)/('3'!Y16*0.0036)),IF('3'!AA16=2,(('3'!Z16*'3'!$AS$7*'3'!$AT$7)/('3'!Y16*0.0036))))</f>
        <v>95.64020381</v>
      </c>
      <c r="AC16" s="58"/>
      <c r="AD16" s="59">
        <f>(('3'!AC16*'3'!$O$9*1000000))/('3'!Y16*3600)</f>
        <v>0</v>
      </c>
      <c r="AE16" s="60"/>
      <c r="AF16" s="61">
        <f>('3'!AE16/24)*0.454</f>
        <v>0</v>
      </c>
      <c r="AG16" s="60"/>
      <c r="AH16" s="61">
        <f>('3'!AG16/24)*0.454</f>
        <v>0</v>
      </c>
      <c r="AI16" s="308">
        <v>5200.0</v>
      </c>
      <c r="AJ16" s="61">
        <f>('3'!AI16/24)*0.454</f>
        <v>98.36666667</v>
      </c>
      <c r="AK16" s="62"/>
      <c r="AL16" s="63">
        <f>('3'!AK16/24)*0.454</f>
        <v>0</v>
      </c>
      <c r="AM16" s="62"/>
      <c r="AN16" s="63">
        <f>('3'!AM16/24)*0.454</f>
        <v>0</v>
      </c>
      <c r="AO16" s="62"/>
      <c r="AP16" s="63">
        <f>('3'!AO16/24)*0.454</f>
        <v>0</v>
      </c>
    </row>
    <row r="17" ht="18.75" customHeight="1">
      <c r="A17" s="69">
        <v>0.833333333333333</v>
      </c>
      <c r="B17" s="76">
        <v>321.0</v>
      </c>
      <c r="C17" s="76">
        <v>18.0</v>
      </c>
      <c r="D17" s="76">
        <v>18.0</v>
      </c>
      <c r="E17" s="76">
        <v>8.0</v>
      </c>
      <c r="F17" s="76">
        <v>139.0</v>
      </c>
      <c r="G17" s="76">
        <v>3.3</v>
      </c>
      <c r="H17" s="76">
        <v>2.4</v>
      </c>
      <c r="I17" s="76">
        <v>1.0</v>
      </c>
      <c r="J17" s="76">
        <v>1.0</v>
      </c>
      <c r="K17" s="76">
        <v>6.6</v>
      </c>
      <c r="L17" s="76">
        <v>6.2</v>
      </c>
      <c r="M17" s="76">
        <v>6.2</v>
      </c>
      <c r="N17" s="76">
        <v>6.0</v>
      </c>
      <c r="O17" s="76">
        <v>3.8</v>
      </c>
      <c r="P17" s="76"/>
      <c r="Q17" s="310"/>
      <c r="R17" s="77">
        <f>'3'!Z25</f>
        <v>1550</v>
      </c>
      <c r="S17" s="76">
        <f>'3'!AB25</f>
        <v>84.70989481</v>
      </c>
      <c r="T17" s="77">
        <f>'3'!Y25</f>
        <v>3380</v>
      </c>
      <c r="U17" s="73" t="str">
        <f>IF('3'!AA25=1,'3'!AR6,'3'!AR7)</f>
        <v>S.A.L</v>
      </c>
      <c r="V17" s="90" t="str">
        <f>ESCALA!$C$5</f>
        <v/>
      </c>
      <c r="W17" s="89"/>
      <c r="X17" s="54">
        <v>0.5</v>
      </c>
      <c r="Y17" s="125">
        <v>3371.0</v>
      </c>
      <c r="Z17" s="308">
        <v>1750.0</v>
      </c>
      <c r="AA17" s="56">
        <v>1.0</v>
      </c>
      <c r="AB17" s="58">
        <f>IF('3'!AA17=1,(('3'!Z17*'3'!$AS$6*'3'!$AT$6)/('3'!Y17*0.0036)),IF('3'!AA17=2,(('3'!Z17*'3'!$AS$7*'3'!$AT$7)/('3'!Y17*0.0036))))</f>
        <v>95.89554699</v>
      </c>
      <c r="AC17" s="58"/>
      <c r="AD17" s="59">
        <f>(('3'!AC17*'3'!$O$9*1000000))/('3'!Y17*3600)</f>
        <v>0</v>
      </c>
      <c r="AE17" s="60"/>
      <c r="AF17" s="61">
        <f>('3'!AE17/24)*0.454</f>
        <v>0</v>
      </c>
      <c r="AG17" s="60"/>
      <c r="AH17" s="61">
        <f>('3'!AG17/24)*0.454</f>
        <v>0</v>
      </c>
      <c r="AI17" s="308">
        <v>5200.0</v>
      </c>
      <c r="AJ17" s="61">
        <f>('3'!AI17/24)*0.454</f>
        <v>98.36666667</v>
      </c>
      <c r="AK17" s="62"/>
      <c r="AL17" s="63">
        <f>('3'!AK17/24)*0.454</f>
        <v>0</v>
      </c>
      <c r="AM17" s="62"/>
      <c r="AN17" s="63">
        <f>('3'!AM17/24)*0.454</f>
        <v>0</v>
      </c>
      <c r="AO17" s="62"/>
      <c r="AP17" s="63">
        <f>('3'!AO17/24)*0.454</f>
        <v>0</v>
      </c>
    </row>
    <row r="18" ht="19.5" customHeight="1">
      <c r="A18" s="69">
        <v>0.916666666666667</v>
      </c>
      <c r="B18" s="76">
        <v>324.0</v>
      </c>
      <c r="C18" s="76">
        <v>18.0</v>
      </c>
      <c r="D18" s="76">
        <v>18.0</v>
      </c>
      <c r="E18" s="76">
        <v>8.0</v>
      </c>
      <c r="F18" s="76">
        <v>137.0</v>
      </c>
      <c r="G18" s="76">
        <v>3.1</v>
      </c>
      <c r="H18" s="76">
        <v>2.3</v>
      </c>
      <c r="I18" s="76">
        <v>0.9</v>
      </c>
      <c r="J18" s="76">
        <v>0.9</v>
      </c>
      <c r="K18" s="76">
        <v>6.6</v>
      </c>
      <c r="L18" s="76">
        <v>6.2</v>
      </c>
      <c r="M18" s="76">
        <v>6.2</v>
      </c>
      <c r="N18" s="76">
        <v>6.0</v>
      </c>
      <c r="O18" s="76">
        <v>3.8</v>
      </c>
      <c r="P18" s="76"/>
      <c r="Q18" s="310"/>
      <c r="R18" s="77">
        <f>'3'!Z27</f>
        <v>1550</v>
      </c>
      <c r="S18" s="76">
        <f>'3'!AB27</f>
        <v>84.83539095</v>
      </c>
      <c r="T18" s="77">
        <f>'3'!Y27</f>
        <v>3375</v>
      </c>
      <c r="U18" s="73" t="str">
        <f>IF('3'!AA27=1,'3'!AR6,'3'!AR7)</f>
        <v>S.A.L</v>
      </c>
      <c r="V18" s="16"/>
      <c r="W18" s="18"/>
      <c r="X18" s="54">
        <v>0.541666666666667</v>
      </c>
      <c r="Y18" s="125">
        <v>3372.0</v>
      </c>
      <c r="Z18" s="308">
        <v>1750.0</v>
      </c>
      <c r="AA18" s="56">
        <v>1.0</v>
      </c>
      <c r="AB18" s="58">
        <f>IF('3'!AA18=1,(('3'!Z18*'3'!$AS$6*'3'!$AT$6)/('3'!Y18*0.0036)),IF('3'!AA18=2,(('3'!Z18*'3'!$AS$7*'3'!$AT$7)/('3'!Y18*0.0036))))</f>
        <v>95.86710821</v>
      </c>
      <c r="AC18" s="58"/>
      <c r="AD18" s="59">
        <f>(('3'!AC18*'3'!$O$9*1000000))/('3'!Y18*3600)</f>
        <v>0</v>
      </c>
      <c r="AE18" s="60"/>
      <c r="AF18" s="61">
        <f>('3'!AE18/24)*0.454</f>
        <v>0</v>
      </c>
      <c r="AG18" s="60"/>
      <c r="AH18" s="61">
        <f>('3'!AG18/24)*0.454</f>
        <v>0</v>
      </c>
      <c r="AI18" s="308">
        <v>5200.0</v>
      </c>
      <c r="AJ18" s="61">
        <f>('3'!AI18/24)*0.454</f>
        <v>98.36666667</v>
      </c>
      <c r="AK18" s="62"/>
      <c r="AL18" s="63">
        <f>('3'!AK18/24)*0.454</f>
        <v>0</v>
      </c>
      <c r="AM18" s="62"/>
      <c r="AN18" s="63">
        <f>('3'!AM18/24)*0.454</f>
        <v>0</v>
      </c>
      <c r="AO18" s="62"/>
      <c r="AP18" s="63">
        <f>('3'!AO18/24)*0.454</f>
        <v>0</v>
      </c>
    </row>
    <row r="19" ht="18.75" customHeight="1">
      <c r="A19" s="51" t="s">
        <v>52</v>
      </c>
      <c r="B19" s="92">
        <f t="array" ref="B19">IF('3'!B7:B18&gt;0.01,AVERAGE('3'!B7:B18),"")</f>
        <v>301.9166667</v>
      </c>
      <c r="C19" s="92">
        <f t="array" ref="C19">IF('3'!C7:C18&gt;0.01,AVERAGE('3'!C7:C18),"")</f>
        <v>15.575</v>
      </c>
      <c r="D19" s="92">
        <f t="array" ref="D19">IF('3'!D7:D18&gt;0.01,AVERAGE('3'!D7:D18),"")</f>
        <v>14.275</v>
      </c>
      <c r="E19" s="92">
        <f t="array" ref="E19">IF('3'!E7:E18&gt;0.01,AVERAGE('3'!E7:E18),"")</f>
        <v>7.316666667</v>
      </c>
      <c r="F19" s="92">
        <f t="array" ref="F19">IF('3'!F7:F18&gt;0.01,AVERAGE('3'!F7:F18),"")</f>
        <v>166.3333333</v>
      </c>
      <c r="G19" s="92">
        <f t="array" ref="G19">IF('3'!G7:G18&gt;0.01,AVERAGE('3'!G7:G18),"")</f>
        <v>3.558333333</v>
      </c>
      <c r="H19" s="92">
        <f t="array" ref="H19">IF('3'!H7:H18&gt;0.01,AVERAGE('3'!H7:H18),"")</f>
        <v>2.225</v>
      </c>
      <c r="I19" s="92">
        <f t="array" ref="I19">IF('3'!I7:I18&gt;0.01,AVERAGE('3'!I7:I18),"")</f>
        <v>0.9525</v>
      </c>
      <c r="J19" s="92">
        <f t="array" ref="J19">IF('3'!J7:J18&gt;0.01,AVERAGE('3'!J7:J18),"")</f>
        <v>0.8666666667</v>
      </c>
      <c r="K19" s="92">
        <f t="array" ref="K19">IF('3'!K7:K18&gt;0.01,AVERAGE('3'!K7:K18),"")</f>
        <v>6.616666667</v>
      </c>
      <c r="L19" s="92">
        <f t="array" ref="L19">IF('3'!L7:L18&gt;0.01,AVERAGE('3'!L7:L18),"")</f>
        <v>6.225</v>
      </c>
      <c r="M19" s="92">
        <f t="array" ref="M19">IF('3'!M7:M18&gt;0.01,AVERAGE('3'!M7:M18),"")</f>
        <v>6.191666667</v>
      </c>
      <c r="N19" s="92">
        <f t="array" ref="N19">IF('3'!N7:N18&gt;0.01,AVERAGE('3'!N7:N18),"")</f>
        <v>6.033333333</v>
      </c>
      <c r="O19" s="92">
        <f t="array" ref="O19">IF('3'!O7:O18&gt;0.01,AVERAGE('3'!O7:O18),"")</f>
        <v>3.65</v>
      </c>
      <c r="P19" s="93" t="str">
        <f t="array" ref="P19">IF('3'!P7:P18&gt;0.01,AVERAGE('3'!P7:P18),"")</f>
        <v/>
      </c>
      <c r="Q19" s="94" t="str">
        <f t="array" ref="Q19">IF('3'!Q7:Q18&gt;0.01,AVERAGE('3'!Q7:Q18),"")</f>
        <v/>
      </c>
      <c r="R19" s="94">
        <f t="array" ref="R19">IF('3'!R7:R18&gt;0.01,AVERAGE('3'!R7:R18),"")</f>
        <v>1750</v>
      </c>
      <c r="S19" s="94">
        <f t="array" ref="S19">IF('3'!S7:S18&gt;0.01,AVERAGE('3'!S7:S18),"")</f>
        <v>95.51766254</v>
      </c>
      <c r="T19" s="95"/>
      <c r="U19" s="96"/>
      <c r="V19" s="97"/>
      <c r="W19" s="97"/>
      <c r="X19" s="54">
        <v>0.583333333333333</v>
      </c>
      <c r="Y19" s="125">
        <v>3364.0</v>
      </c>
      <c r="Z19" s="308">
        <v>1750.0</v>
      </c>
      <c r="AA19" s="56">
        <v>1.0</v>
      </c>
      <c r="AB19" s="58">
        <f>IF('3'!AA19=1,(('3'!Z19*'3'!$AS$6*'3'!$AT$6)/('3'!Y19*0.0036)),IF('3'!AA19=2,(('3'!Z19*'3'!$AS$7*'3'!$AT$7)/('3'!Y19*0.0036))))</f>
        <v>96.09509182</v>
      </c>
      <c r="AC19" s="58"/>
      <c r="AD19" s="59">
        <f>(('3'!AC19*'3'!$O$9*1000000))/('3'!Y19*3600)</f>
        <v>0</v>
      </c>
      <c r="AE19" s="60"/>
      <c r="AF19" s="61">
        <f>('3'!AE19/24)*0.454</f>
        <v>0</v>
      </c>
      <c r="AG19" s="60"/>
      <c r="AH19" s="61">
        <f>('3'!AG19/24)*0.454</f>
        <v>0</v>
      </c>
      <c r="AI19" s="308">
        <v>5200.0</v>
      </c>
      <c r="AJ19" s="61">
        <f>('3'!AI19/24)*0.454</f>
        <v>98.36666667</v>
      </c>
      <c r="AK19" s="62"/>
      <c r="AL19" s="63">
        <f>('3'!AK19/24)*0.454</f>
        <v>0</v>
      </c>
      <c r="AM19" s="62"/>
      <c r="AN19" s="63">
        <f>('3'!AM19/24)*0.454</f>
        <v>0</v>
      </c>
      <c r="AO19" s="62"/>
      <c r="AP19" s="63">
        <f>('3'!AO19/24)*0.454</f>
        <v>0</v>
      </c>
    </row>
    <row r="20" ht="18.75" customHeight="1">
      <c r="A20" s="51" t="s">
        <v>53</v>
      </c>
      <c r="B20" s="92">
        <f>MAX('3'!B7:B18)</f>
        <v>324</v>
      </c>
      <c r="C20" s="92">
        <f>MAX('3'!C7:C18)</f>
        <v>20</v>
      </c>
      <c r="D20" s="92">
        <f>MAX('3'!D7:D18)</f>
        <v>20</v>
      </c>
      <c r="E20" s="92">
        <f>MAX('3'!E7:E18)</f>
        <v>11</v>
      </c>
      <c r="F20" s="92">
        <f>MAX('3'!F7:F18)</f>
        <v>226</v>
      </c>
      <c r="G20" s="92">
        <f>MAX('3'!G7:G18)</f>
        <v>4.9</v>
      </c>
      <c r="H20" s="92">
        <f>MAX('3'!H7:H18)</f>
        <v>2.8</v>
      </c>
      <c r="I20" s="92">
        <f>MAX('3'!I7:I18)</f>
        <v>1.3</v>
      </c>
      <c r="J20" s="92">
        <f>MAX('3'!J7:J18)</f>
        <v>1.2</v>
      </c>
      <c r="K20" s="92">
        <f>MAX('3'!K7:K18)</f>
        <v>6.7</v>
      </c>
      <c r="L20" s="92">
        <f>MAX('3'!L7:L18)</f>
        <v>6.4</v>
      </c>
      <c r="M20" s="92">
        <f>MAX('3'!M7:M18)</f>
        <v>6.3</v>
      </c>
      <c r="N20" s="92">
        <f>MAX('3'!N7:N18)</f>
        <v>6.2</v>
      </c>
      <c r="O20" s="98">
        <f>MAX('3'!O7:O18)</f>
        <v>3.8</v>
      </c>
      <c r="P20" s="98">
        <f>MAX('3'!P7:P18)</f>
        <v>0</v>
      </c>
      <c r="Q20" s="98">
        <f>MAX('3'!Q7:Q18)</f>
        <v>0</v>
      </c>
      <c r="R20" s="98">
        <f>MAX('3'!R7:R18)</f>
        <v>1850</v>
      </c>
      <c r="S20" s="98">
        <f>MAX('3'!S7:S18)</f>
        <v>100.7773846</v>
      </c>
      <c r="T20" s="99"/>
      <c r="U20" s="21"/>
      <c r="X20" s="54">
        <v>0.625</v>
      </c>
      <c r="Y20" s="125">
        <v>3369.0</v>
      </c>
      <c r="Z20" s="308">
        <v>1750.0</v>
      </c>
      <c r="AA20" s="56">
        <v>1.0</v>
      </c>
      <c r="AB20" s="58">
        <f>IF('3'!AA20=1,(('3'!Z20*'3'!$AS$6*'3'!$AT$6)/('3'!Y20*0.0036)),IF('3'!AA20=2,(('3'!Z20*'3'!$AS$7*'3'!$AT$7)/('3'!Y20*0.0036))))</f>
        <v>95.95247518</v>
      </c>
      <c r="AC20" s="58"/>
      <c r="AD20" s="59">
        <f>(('3'!AC20*'3'!$O$9*1000000))/('3'!Y20*3600)</f>
        <v>0</v>
      </c>
      <c r="AE20" s="60"/>
      <c r="AF20" s="61">
        <f>('3'!AE20/24)*0.454</f>
        <v>0</v>
      </c>
      <c r="AG20" s="60"/>
      <c r="AH20" s="61">
        <f>('3'!AG20/24)*0.454</f>
        <v>0</v>
      </c>
      <c r="AI20" s="308">
        <v>5200.0</v>
      </c>
      <c r="AJ20" s="61">
        <f>('3'!AI20/24)*0.454</f>
        <v>98.36666667</v>
      </c>
      <c r="AK20" s="62"/>
      <c r="AL20" s="63">
        <f>('3'!AK20/24)*0.454</f>
        <v>0</v>
      </c>
      <c r="AM20" s="62"/>
      <c r="AN20" s="63">
        <f>('3'!AM20/24)*0.454</f>
        <v>0</v>
      </c>
      <c r="AO20" s="62"/>
      <c r="AP20" s="63">
        <f>('3'!AO20/24)*0.454</f>
        <v>0</v>
      </c>
    </row>
    <row r="21" ht="19.5" customHeight="1">
      <c r="A21" s="51" t="s">
        <v>54</v>
      </c>
      <c r="B21" s="91">
        <f>MIN('3'!B7:B18)</f>
        <v>246</v>
      </c>
      <c r="C21" s="92">
        <f>MIN('3'!C7:C18)</f>
        <v>9.9</v>
      </c>
      <c r="D21" s="92">
        <f>MIN('3'!D7:D18)</f>
        <v>7.2</v>
      </c>
      <c r="E21" s="92">
        <f>MIN('3'!E7:E18)</f>
        <v>3</v>
      </c>
      <c r="F21" s="92">
        <f>MIN('3'!F7:F18)</f>
        <v>137</v>
      </c>
      <c r="G21" s="100">
        <f>MIN('3'!G7:G18)</f>
        <v>2.7</v>
      </c>
      <c r="H21" s="100">
        <f>MIN('3'!H7:H18)</f>
        <v>1.5</v>
      </c>
      <c r="I21" s="100">
        <f>MIN('3'!I7:I18)</f>
        <v>0.6</v>
      </c>
      <c r="J21" s="100">
        <f>MIN('3'!J7:J18)</f>
        <v>0.5</v>
      </c>
      <c r="K21" s="100">
        <f>MIN('3'!K7:K18)</f>
        <v>6.6</v>
      </c>
      <c r="L21" s="100">
        <f>MIN('3'!L7:L18)</f>
        <v>6.1</v>
      </c>
      <c r="M21" s="100">
        <f>MIN('3'!M7:M18)</f>
        <v>6.1</v>
      </c>
      <c r="N21" s="100">
        <f>MIN('3'!N7:N18)</f>
        <v>6</v>
      </c>
      <c r="O21" s="101">
        <f>MIN('3'!O7:O18)</f>
        <v>3.6</v>
      </c>
      <c r="P21" s="101">
        <f>MIN('3'!P7:P18)</f>
        <v>0</v>
      </c>
      <c r="Q21" s="101">
        <f>MIN('3'!Q7:Q18)</f>
        <v>0</v>
      </c>
      <c r="R21" s="101">
        <f>MIN('3'!R7:R18)</f>
        <v>1550</v>
      </c>
      <c r="S21" s="101">
        <f>MIN('3'!S7:S18)</f>
        <v>84.70989481</v>
      </c>
      <c r="T21" s="99"/>
      <c r="U21" s="21"/>
      <c r="X21" s="54">
        <v>0.666666666666667</v>
      </c>
      <c r="Y21" s="125">
        <v>3334.0</v>
      </c>
      <c r="Z21" s="308">
        <v>1750.0</v>
      </c>
      <c r="AA21" s="56">
        <v>1.0</v>
      </c>
      <c r="AB21" s="58">
        <f>IF('3'!AA21=1,(('3'!Z21*'3'!$AS$6*'3'!$AT$6)/('3'!Y21*0.0036)),IF('3'!AA21=2,(('3'!Z21*'3'!$AS$7*'3'!$AT$7)/('3'!Y21*0.0036))))</f>
        <v>96.95977471</v>
      </c>
      <c r="AC21" s="58"/>
      <c r="AD21" s="59">
        <f>(('3'!AC21*'3'!$O$9*1000000))/('3'!Y21*3600)</f>
        <v>0</v>
      </c>
      <c r="AE21" s="60"/>
      <c r="AF21" s="61">
        <f>('3'!AE21/24)*0.454</f>
        <v>0</v>
      </c>
      <c r="AG21" s="60"/>
      <c r="AH21" s="61">
        <f>('3'!AG21/24)*0.454</f>
        <v>0</v>
      </c>
      <c r="AI21" s="308">
        <v>5200.0</v>
      </c>
      <c r="AJ21" s="61">
        <f>('3'!AI21/24)*0.454</f>
        <v>98.36666667</v>
      </c>
      <c r="AK21" s="62"/>
      <c r="AL21" s="63">
        <f>('3'!AK21/24)*0.454</f>
        <v>0</v>
      </c>
      <c r="AM21" s="62"/>
      <c r="AN21" s="63">
        <f>('3'!AM21/24)*0.454</f>
        <v>0</v>
      </c>
      <c r="AO21" s="62"/>
      <c r="AP21" s="63">
        <f>('3'!AO21/24)*0.454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3420.0</v>
      </c>
      <c r="Z22" s="308">
        <v>1550.0</v>
      </c>
      <c r="AA22" s="56">
        <v>1.0</v>
      </c>
      <c r="AB22" s="58">
        <f>IF('3'!AA22=1,(('3'!Z22*'3'!$AS$6*'3'!$AT$6)/('3'!Y22*0.0036)),IF('3'!AA22=2,(('3'!Z22*'3'!$AS$7*'3'!$AT$7)/('3'!Y22*0.0036))))</f>
        <v>83.7191358</v>
      </c>
      <c r="AC22" s="58"/>
      <c r="AD22" s="59">
        <f>(('3'!AC22*'3'!$O$9*1000000))/('3'!Y22*3600)</f>
        <v>0</v>
      </c>
      <c r="AE22" s="60"/>
      <c r="AF22" s="61">
        <f>('3'!AE22/24)*0.454</f>
        <v>0</v>
      </c>
      <c r="AG22" s="60"/>
      <c r="AH22" s="61">
        <f>('3'!AG22/24)*0.454</f>
        <v>0</v>
      </c>
      <c r="AI22" s="308">
        <v>5000.0</v>
      </c>
      <c r="AJ22" s="61">
        <f>('3'!AI22/24)*0.454</f>
        <v>94.58333333</v>
      </c>
      <c r="AK22" s="62"/>
      <c r="AL22" s="63">
        <f>('3'!AK22/24)*0.454</f>
        <v>0</v>
      </c>
      <c r="AM22" s="62"/>
      <c r="AN22" s="63">
        <f>('3'!AM22/24)*0.454</f>
        <v>0</v>
      </c>
      <c r="AO22" s="62"/>
      <c r="AP22" s="63">
        <f>('3'!AO22/24)*0.454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3380.0</v>
      </c>
      <c r="Z23" s="308">
        <v>1550.0</v>
      </c>
      <c r="AA23" s="56">
        <v>1.0</v>
      </c>
      <c r="AB23" s="58">
        <f>IF('3'!AA23=1,(('3'!Z23*'3'!$AS$6*'3'!$AT$6)/('3'!Y23*0.0036)),IF('3'!AA23=2,(('3'!Z23*'3'!$AS$7*'3'!$AT$7)/('3'!Y23*0.0036))))</f>
        <v>84.70989481</v>
      </c>
      <c r="AC23" s="58"/>
      <c r="AD23" s="59">
        <f>(('3'!AC23*'3'!$O$9*1000000))/('3'!Y23*3600)</f>
        <v>0</v>
      </c>
      <c r="AE23" s="60"/>
      <c r="AF23" s="61">
        <f>('3'!AE23/24)*0.454</f>
        <v>0</v>
      </c>
      <c r="AG23" s="60"/>
      <c r="AH23" s="61">
        <f>('3'!AG23/24)*0.454</f>
        <v>0</v>
      </c>
      <c r="AI23" s="308">
        <v>5000.0</v>
      </c>
      <c r="AJ23" s="61">
        <f>('3'!AI23/24)*0.454</f>
        <v>94.58333333</v>
      </c>
      <c r="AK23" s="62"/>
      <c r="AL23" s="63">
        <f>('3'!AK23/24)*0.454</f>
        <v>0</v>
      </c>
      <c r="AM23" s="62"/>
      <c r="AN23" s="63">
        <f>('3'!AM23/24)*0.454</f>
        <v>0</v>
      </c>
      <c r="AO23" s="62"/>
      <c r="AP23" s="63">
        <f>('3'!AO23/24)*0.454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3420.0</v>
      </c>
      <c r="Z24" s="308">
        <v>1550.0</v>
      </c>
      <c r="AA24" s="56">
        <v>1.0</v>
      </c>
      <c r="AB24" s="57">
        <f>IF('3'!AA24=1,(('3'!Z24*'3'!$AS$6*'3'!$AT$6)/('3'!Y24*0.0036)),IF('3'!AA24=2,(('3'!Z24*'3'!$AS$7*'3'!$AT$7)/('3'!Y24*0.0036))))</f>
        <v>83.7191358</v>
      </c>
      <c r="AC24" s="57"/>
      <c r="AD24" s="154">
        <f>(('3'!AC24*'3'!$O$9*1000000))/('3'!Y24*3600)</f>
        <v>0</v>
      </c>
      <c r="AE24" s="60"/>
      <c r="AF24" s="311">
        <f>('3'!AE24/24)*0.454</f>
        <v>0</v>
      </c>
      <c r="AG24" s="125"/>
      <c r="AH24" s="311">
        <f>('3'!AG24/24)*0.454</f>
        <v>0</v>
      </c>
      <c r="AI24" s="308">
        <v>5000.0</v>
      </c>
      <c r="AJ24" s="311">
        <f>('3'!AI24/24)*0.454</f>
        <v>94.58333333</v>
      </c>
      <c r="AK24" s="62"/>
      <c r="AL24" s="110">
        <f>('3'!AK24/24)*0.454</f>
        <v>0</v>
      </c>
      <c r="AM24" s="312"/>
      <c r="AN24" s="110">
        <f>('3'!AM24/24)*0.454</f>
        <v>0</v>
      </c>
      <c r="AO24" s="62"/>
      <c r="AP24" s="110">
        <f>('3'!AO24/24)*0.454</f>
        <v>0</v>
      </c>
    </row>
    <row r="25" ht="19.5" customHeight="1">
      <c r="A25" s="111">
        <v>0.416666666666667</v>
      </c>
      <c r="B25" s="313">
        <v>1.13</v>
      </c>
      <c r="C25" s="313">
        <v>1.16</v>
      </c>
      <c r="D25" s="313">
        <v>1.09</v>
      </c>
      <c r="E25" s="313">
        <v>0.96</v>
      </c>
      <c r="F25" s="313">
        <v>1.05</v>
      </c>
      <c r="G25" s="313" t="s">
        <v>132</v>
      </c>
      <c r="H25" s="313">
        <v>1.31</v>
      </c>
      <c r="I25" s="313">
        <v>1.29</v>
      </c>
      <c r="J25" s="313" t="s">
        <v>132</v>
      </c>
      <c r="K25" s="313">
        <v>0.81</v>
      </c>
      <c r="L25" s="313">
        <v>0.72</v>
      </c>
      <c r="M25" s="313">
        <v>0.79</v>
      </c>
      <c r="N25" s="313">
        <v>1.01</v>
      </c>
      <c r="O25" s="313">
        <v>0.73</v>
      </c>
      <c r="P25" s="313">
        <v>0.84</v>
      </c>
      <c r="Q25" s="313" t="s">
        <v>132</v>
      </c>
      <c r="R25" s="112" t="str">
        <f t="shared" ref="R25:R26" si="1">#DIV/0!</f>
        <v>#DIV/0!</v>
      </c>
      <c r="S25" s="113"/>
      <c r="T25" s="114" t="s">
        <v>0</v>
      </c>
      <c r="U25" s="115">
        <f>ESCALA!$A$5</f>
        <v>43924</v>
      </c>
      <c r="X25" s="54">
        <v>0.833333333333333</v>
      </c>
      <c r="Y25" s="125">
        <v>3380.0</v>
      </c>
      <c r="Z25" s="308">
        <v>1550.0</v>
      </c>
      <c r="AA25" s="56">
        <v>1.0</v>
      </c>
      <c r="AB25" s="58">
        <f>IF('3'!AA25=1,(('3'!Z25*'3'!$AS$6*'3'!$AT$6)/('3'!Y25*0.0036)),IF('3'!AA25=2,(('3'!Z25*'3'!$AS$7*'3'!$AT$7)/('3'!Y25*0.0036))))</f>
        <v>84.70989481</v>
      </c>
      <c r="AC25" s="58"/>
      <c r="AD25" s="59">
        <f>(('3'!AC25*'3'!$O$9*1000000))/('3'!Y25*3600)</f>
        <v>0</v>
      </c>
      <c r="AE25" s="60"/>
      <c r="AF25" s="61">
        <f>('3'!AE25/24)*0.454</f>
        <v>0</v>
      </c>
      <c r="AG25" s="60"/>
      <c r="AH25" s="61">
        <f>('3'!AG25/24)*0.454</f>
        <v>0</v>
      </c>
      <c r="AI25" s="308">
        <v>5000.0</v>
      </c>
      <c r="AJ25" s="61">
        <f>('3'!AI25/24)*0.454</f>
        <v>94.58333333</v>
      </c>
      <c r="AK25" s="62"/>
      <c r="AL25" s="63">
        <f>('3'!AK25/24)*0.454</f>
        <v>0</v>
      </c>
      <c r="AM25" s="62"/>
      <c r="AN25" s="63">
        <f>('3'!AM25/24)*0.454</f>
        <v>0</v>
      </c>
      <c r="AO25" s="62"/>
      <c r="AP25" s="63">
        <f>('3'!AO25/24)*0.454</f>
        <v>0</v>
      </c>
    </row>
    <row r="26" ht="19.5" customHeight="1">
      <c r="A26" s="111">
        <v>0.666666666666667</v>
      </c>
      <c r="B26" s="156"/>
      <c r="C26" s="156"/>
      <c r="D26" s="323"/>
      <c r="E26" s="323"/>
      <c r="F26" s="323"/>
      <c r="G26" s="323"/>
      <c r="H26" s="156"/>
      <c r="I26" s="156"/>
      <c r="J26" s="156"/>
      <c r="K26" s="108"/>
      <c r="L26" s="108"/>
      <c r="M26" s="108"/>
      <c r="N26" s="315"/>
      <c r="O26" s="315"/>
      <c r="P26" s="315"/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3371.0</v>
      </c>
      <c r="Z26" s="308">
        <v>1550.0</v>
      </c>
      <c r="AA26" s="56">
        <v>1.0</v>
      </c>
      <c r="AB26" s="58">
        <f>IF('3'!AA26=1,(('3'!Z26*'3'!$AS$6*'3'!$AT$6)/('3'!Y26*0.0036)),IF('3'!AA26=2,(('3'!Z26*'3'!$AS$7*'3'!$AT$7)/('3'!Y26*0.0036))))</f>
        <v>84.9360559</v>
      </c>
      <c r="AC26" s="58"/>
      <c r="AD26" s="59">
        <f>(('3'!AC26*'3'!$O$9*1000000))/('3'!Y26*3600)</f>
        <v>0</v>
      </c>
      <c r="AE26" s="60"/>
      <c r="AF26" s="61">
        <f>('3'!AE26/24)*0.454</f>
        <v>0</v>
      </c>
      <c r="AG26" s="60"/>
      <c r="AH26" s="61">
        <f>('3'!AG26/24)*0.454</f>
        <v>0</v>
      </c>
      <c r="AI26" s="308">
        <v>5000.0</v>
      </c>
      <c r="AJ26" s="61">
        <f>('3'!AI26/24)*0.454</f>
        <v>94.58333333</v>
      </c>
      <c r="AK26" s="62"/>
      <c r="AL26" s="63">
        <f>('3'!AK26/24)*0.454</f>
        <v>0</v>
      </c>
      <c r="AM26" s="62"/>
      <c r="AN26" s="63">
        <f>('3'!AM26/24)*0.454</f>
        <v>0</v>
      </c>
      <c r="AO26" s="62"/>
      <c r="AP26" s="63">
        <f>('3'!AO26/24)*0.454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3375.0</v>
      </c>
      <c r="Z27" s="308">
        <v>1550.0</v>
      </c>
      <c r="AA27" s="56">
        <v>1.0</v>
      </c>
      <c r="AB27" s="58">
        <f>IF('3'!AA27=1,(('3'!Z27*'3'!$AS$6*'3'!$AT$6)/('3'!Y27*0.0036)),IF('3'!AA27=2,(('3'!Z27*'3'!$AS$7*'3'!$AT$7)/('3'!Y27*0.0036))))</f>
        <v>84.83539095</v>
      </c>
      <c r="AC27" s="58"/>
      <c r="AD27" s="59">
        <f>(('3'!AC27*'3'!$O$9*1000000))/('3'!Y27*3600)</f>
        <v>0</v>
      </c>
      <c r="AE27" s="60"/>
      <c r="AF27" s="61">
        <f>('3'!AE27/24)*0.454</f>
        <v>0</v>
      </c>
      <c r="AG27" s="60"/>
      <c r="AH27" s="61">
        <f>('3'!AG27/24)*0.454</f>
        <v>0</v>
      </c>
      <c r="AI27" s="308">
        <v>5000.0</v>
      </c>
      <c r="AJ27" s="61">
        <f>('3'!AI27/24)*0.454</f>
        <v>94.58333333</v>
      </c>
      <c r="AK27" s="62"/>
      <c r="AL27" s="63">
        <f>('3'!AK27/24)*0.454</f>
        <v>0</v>
      </c>
      <c r="AM27" s="62"/>
      <c r="AN27" s="63">
        <f>('3'!AM27/24)*0.454</f>
        <v>0</v>
      </c>
      <c r="AO27" s="62"/>
      <c r="AP27" s="63">
        <f>('3'!AO27/24)*0.454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3372.0</v>
      </c>
      <c r="Z28" s="308">
        <v>1550.0</v>
      </c>
      <c r="AA28" s="56">
        <v>1.0</v>
      </c>
      <c r="AB28" s="58">
        <f>IF('3'!AA28=1,(('3'!Z28*'3'!$AS$6*'3'!$AT$6)/('3'!Y28*0.0036)),IF('3'!AA28=2,(('3'!Z28*'3'!$AS$7*'3'!$AT$7)/('3'!Y28*0.0036))))</f>
        <v>84.91086727</v>
      </c>
      <c r="AC28" s="58"/>
      <c r="AD28" s="59">
        <f>(('3'!AC28*'3'!$O$9*1000000))/('3'!Y28*3600)</f>
        <v>0</v>
      </c>
      <c r="AE28" s="60"/>
      <c r="AF28" s="61">
        <f>('3'!AE28/24)*0.454</f>
        <v>0</v>
      </c>
      <c r="AG28" s="60"/>
      <c r="AH28" s="61">
        <f>('3'!AG28/24)*0.454</f>
        <v>0</v>
      </c>
      <c r="AI28" s="308">
        <v>5000.0</v>
      </c>
      <c r="AJ28" s="61">
        <f>('3'!AI28/24)*0.454</f>
        <v>94.58333333</v>
      </c>
      <c r="AK28" s="62"/>
      <c r="AL28" s="63">
        <f>('3'!AK28/24)*0.454</f>
        <v>0</v>
      </c>
      <c r="AM28" s="62"/>
      <c r="AN28" s="63">
        <f>('3'!AM28/24)*0.454</f>
        <v>0</v>
      </c>
      <c r="AO28" s="62"/>
      <c r="AP28" s="63">
        <f>('3'!AO28/24)*0.454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3349.0</v>
      </c>
      <c r="Z29" s="308">
        <v>1550.0</v>
      </c>
      <c r="AA29" s="56">
        <v>1.0</v>
      </c>
      <c r="AB29" s="58">
        <f>IF('3'!AA29=1,(('3'!Z29*'3'!$AS$6*'3'!$AT$6)/('3'!Y29*0.0036)),IF('3'!AA29=2,(('3'!Z29*'3'!$AS$7*'3'!$AT$7)/('3'!Y29*0.0036))))</f>
        <v>85.49401148</v>
      </c>
      <c r="AC29" s="58"/>
      <c r="AD29" s="59">
        <f>(('3'!AC29*'3'!$O$9*1000000))/('3'!Y29*3600)</f>
        <v>0</v>
      </c>
      <c r="AE29" s="60"/>
      <c r="AF29" s="61">
        <f>('3'!AE29/24)*0.454</f>
        <v>0</v>
      </c>
      <c r="AG29" s="60"/>
      <c r="AH29" s="61">
        <f>('3'!AG29/24)*0.454</f>
        <v>0</v>
      </c>
      <c r="AI29" s="308">
        <v>5000.0</v>
      </c>
      <c r="AJ29" s="61">
        <f>('3'!AI29/24)*0.454</f>
        <v>94.58333333</v>
      </c>
      <c r="AK29" s="62"/>
      <c r="AL29" s="63">
        <f>('3'!AK29/24)*0.454</f>
        <v>0</v>
      </c>
      <c r="AM29" s="62"/>
      <c r="AN29" s="63">
        <f>('3'!AM29/24)*0.454</f>
        <v>0</v>
      </c>
      <c r="AO29" s="62"/>
      <c r="AP29" s="63">
        <f>('3'!AO29/24)*0.454</f>
        <v>0</v>
      </c>
    </row>
    <row r="30" ht="18.75" customHeight="1">
      <c r="A30" s="43"/>
      <c r="U30" s="27"/>
      <c r="X30" s="130" t="s">
        <v>55</v>
      </c>
      <c r="Y30" s="131">
        <f>SUM('3'!Y6:Y29)*3.6</f>
        <v>292431.6</v>
      </c>
      <c r="Z30" s="132">
        <f>SUM('3'!Z6:Z29)</f>
        <v>41400</v>
      </c>
      <c r="AA30" s="133"/>
      <c r="AB30" s="132"/>
      <c r="AC30" s="133"/>
      <c r="AD30" s="132"/>
      <c r="AE30" s="60"/>
      <c r="AF30" s="61">
        <f>SUM('3'!AF6:AF29)</f>
        <v>0</v>
      </c>
      <c r="AG30" s="60"/>
      <c r="AH30" s="61">
        <f>SUM('3'!AH6:AH29)</f>
        <v>0</v>
      </c>
      <c r="AI30" s="60"/>
      <c r="AJ30" s="61">
        <f>SUM('3'!AJ6:AJ29)</f>
        <v>2330.533333</v>
      </c>
      <c r="AK30" s="62"/>
      <c r="AL30" s="63">
        <f>SUM('3'!AL6:AL29)</f>
        <v>0</v>
      </c>
      <c r="AM30" s="62"/>
      <c r="AN30" s="63">
        <f>SUM('3'!AN6:AN29)</f>
        <v>0</v>
      </c>
      <c r="AO30" s="62"/>
      <c r="AP30" s="63">
        <f>SUM('3'!AP6:AP29)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SUMIF('3'!AA6:AA29,"=1",'3'!Z6:Z29)</f>
        <v>41400</v>
      </c>
      <c r="AA32" s="132">
        <f>'3'!Z32*'3'!AS6</f>
        <v>55062</v>
      </c>
      <c r="AB32" s="139">
        <f>SUMIF('3'!$AA$6:$AA$29,"=1",'3'!$AB$6:$AB$29)/COUNTIF('3'!$AA$6:$AA$29,"=1")</f>
        <v>94.13855076</v>
      </c>
      <c r="AC32" s="140">
        <f>SUMIF('3'!AA6:AA29,"=1",'3'!AC6:AC29)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SUMIF('3'!AA6:AA29,"=2",'3'!Z6:Z29)</f>
        <v>0</v>
      </c>
      <c r="AA33" s="132">
        <f>'3'!Z33*'3'!AS7</f>
        <v>0</v>
      </c>
      <c r="AB33" s="139" t="str">
        <f>SUMIF('3'!$AA$6:$AA$29,"=2",'3'!$AB$6:$AB$29)/COUNTIF('3'!$AA$6:$AA$29,"=2")</f>
        <v>#DIV/0!</v>
      </c>
      <c r="AC33" s="145">
        <f>SUMIF('3'!AA6:AA29,"=2",'3'!AC6:AC29)</f>
        <v>0</v>
      </c>
      <c r="AD33" s="145"/>
      <c r="AE33" s="146"/>
      <c r="AF33" s="147"/>
      <c r="AG33" s="146"/>
      <c r="AH33" s="147"/>
      <c r="AI33" s="146"/>
      <c r="AJ33" s="148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AVERAGE('3'!Y6:Y29)</f>
        <v>3384.625</v>
      </c>
      <c r="Z34" s="56">
        <f>AVERAGE('3'!Z6:Z29)</f>
        <v>1725</v>
      </c>
      <c r="AA34" s="152"/>
      <c r="AB34" s="152"/>
      <c r="AC34" s="153" t="str">
        <f>SUM('3'!AC6:AC29)/COUNTIF('3'!AC6:AC29,"&lt;&gt;0")</f>
        <v>#DIV/0!</v>
      </c>
      <c r="AD34" s="154" t="str">
        <f>SUM('3'!AD6:AD29)/COUNTIF('3'!AD6:AD29,"&lt;&gt;0")</f>
        <v>#DIV/0!</v>
      </c>
      <c r="AE34" s="133"/>
      <c r="AF34" s="153">
        <f>AVERAGE('3'!AF6:AF29)</f>
        <v>0</v>
      </c>
      <c r="AG34" s="153"/>
      <c r="AH34" s="153">
        <f>AVERAGE('3'!AH6:AH29)</f>
        <v>0</v>
      </c>
      <c r="AI34" s="153"/>
      <c r="AJ34" s="153">
        <f>'3'!AJ30/24</f>
        <v>97.10555556</v>
      </c>
      <c r="AK34" s="153"/>
      <c r="AL34" s="153">
        <f>AVERAGE('3'!AL6:AL29)</f>
        <v>0</v>
      </c>
      <c r="AM34" s="153"/>
      <c r="AN34" s="153">
        <f>AVERAGE('3'!AN6:AN29)</f>
        <v>0</v>
      </c>
      <c r="AO34" s="153"/>
      <c r="AP34" s="153">
        <f>AVERAGE('3'!AP6:AP29)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128"/>
      <c r="AJ35" s="335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336" t="s">
        <v>73</v>
      </c>
      <c r="Y36" s="163">
        <v>3436.0</v>
      </c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156">
        <v>72.3</v>
      </c>
      <c r="D37" s="156">
        <v>48.2</v>
      </c>
      <c r="E37" s="323">
        <v>33.1</v>
      </c>
      <c r="F37" s="323">
        <v>1.0</v>
      </c>
      <c r="G37" s="323">
        <v>0.2</v>
      </c>
      <c r="H37" s="323">
        <v>0.2</v>
      </c>
      <c r="I37" s="156">
        <v>0.1</v>
      </c>
      <c r="J37" s="156">
        <v>0.0</v>
      </c>
      <c r="K37" s="156">
        <v>0.0</v>
      </c>
      <c r="L37" s="109"/>
      <c r="M37" s="106"/>
      <c r="N37" s="157"/>
      <c r="O37" s="51"/>
      <c r="P37" s="51"/>
      <c r="Q37" s="51"/>
      <c r="R37" s="51"/>
      <c r="S37" s="51"/>
      <c r="T37" s="51"/>
      <c r="U37" s="337" t="str">
        <f>'3'!V12</f>
        <v/>
      </c>
      <c r="X37" s="338" t="s">
        <v>75</v>
      </c>
      <c r="Y37" s="128"/>
      <c r="Z37" s="170">
        <f>COUNTA('3'!Z6:Z29)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6" t="s">
        <v>78</v>
      </c>
      <c r="AK38" s="180">
        <f>SUM('3'!AF30+'3'!AH30)</f>
        <v>0</v>
      </c>
      <c r="AL38" s="176" t="s">
        <v>78</v>
      </c>
      <c r="AM38" s="179">
        <f>SUM('3'!AL30+'3'!AN30)</f>
        <v>0</v>
      </c>
      <c r="AO38" s="176" t="s">
        <v>78</v>
      </c>
      <c r="AP38" s="180">
        <f>'3'!AJ30</f>
        <v>2330.533333</v>
      </c>
      <c r="AQ38" s="176" t="s">
        <v>78</v>
      </c>
      <c r="AR38" s="179">
        <f>'3'!AP30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191" t="s">
        <v>86</v>
      </c>
      <c r="AK39" s="326">
        <f>('3'!AK38/'3'!Y30)*1000</f>
        <v>0</v>
      </c>
      <c r="AL39" s="191" t="s">
        <v>86</v>
      </c>
      <c r="AM39" s="328">
        <f>('3'!AM38/'3'!Y28)*1000</f>
        <v>0</v>
      </c>
      <c r="AO39" s="191" t="s">
        <v>86</v>
      </c>
      <c r="AP39" s="326">
        <f>('3'!AP38/'3'!Y28)*1000</f>
        <v>691.1427442</v>
      </c>
      <c r="AQ39" s="191" t="s">
        <v>86</v>
      </c>
      <c r="AR39" s="328">
        <f>('3'!AR38/'3'!Y28)*1000</f>
        <v>0</v>
      </c>
    </row>
    <row r="40" ht="15.7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47" t="s">
        <v>90</v>
      </c>
      <c r="AK40" s="128"/>
      <c r="AL40" s="209">
        <f>SUM('3'!AK38,'3'!AM38)</f>
        <v>0</v>
      </c>
      <c r="AM40" s="128"/>
      <c r="AO40" s="247" t="s">
        <v>90</v>
      </c>
      <c r="AP40" s="128"/>
      <c r="AQ40" s="211">
        <f>SUM('3'!AP38,'3'!AR38)</f>
        <v>2330.533333</v>
      </c>
      <c r="AR40" s="128"/>
    </row>
    <row r="41" ht="16.5" customHeight="1">
      <c r="A41" s="212">
        <f>COUNTA('3'!E7:E18)</f>
        <v>12</v>
      </c>
      <c r="B41" s="213">
        <f>COUNTA('3'!I7:I18)</f>
        <v>12</v>
      </c>
      <c r="C41" s="214">
        <f>COUNTA('3'!J7:J18)</f>
        <v>12</v>
      </c>
      <c r="D41" s="80"/>
      <c r="E41" s="214">
        <f>COUNTIF('3'!E7:E18,"&gt;15")</f>
        <v>0</v>
      </c>
      <c r="F41" s="80"/>
      <c r="G41" s="214">
        <f>COUNTIF('3'!J7:J18,"&gt;1")</f>
        <v>4</v>
      </c>
      <c r="H41" s="80"/>
      <c r="I41" s="215"/>
      <c r="J41" s="214">
        <f>'3'!A41-'3'!E41</f>
        <v>12</v>
      </c>
      <c r="K41" s="80"/>
      <c r="L41" s="339">
        <f>'3'!C41-'3'!G41</f>
        <v>8</v>
      </c>
      <c r="M41" s="80"/>
      <c r="N41" s="215"/>
      <c r="O41" s="216">
        <f>COUNTIF('3'!J7:J18,"&lt;=0,5")</f>
        <v>2</v>
      </c>
      <c r="P41" s="217"/>
      <c r="Q41" s="218"/>
      <c r="R41" s="219"/>
      <c r="S41" s="220">
        <f>COUNTIF('3'!J7:J18,"&lt;=1,0")</f>
        <v>8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47" t="s">
        <v>91</v>
      </c>
      <c r="AK41" s="128"/>
      <c r="AL41" s="223">
        <f>SUM(('3'!AK38+'3'!AM38)/'3'!Y28)*1000</f>
        <v>0</v>
      </c>
      <c r="AM41" s="128"/>
      <c r="AO41" s="247" t="s">
        <v>91</v>
      </c>
      <c r="AP41" s="128"/>
      <c r="AQ41" s="223">
        <f>SUM(('3'!AP38+'3'!AR38)/'3'!Y30)*1000</f>
        <v>7.969498964</v>
      </c>
      <c r="AR41" s="128"/>
    </row>
    <row r="42" ht="19.5" customHeight="1">
      <c r="A42" s="224"/>
      <c r="B42" s="224"/>
      <c r="C42" s="224"/>
      <c r="L42" s="97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340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341">
        <f>SUM('3'!Y45,'3'!AA45,'3'!AC45,'3'!AE45)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COUNTIF('3'!I7:I18,"&lt;=5,0")</f>
        <v>12</v>
      </c>
      <c r="I45" s="127"/>
      <c r="J45" s="128"/>
      <c r="K45" s="215"/>
      <c r="L45" s="342">
        <f>COUNTA('3'!L37)</f>
        <v>0</v>
      </c>
      <c r="M45" s="128"/>
      <c r="O45" s="248"/>
      <c r="P45" s="249"/>
      <c r="Q45" s="250">
        <f>'3'!S41-'3'!O41</f>
        <v>6</v>
      </c>
      <c r="R45" s="251"/>
      <c r="S45" s="252"/>
      <c r="T45" s="253"/>
      <c r="X45" s="133" t="s">
        <v>104</v>
      </c>
      <c r="Y45" s="254">
        <f>'3'!Y44*275.3</f>
        <v>0</v>
      </c>
      <c r="Z45" s="133" t="s">
        <v>104</v>
      </c>
      <c r="AA45" s="254">
        <f>262.4*'3'!AA44</f>
        <v>0</v>
      </c>
      <c r="AB45" s="133" t="s">
        <v>104</v>
      </c>
      <c r="AC45" s="254">
        <f>'3'!AC44*277.7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343"/>
      <c r="AP45" s="233"/>
      <c r="AQ45" s="233"/>
      <c r="AR45" s="89"/>
    </row>
    <row r="46" ht="15.75" customHeight="1">
      <c r="F46" s="257"/>
      <c r="L46" s="97"/>
      <c r="X46" s="196" t="s">
        <v>105</v>
      </c>
      <c r="Y46" s="258">
        <f>'3'!AS6</f>
        <v>1.33</v>
      </c>
      <c r="Z46" s="196" t="s">
        <v>105</v>
      </c>
      <c r="AA46" s="258">
        <f>'3'!Y46</f>
        <v>1.33</v>
      </c>
      <c r="AB46" s="196" t="s">
        <v>105</v>
      </c>
      <c r="AC46" s="258">
        <f>'3'!Y46</f>
        <v>1.33</v>
      </c>
      <c r="AD46" s="196" t="s">
        <v>105</v>
      </c>
      <c r="AE46" s="259">
        <f>'3'!Y46</f>
        <v>1.33</v>
      </c>
      <c r="AF46" s="260" t="s">
        <v>106</v>
      </c>
      <c r="AG46" s="261">
        <f>SUM('3'!Y47,'3'!AA47,'3'!AC47,'3'!AE47)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L47" s="97"/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'3'!Y45*'3'!Y46</f>
        <v>0</v>
      </c>
      <c r="Z47" s="133" t="s">
        <v>108</v>
      </c>
      <c r="AA47" s="254">
        <f>'3'!AA45*'3'!AA46</f>
        <v>0</v>
      </c>
      <c r="AB47" s="133" t="s">
        <v>108</v>
      </c>
      <c r="AC47" s="254">
        <f>'3'!AC45*'3'!AC46</f>
        <v>0</v>
      </c>
      <c r="AD47" s="133" t="s">
        <v>108</v>
      </c>
      <c r="AE47" s="254">
        <f>'3'!AE45*'3'!AE46</f>
        <v>0</v>
      </c>
      <c r="AF47" s="46"/>
      <c r="AG47" s="46"/>
      <c r="AI47" s="133" t="s">
        <v>104</v>
      </c>
      <c r="AJ47" s="254">
        <f>'3'!AJ46*275.3</f>
        <v>0</v>
      </c>
      <c r="AK47" s="133" t="s">
        <v>104</v>
      </c>
      <c r="AL47" s="254">
        <f>262.4*'3'!AL46</f>
        <v>0</v>
      </c>
      <c r="AM47" s="133" t="s">
        <v>104</v>
      </c>
      <c r="AN47" s="254">
        <f>'3'!AN46*277.7</f>
        <v>0</v>
      </c>
      <c r="AO47" s="43"/>
      <c r="AR47" s="27"/>
    </row>
    <row r="48" ht="15.75" customHeight="1">
      <c r="L48" s="97"/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'3'!Y46</f>
        <v>1.33</v>
      </c>
      <c r="AK48" s="265" t="s">
        <v>105</v>
      </c>
      <c r="AL48" s="258">
        <f>'3'!AJ48</f>
        <v>1.33</v>
      </c>
      <c r="AM48" s="265" t="s">
        <v>105</v>
      </c>
      <c r="AN48" s="258">
        <f>'3'!AJ48</f>
        <v>1.33</v>
      </c>
      <c r="AO48" s="43"/>
      <c r="AR48" s="27"/>
    </row>
    <row r="49" ht="15.75" customHeight="1">
      <c r="L49" s="97"/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'3'!AJ47*'3'!AJ48</f>
        <v>0</v>
      </c>
      <c r="AK49" s="133" t="s">
        <v>108</v>
      </c>
      <c r="AL49" s="254">
        <f>'3'!AL47*'3'!AL48</f>
        <v>0</v>
      </c>
      <c r="AM49" s="133" t="s">
        <v>108</v>
      </c>
      <c r="AN49" s="254">
        <f>'3'!AN47*'3'!AN48</f>
        <v>0</v>
      </c>
      <c r="AO49" s="16"/>
      <c r="AP49" s="17"/>
      <c r="AQ49" s="17"/>
      <c r="AR49" s="18"/>
    </row>
    <row r="50" ht="18.0" customHeight="1">
      <c r="L50" s="97"/>
      <c r="O50" s="16"/>
      <c r="P50" s="18"/>
      <c r="R50" s="16"/>
      <c r="S50" s="17"/>
      <c r="T50" s="18"/>
      <c r="X50" s="344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L51" s="97"/>
      <c r="O51" s="208">
        <f>COUNTA('3'!O7:O18)</f>
        <v>12</v>
      </c>
      <c r="P51" s="128"/>
      <c r="R51" s="247">
        <f>COUNTIF('3'!O7:O18,"&gt;=0,5")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L52" s="97"/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SUM('3'!Y53,'3'!AA53,'3'!AC53,'3'!AE53)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343" t="s">
        <v>102</v>
      </c>
      <c r="AP52" s="233"/>
      <c r="AQ52" s="233"/>
      <c r="AR52" s="89"/>
    </row>
    <row r="53" ht="15.0" customHeight="1">
      <c r="L53" s="97"/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'3'!Y52*275.3</f>
        <v>0</v>
      </c>
      <c r="Z53" s="133" t="s">
        <v>104</v>
      </c>
      <c r="AA53" s="254">
        <f>262.4*'3'!AA52</f>
        <v>0</v>
      </c>
      <c r="AB53" s="133" t="s">
        <v>104</v>
      </c>
      <c r="AC53" s="254">
        <f>'3'!AC52*277.7</f>
        <v>0</v>
      </c>
      <c r="AD53" s="133" t="s">
        <v>104</v>
      </c>
      <c r="AE53" s="274"/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L54" s="97"/>
      <c r="O54" s="16"/>
      <c r="P54" s="17"/>
      <c r="Q54" s="17"/>
      <c r="R54" s="17"/>
      <c r="S54" s="17"/>
      <c r="T54" s="18"/>
      <c r="X54" s="196" t="s">
        <v>105</v>
      </c>
      <c r="Y54" s="258">
        <f>'3'!AS7</f>
        <v>1.377</v>
      </c>
      <c r="Z54" s="196" t="s">
        <v>105</v>
      </c>
      <c r="AA54" s="258">
        <f>'3'!Y54</f>
        <v>1.377</v>
      </c>
      <c r="AB54" s="196" t="s">
        <v>105</v>
      </c>
      <c r="AC54" s="258">
        <f>'3'!Y54</f>
        <v>1.377</v>
      </c>
      <c r="AD54" s="196" t="s">
        <v>105</v>
      </c>
      <c r="AE54" s="259">
        <f>'3'!Y54</f>
        <v>1.377</v>
      </c>
      <c r="AF54" s="260" t="s">
        <v>106</v>
      </c>
      <c r="AG54" s="261">
        <f>SUM('3'!Y55,'3'!AA55,'3'!AC55,'3'!AE55)</f>
        <v>0</v>
      </c>
      <c r="AI54" s="133" t="s">
        <v>104</v>
      </c>
      <c r="AJ54" s="254">
        <f>'3'!AJ53*275.3</f>
        <v>0</v>
      </c>
      <c r="AK54" s="133" t="s">
        <v>104</v>
      </c>
      <c r="AL54" s="254">
        <f>262.4*'3'!AL53</f>
        <v>0</v>
      </c>
      <c r="AM54" s="133" t="s">
        <v>104</v>
      </c>
      <c r="AN54" s="276">
        <f>'3'!AN53*277.7</f>
        <v>0</v>
      </c>
      <c r="AO54" s="43"/>
      <c r="AR54" s="27"/>
    </row>
    <row r="55" ht="15.0" customHeight="1">
      <c r="L55" s="97"/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'3'!Y53*'3'!Y54</f>
        <v>0</v>
      </c>
      <c r="Z55" s="133" t="s">
        <v>108</v>
      </c>
      <c r="AA55" s="254">
        <f>'3'!AA53*'3'!AA54</f>
        <v>0</v>
      </c>
      <c r="AB55" s="133" t="s">
        <v>108</v>
      </c>
      <c r="AC55" s="254">
        <f>'3'!AC53*'3'!AC54</f>
        <v>0</v>
      </c>
      <c r="AD55" s="133" t="s">
        <v>108</v>
      </c>
      <c r="AE55" s="254">
        <f>'3'!AE53*'3'!AE54</f>
        <v>0</v>
      </c>
      <c r="AF55" s="46"/>
      <c r="AG55" s="46"/>
      <c r="AI55" s="196" t="s">
        <v>105</v>
      </c>
      <c r="AJ55" s="258">
        <f>'3'!Y54</f>
        <v>1.377</v>
      </c>
      <c r="AK55" s="196" t="s">
        <v>105</v>
      </c>
      <c r="AL55" s="258">
        <f>'3'!AJ55</f>
        <v>1.377</v>
      </c>
      <c r="AM55" s="196" t="s">
        <v>105</v>
      </c>
      <c r="AN55" s="258">
        <f>'3'!AJ55</f>
        <v>1.377</v>
      </c>
      <c r="AO55" s="43"/>
      <c r="AR55" s="27"/>
    </row>
    <row r="56" ht="13.5" customHeight="1">
      <c r="L56" s="97"/>
      <c r="O56" s="16"/>
      <c r="P56" s="18"/>
      <c r="R56" s="16"/>
      <c r="S56" s="17"/>
      <c r="T56" s="18"/>
      <c r="AI56" s="133" t="s">
        <v>108</v>
      </c>
      <c r="AJ56" s="254">
        <f>'3'!AJ54*'3'!AJ55</f>
        <v>0</v>
      </c>
      <c r="AK56" s="133" t="s">
        <v>108</v>
      </c>
      <c r="AL56" s="254">
        <f>'3'!AL54*'3'!AL55</f>
        <v>0</v>
      </c>
      <c r="AM56" s="133" t="s">
        <v>108</v>
      </c>
      <c r="AN56" s="254">
        <f>'3'!AN54*'3'!AN55</f>
        <v>0</v>
      </c>
      <c r="AO56" s="16"/>
      <c r="AP56" s="17"/>
      <c r="AQ56" s="17"/>
      <c r="AR56" s="18"/>
    </row>
    <row r="57" ht="13.5" customHeight="1">
      <c r="L57" s="97"/>
      <c r="O57" s="169">
        <f>COUNTA('3'!N7:N18)</f>
        <v>12</v>
      </c>
      <c r="P57" s="128"/>
      <c r="R57" s="277">
        <f>COUNTIF('3'!N7:N18,"&gt;=6")</f>
        <v>12</v>
      </c>
      <c r="S57" s="127"/>
      <c r="T57" s="128"/>
    </row>
    <row r="58" ht="15.75" customHeight="1">
      <c r="L58" s="97"/>
      <c r="X58" s="278" t="s">
        <v>116</v>
      </c>
      <c r="Y58" s="127"/>
      <c r="Z58" s="127"/>
      <c r="AA58" s="127"/>
      <c r="AB58" s="127"/>
      <c r="AC58" s="128"/>
    </row>
    <row r="59" ht="15.75" customHeight="1">
      <c r="L59" s="97"/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L60" s="97"/>
      <c r="X60" s="345" t="s">
        <v>118</v>
      </c>
      <c r="Y60" s="128"/>
      <c r="Z60" s="281"/>
      <c r="AA60" s="128"/>
      <c r="AB60" s="345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L61" s="97"/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'3'!AJ56+'3'!AL56+'3'!AN56</f>
        <v>0</v>
      </c>
      <c r="AM61" s="80"/>
      <c r="AN61" s="286" t="s">
        <v>121</v>
      </c>
      <c r="AO61" s="79"/>
      <c r="AP61" s="80"/>
      <c r="AQ61" s="287">
        <f>'3'!AJ49+'3'!AL49+'3'!AN49</f>
        <v>0</v>
      </c>
      <c r="AR61" s="80"/>
    </row>
    <row r="62" ht="15.0" customHeight="1">
      <c r="L62" s="97"/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'3'!AA32</f>
        <v>55062</v>
      </c>
      <c r="AR62" s="80"/>
    </row>
    <row r="63" ht="15.0" customHeight="1">
      <c r="L63" s="97"/>
      <c r="X63" s="294" t="s">
        <v>124</v>
      </c>
      <c r="Y63" s="295">
        <v>0.0</v>
      </c>
      <c r="Z63" s="43"/>
      <c r="AA63" s="27"/>
      <c r="AB63" s="296" t="s">
        <v>124</v>
      </c>
      <c r="AC63" s="125"/>
      <c r="AE63" s="97"/>
      <c r="AI63" s="286" t="s">
        <v>125</v>
      </c>
      <c r="AJ63" s="79"/>
      <c r="AK63" s="80"/>
      <c r="AL63" s="287">
        <f>'3'!AL61-'3'!AL62</f>
        <v>0</v>
      </c>
      <c r="AM63" s="80"/>
      <c r="AN63" s="286" t="s">
        <v>125</v>
      </c>
      <c r="AO63" s="79"/>
      <c r="AP63" s="80"/>
      <c r="AQ63" s="287">
        <f>'3'!AQ61-'3'!AQ62</f>
        <v>-55062</v>
      </c>
      <c r="AR63" s="80"/>
    </row>
    <row r="64" ht="15.0" customHeight="1">
      <c r="L64" s="97"/>
      <c r="X64" s="294"/>
      <c r="Y64" s="295"/>
      <c r="Z64" s="43"/>
      <c r="AA64" s="27"/>
      <c r="AB64" s="296"/>
      <c r="AC64" s="125"/>
    </row>
    <row r="65" ht="39.0" customHeight="1">
      <c r="L65" s="97"/>
      <c r="X65" s="297" t="s">
        <v>126</v>
      </c>
      <c r="Y65" s="298">
        <f>'2'!$Y$68</f>
        <v>-4350.833333</v>
      </c>
      <c r="Z65" s="43"/>
      <c r="AA65" s="27"/>
      <c r="AB65" s="299" t="s">
        <v>126</v>
      </c>
      <c r="AC65" s="330">
        <f>'2'!$AC$68</f>
        <v>0</v>
      </c>
    </row>
    <row r="66" ht="15.0" customHeight="1">
      <c r="L66" s="97"/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L67" s="97"/>
      <c r="X67" s="294" t="s">
        <v>124</v>
      </c>
      <c r="Y67" s="287">
        <f>SUM('3'!AK38,'3'!AP38)</f>
        <v>2330.533333</v>
      </c>
      <c r="Z67" s="43"/>
      <c r="AA67" s="27"/>
      <c r="AB67" s="296" t="s">
        <v>124</v>
      </c>
      <c r="AC67" s="254">
        <f>SUM('3'!AM38,'3'!AR38)</f>
        <v>0</v>
      </c>
    </row>
    <row r="68" ht="15.75" customHeight="1">
      <c r="L68" s="97"/>
      <c r="X68" s="294" t="s">
        <v>128</v>
      </c>
      <c r="Y68" s="301">
        <f>SUM('3'!Y63,'3'!Y65)-'3'!Y67</f>
        <v>-6681.366667</v>
      </c>
      <c r="Z68" s="16"/>
      <c r="AA68" s="18"/>
      <c r="AB68" s="296" t="s">
        <v>128</v>
      </c>
      <c r="AC68" s="302">
        <f>SUM('3'!AC63,'3'!AC65)-'3'!AC67</f>
        <v>0</v>
      </c>
    </row>
    <row r="69" ht="13.5" customHeight="1">
      <c r="L69" s="97"/>
    </row>
    <row r="70" ht="15.0" customHeight="1">
      <c r="L70" s="97"/>
      <c r="AA70" s="303" t="s">
        <v>133</v>
      </c>
    </row>
    <row r="71" ht="13.5" customHeight="1">
      <c r="L71" s="97"/>
    </row>
    <row r="72" ht="13.5" customHeight="1">
      <c r="L72" s="97"/>
    </row>
    <row r="73" ht="13.5" customHeight="1">
      <c r="L73" s="97"/>
    </row>
    <row r="74" ht="13.5" customHeight="1">
      <c r="L74" s="97"/>
    </row>
    <row r="75" ht="13.5" customHeight="1">
      <c r="L75" s="97"/>
    </row>
    <row r="76" ht="13.5" customHeight="1">
      <c r="L76" s="97"/>
    </row>
    <row r="77" ht="13.5" customHeight="1">
      <c r="L77" s="97"/>
    </row>
    <row r="78" ht="13.5" customHeight="1">
      <c r="L78" s="97"/>
    </row>
    <row r="79" ht="13.5" customHeight="1">
      <c r="L79" s="97"/>
    </row>
    <row r="80" ht="13.5" customHeight="1">
      <c r="L80" s="97"/>
    </row>
    <row r="81" ht="13.5" customHeight="1">
      <c r="L81" s="97"/>
    </row>
    <row r="82" ht="13.5" customHeight="1">
      <c r="L82" s="97"/>
    </row>
    <row r="83" ht="13.5" customHeight="1">
      <c r="L83" s="97"/>
    </row>
    <row r="84" ht="13.5" customHeight="1">
      <c r="L84" s="97"/>
    </row>
    <row r="85" ht="13.5" customHeight="1">
      <c r="L85" s="97"/>
    </row>
    <row r="86" ht="13.5" customHeight="1">
      <c r="L86" s="97"/>
    </row>
    <row r="87" ht="13.5" customHeight="1">
      <c r="L87" s="97"/>
    </row>
    <row r="88" ht="13.5" customHeight="1">
      <c r="L88" s="97"/>
    </row>
    <row r="89" ht="13.5" customHeight="1">
      <c r="L89" s="97"/>
    </row>
    <row r="90" ht="13.5" customHeight="1">
      <c r="L90" s="97"/>
    </row>
    <row r="91" ht="13.5" customHeight="1">
      <c r="L91" s="97"/>
    </row>
    <row r="92" ht="13.5" customHeight="1">
      <c r="L92" s="97"/>
    </row>
    <row r="93" ht="13.5" customHeight="1">
      <c r="L93" s="97"/>
    </row>
    <row r="94" ht="13.5" customHeight="1">
      <c r="L94" s="97"/>
    </row>
    <row r="95" ht="13.5" customHeight="1">
      <c r="L95" s="97"/>
    </row>
    <row r="96" ht="13.5" customHeight="1">
      <c r="L96" s="97"/>
    </row>
    <row r="97" ht="13.5" customHeight="1">
      <c r="L97" s="97"/>
    </row>
    <row r="98" ht="13.5" customHeight="1">
      <c r="L98" s="97"/>
    </row>
    <row r="99" ht="13.5" customHeight="1">
      <c r="L99" s="97"/>
    </row>
    <row r="100" ht="13.5" customHeight="1">
      <c r="L100" s="97"/>
    </row>
    <row r="101" ht="13.5" customHeight="1">
      <c r="L101" s="97"/>
    </row>
    <row r="102" ht="13.5" customHeight="1">
      <c r="L102" s="97"/>
    </row>
    <row r="103" ht="13.5" customHeight="1">
      <c r="L103" s="97"/>
    </row>
    <row r="104" ht="13.5" customHeight="1">
      <c r="L104" s="97"/>
    </row>
    <row r="105" ht="13.5" customHeight="1">
      <c r="L105" s="97"/>
    </row>
    <row r="106" ht="13.5" customHeight="1">
      <c r="L106" s="97"/>
    </row>
    <row r="107" ht="13.5" customHeight="1">
      <c r="L107" s="97"/>
    </row>
    <row r="108" ht="13.5" customHeight="1">
      <c r="L108" s="97"/>
    </row>
    <row r="109" ht="13.5" customHeight="1">
      <c r="L109" s="97"/>
    </row>
    <row r="110" ht="13.5" customHeight="1">
      <c r="L110" s="97"/>
    </row>
    <row r="111" ht="13.5" customHeight="1">
      <c r="L111" s="97"/>
    </row>
    <row r="112" ht="13.5" customHeight="1">
      <c r="L112" s="97"/>
    </row>
    <row r="113" ht="13.5" customHeight="1">
      <c r="L113" s="97"/>
    </row>
    <row r="114" ht="13.5" customHeight="1">
      <c r="L114" s="97"/>
    </row>
    <row r="115" ht="13.5" customHeight="1">
      <c r="L115" s="97"/>
    </row>
    <row r="116" ht="13.5" customHeight="1">
      <c r="L116" s="97"/>
    </row>
    <row r="117" ht="13.5" customHeight="1">
      <c r="L117" s="97"/>
    </row>
    <row r="118" ht="13.5" customHeight="1">
      <c r="L118" s="97"/>
    </row>
    <row r="119" ht="13.5" customHeight="1">
      <c r="L119" s="97"/>
    </row>
    <row r="120" ht="13.5" customHeight="1">
      <c r="L120" s="97"/>
    </row>
    <row r="121" ht="13.5" customHeight="1">
      <c r="L121" s="97"/>
    </row>
    <row r="122" ht="13.5" customHeight="1">
      <c r="L122" s="97"/>
    </row>
    <row r="123" ht="13.5" customHeight="1">
      <c r="L123" s="97"/>
    </row>
    <row r="124" ht="13.5" customHeight="1">
      <c r="L124" s="97"/>
    </row>
    <row r="125" ht="13.5" customHeight="1">
      <c r="L125" s="97"/>
    </row>
    <row r="126" ht="13.5" customHeight="1">
      <c r="L126" s="97"/>
    </row>
    <row r="127" ht="13.5" customHeight="1">
      <c r="L127" s="97"/>
    </row>
    <row r="128" ht="13.5" customHeight="1">
      <c r="L128" s="97"/>
    </row>
    <row r="129" ht="13.5" customHeight="1">
      <c r="L129" s="97"/>
    </row>
    <row r="130" ht="13.5" customHeight="1">
      <c r="L130" s="97"/>
    </row>
    <row r="131" ht="13.5" customHeight="1">
      <c r="L131" s="97"/>
    </row>
    <row r="132" ht="13.5" customHeight="1">
      <c r="L132" s="97"/>
    </row>
    <row r="133" ht="13.5" customHeight="1">
      <c r="L133" s="97"/>
    </row>
    <row r="134" ht="13.5" customHeight="1">
      <c r="L134" s="97"/>
    </row>
    <row r="135" ht="13.5" customHeight="1">
      <c r="L135" s="97"/>
    </row>
    <row r="136" ht="13.5" customHeight="1">
      <c r="L136" s="97"/>
    </row>
    <row r="137" ht="13.5" customHeight="1">
      <c r="L137" s="97"/>
    </row>
    <row r="138" ht="13.5" customHeight="1">
      <c r="L138" s="97"/>
    </row>
    <row r="139" ht="13.5" customHeight="1">
      <c r="L139" s="97"/>
    </row>
    <row r="140" ht="13.5" customHeight="1">
      <c r="L140" s="97"/>
    </row>
    <row r="141" ht="13.5" customHeight="1">
      <c r="L141" s="97"/>
    </row>
    <row r="142" ht="13.5" customHeight="1">
      <c r="L142" s="97"/>
    </row>
    <row r="143" ht="13.5" customHeight="1">
      <c r="L143" s="97"/>
    </row>
    <row r="144" ht="13.5" customHeight="1">
      <c r="L144" s="97"/>
    </row>
    <row r="145" ht="13.5" customHeight="1">
      <c r="L145" s="97"/>
    </row>
    <row r="146" ht="13.5" customHeight="1">
      <c r="L146" s="97"/>
    </row>
    <row r="147" ht="13.5" customHeight="1">
      <c r="L147" s="97"/>
    </row>
    <row r="148" ht="13.5" customHeight="1">
      <c r="L148" s="97"/>
    </row>
    <row r="149" ht="13.5" customHeight="1">
      <c r="L149" s="97"/>
    </row>
    <row r="150" ht="13.5" customHeight="1">
      <c r="L150" s="97"/>
    </row>
    <row r="151" ht="13.5" customHeight="1">
      <c r="L151" s="97"/>
    </row>
    <row r="152" ht="13.5" customHeight="1">
      <c r="L152" s="97"/>
    </row>
    <row r="153" ht="13.5" customHeight="1">
      <c r="L153" s="97"/>
    </row>
    <row r="154" ht="13.5" customHeight="1">
      <c r="L154" s="97"/>
    </row>
    <row r="155" ht="13.5" customHeight="1">
      <c r="L155" s="97"/>
    </row>
    <row r="156" ht="13.5" customHeight="1">
      <c r="L156" s="97"/>
    </row>
    <row r="157" ht="13.5" customHeight="1">
      <c r="L157" s="97"/>
    </row>
    <row r="158" ht="13.5" customHeight="1">
      <c r="L158" s="97"/>
    </row>
    <row r="159" ht="13.5" customHeight="1">
      <c r="L159" s="97"/>
    </row>
    <row r="160" ht="13.5" customHeight="1">
      <c r="L160" s="97"/>
    </row>
    <row r="161" ht="13.5" customHeight="1">
      <c r="L161" s="97"/>
    </row>
    <row r="162" ht="13.5" customHeight="1">
      <c r="L162" s="97"/>
    </row>
    <row r="163" ht="13.5" customHeight="1">
      <c r="L163" s="97"/>
    </row>
    <row r="164" ht="13.5" customHeight="1">
      <c r="L164" s="97"/>
    </row>
    <row r="165" ht="13.5" customHeight="1">
      <c r="L165" s="97"/>
    </row>
    <row r="166" ht="13.5" customHeight="1">
      <c r="L166" s="97"/>
    </row>
    <row r="167" ht="13.5" customHeight="1">
      <c r="L167" s="97"/>
    </row>
    <row r="168" ht="13.5" customHeight="1">
      <c r="L168" s="97"/>
    </row>
    <row r="169" ht="13.5" customHeight="1">
      <c r="L169" s="97"/>
    </row>
    <row r="170" ht="13.5" customHeight="1">
      <c r="L170" s="97"/>
    </row>
    <row r="171" ht="13.5" customHeight="1">
      <c r="L171" s="97"/>
    </row>
    <row r="172" ht="13.5" customHeight="1">
      <c r="L172" s="97"/>
    </row>
    <row r="173" ht="13.5" customHeight="1">
      <c r="L173" s="97"/>
    </row>
    <row r="174" ht="13.5" customHeight="1">
      <c r="L174" s="97"/>
    </row>
    <row r="175" ht="13.5" customHeight="1">
      <c r="L175" s="97"/>
    </row>
    <row r="176" ht="13.5" customHeight="1">
      <c r="L176" s="97"/>
    </row>
    <row r="177" ht="13.5" customHeight="1">
      <c r="L177" s="97"/>
    </row>
    <row r="178" ht="13.5" customHeight="1">
      <c r="L178" s="97"/>
    </row>
    <row r="179" ht="13.5" customHeight="1">
      <c r="L179" s="97"/>
    </row>
    <row r="180" ht="13.5" customHeight="1">
      <c r="L180" s="97"/>
    </row>
    <row r="181" ht="13.5" customHeight="1">
      <c r="L181" s="97"/>
    </row>
    <row r="182" ht="13.5" customHeight="1">
      <c r="L182" s="97"/>
    </row>
    <row r="183" ht="13.5" customHeight="1">
      <c r="L183" s="97"/>
    </row>
    <row r="184" ht="13.5" customHeight="1">
      <c r="L184" s="97"/>
    </row>
    <row r="185" ht="13.5" customHeight="1">
      <c r="L185" s="97"/>
    </row>
    <row r="186" ht="13.5" customHeight="1">
      <c r="L186" s="97"/>
    </row>
    <row r="187" ht="13.5" customHeight="1">
      <c r="L187" s="97"/>
    </row>
    <row r="188" ht="13.5" customHeight="1">
      <c r="L188" s="97"/>
    </row>
    <row r="189" ht="13.5" customHeight="1">
      <c r="L189" s="97"/>
    </row>
    <row r="190" ht="13.5" customHeight="1">
      <c r="L190" s="97"/>
    </row>
    <row r="191" ht="13.5" customHeight="1">
      <c r="L191" s="97"/>
    </row>
    <row r="192" ht="13.5" customHeight="1">
      <c r="L192" s="97"/>
    </row>
    <row r="193" ht="13.5" customHeight="1">
      <c r="L193" s="97"/>
    </row>
    <row r="194" ht="13.5" customHeight="1">
      <c r="L194" s="97"/>
    </row>
    <row r="195" ht="13.5" customHeight="1">
      <c r="L195" s="97"/>
    </row>
    <row r="196" ht="13.5" customHeight="1">
      <c r="L196" s="97"/>
    </row>
    <row r="197" ht="13.5" customHeight="1">
      <c r="L197" s="97"/>
    </row>
    <row r="198" ht="13.5" customHeight="1">
      <c r="L198" s="97"/>
    </row>
    <row r="199" ht="13.5" customHeight="1">
      <c r="L199" s="97"/>
    </row>
    <row r="200" ht="13.5" customHeight="1">
      <c r="L200" s="97"/>
    </row>
    <row r="201" ht="13.5" customHeight="1">
      <c r="L201" s="97"/>
    </row>
    <row r="202" ht="13.5" customHeight="1">
      <c r="L202" s="97"/>
    </row>
    <row r="203" ht="13.5" customHeight="1">
      <c r="L203" s="97"/>
    </row>
    <row r="204" ht="13.5" customHeight="1">
      <c r="L204" s="97"/>
    </row>
    <row r="205" ht="13.5" customHeight="1">
      <c r="L205" s="97"/>
    </row>
    <row r="206" ht="13.5" customHeight="1">
      <c r="L206" s="97"/>
    </row>
    <row r="207" ht="13.5" customHeight="1">
      <c r="L207" s="97"/>
    </row>
    <row r="208" ht="13.5" customHeight="1">
      <c r="L208" s="97"/>
    </row>
    <row r="209" ht="13.5" customHeight="1">
      <c r="L209" s="97"/>
    </row>
    <row r="210" ht="13.5" customHeight="1">
      <c r="L210" s="97"/>
    </row>
    <row r="211" ht="13.5" customHeight="1">
      <c r="L211" s="97"/>
    </row>
    <row r="212" ht="13.5" customHeight="1">
      <c r="L212" s="97"/>
    </row>
    <row r="213" ht="13.5" customHeight="1">
      <c r="L213" s="97"/>
    </row>
    <row r="214" ht="13.5" customHeight="1">
      <c r="L214" s="97"/>
    </row>
    <row r="215" ht="13.5" customHeight="1">
      <c r="L215" s="97"/>
    </row>
    <row r="216" ht="13.5" customHeight="1">
      <c r="L216" s="97"/>
    </row>
    <row r="217" ht="13.5" customHeight="1">
      <c r="L217" s="97"/>
    </row>
    <row r="218" ht="13.5" customHeight="1">
      <c r="L218" s="97"/>
    </row>
    <row r="219" ht="13.5" customHeight="1">
      <c r="L219" s="97"/>
    </row>
    <row r="220" ht="13.5" customHeight="1">
      <c r="L220" s="97"/>
    </row>
    <row r="221" ht="13.5" customHeight="1">
      <c r="L221" s="97"/>
    </row>
    <row r="222" ht="13.5" customHeight="1">
      <c r="L222" s="97"/>
    </row>
    <row r="223" ht="13.5" customHeight="1">
      <c r="L223" s="97"/>
    </row>
    <row r="224" ht="13.5" customHeight="1">
      <c r="L224" s="97"/>
    </row>
    <row r="225" ht="13.5" customHeight="1">
      <c r="L225" s="97"/>
    </row>
    <row r="226" ht="13.5" customHeight="1">
      <c r="L226" s="97"/>
    </row>
    <row r="227" ht="13.5" customHeight="1">
      <c r="L227" s="97"/>
    </row>
    <row r="228" ht="13.5" customHeight="1">
      <c r="L228" s="97"/>
    </row>
    <row r="229" ht="13.5" customHeight="1">
      <c r="L229" s="97"/>
    </row>
    <row r="230" ht="13.5" customHeight="1">
      <c r="L230" s="97"/>
    </row>
    <row r="231" ht="13.5" customHeight="1">
      <c r="L231" s="97"/>
    </row>
    <row r="232" ht="13.5" customHeight="1">
      <c r="L232" s="97"/>
    </row>
    <row r="233" ht="13.5" customHeight="1">
      <c r="L233" s="97"/>
    </row>
    <row r="234" ht="13.5" customHeight="1">
      <c r="L234" s="97"/>
    </row>
    <row r="235" ht="13.5" customHeight="1">
      <c r="L235" s="97"/>
    </row>
    <row r="236" ht="13.5" customHeight="1">
      <c r="L236" s="97"/>
    </row>
    <row r="237" ht="13.5" customHeight="1">
      <c r="L237" s="97"/>
    </row>
    <row r="238" ht="13.5" customHeight="1">
      <c r="L238" s="97"/>
    </row>
    <row r="239" ht="13.5" customHeight="1">
      <c r="L239" s="97"/>
    </row>
    <row r="240" ht="13.5" customHeight="1">
      <c r="L240" s="97"/>
    </row>
    <row r="241" ht="13.5" customHeight="1">
      <c r="L241" s="97"/>
    </row>
    <row r="242" ht="13.5" customHeight="1">
      <c r="L242" s="97"/>
    </row>
    <row r="243" ht="13.5" customHeight="1">
      <c r="L243" s="97"/>
    </row>
    <row r="244" ht="13.5" customHeight="1">
      <c r="L244" s="97"/>
    </row>
    <row r="245" ht="13.5" customHeight="1">
      <c r="L245" s="97"/>
    </row>
    <row r="246" ht="13.5" customHeight="1">
      <c r="L246" s="97"/>
    </row>
    <row r="247" ht="13.5" customHeight="1">
      <c r="L247" s="97"/>
    </row>
    <row r="248" ht="13.5" customHeight="1">
      <c r="L248" s="97"/>
    </row>
    <row r="249" ht="13.5" customHeight="1">
      <c r="L249" s="97"/>
    </row>
    <row r="250" ht="13.5" customHeight="1">
      <c r="L250" s="97"/>
    </row>
    <row r="251" ht="13.5" customHeight="1">
      <c r="L251" s="97"/>
    </row>
    <row r="252" ht="13.5" customHeight="1">
      <c r="L252" s="97"/>
    </row>
    <row r="253" ht="13.5" customHeight="1">
      <c r="L253" s="97"/>
    </row>
    <row r="254" ht="13.5" customHeight="1">
      <c r="L254" s="97"/>
    </row>
    <row r="255" ht="13.5" customHeight="1">
      <c r="L255" s="97"/>
    </row>
    <row r="256" ht="13.5" customHeight="1">
      <c r="L256" s="97"/>
    </row>
    <row r="257" ht="13.5" customHeight="1">
      <c r="L257" s="97"/>
    </row>
    <row r="258" ht="13.5" customHeight="1">
      <c r="L258" s="97"/>
    </row>
    <row r="259" ht="13.5" customHeight="1">
      <c r="L259" s="97"/>
    </row>
    <row r="260" ht="13.5" customHeight="1">
      <c r="L260" s="97"/>
    </row>
    <row r="261" ht="13.5" customHeight="1">
      <c r="L261" s="97"/>
    </row>
    <row r="262" ht="13.5" customHeight="1">
      <c r="L262" s="97"/>
    </row>
    <row r="263" ht="13.5" customHeight="1">
      <c r="L263" s="97"/>
    </row>
    <row r="264" ht="13.5" customHeight="1">
      <c r="L264" s="97"/>
    </row>
    <row r="265" ht="13.5" customHeight="1">
      <c r="L265" s="97"/>
    </row>
    <row r="266" ht="13.5" customHeight="1">
      <c r="L266" s="97"/>
    </row>
    <row r="267" ht="13.5" customHeight="1">
      <c r="L267" s="97"/>
    </row>
    <row r="268" ht="13.5" customHeight="1">
      <c r="L268" s="97"/>
    </row>
    <row r="269" ht="13.5" customHeight="1">
      <c r="L269" s="97"/>
    </row>
    <row r="270" ht="13.5" customHeight="1">
      <c r="L270" s="97"/>
    </row>
    <row r="271" ht="13.5" customHeight="1">
      <c r="L271" s="97"/>
    </row>
    <row r="272" ht="13.5" customHeight="1">
      <c r="L272" s="97"/>
    </row>
    <row r="273" ht="13.5" customHeight="1">
      <c r="L273" s="97"/>
    </row>
    <row r="274" ht="13.5" customHeight="1">
      <c r="L274" s="97"/>
    </row>
    <row r="275" ht="13.5" customHeight="1">
      <c r="L275" s="97"/>
    </row>
    <row r="276" ht="13.5" customHeight="1">
      <c r="L276" s="97"/>
    </row>
    <row r="277" ht="13.5" customHeight="1">
      <c r="L277" s="97"/>
    </row>
    <row r="278" ht="13.5" customHeight="1">
      <c r="L278" s="97"/>
    </row>
    <row r="279" ht="13.5" customHeight="1">
      <c r="L279" s="97"/>
    </row>
    <row r="280" ht="13.5" customHeight="1">
      <c r="L280" s="97"/>
    </row>
    <row r="281" ht="13.5" customHeight="1">
      <c r="L281" s="97"/>
    </row>
    <row r="282" ht="13.5" customHeight="1">
      <c r="L282" s="97"/>
    </row>
    <row r="283" ht="13.5" customHeight="1">
      <c r="L283" s="97"/>
    </row>
    <row r="284" ht="13.5" customHeight="1">
      <c r="L284" s="97"/>
    </row>
    <row r="285" ht="13.5" customHeight="1">
      <c r="L285" s="97"/>
    </row>
    <row r="286" ht="13.5" customHeight="1">
      <c r="L286" s="97"/>
    </row>
    <row r="287" ht="13.5" customHeight="1">
      <c r="L287" s="97"/>
    </row>
    <row r="288" ht="13.5" customHeight="1">
      <c r="L288" s="97"/>
    </row>
    <row r="289" ht="13.5" customHeight="1">
      <c r="L289" s="97"/>
    </row>
    <row r="290" ht="13.5" customHeight="1">
      <c r="L290" s="97"/>
    </row>
    <row r="291" ht="13.5" customHeight="1">
      <c r="L291" s="97"/>
    </row>
    <row r="292" ht="13.5" customHeight="1">
      <c r="L292" s="97"/>
    </row>
    <row r="293" ht="13.5" customHeight="1">
      <c r="L293" s="97"/>
    </row>
    <row r="294" ht="13.5" customHeight="1">
      <c r="L294" s="97"/>
    </row>
    <row r="295" ht="13.5" customHeight="1">
      <c r="L295" s="97"/>
    </row>
    <row r="296" ht="13.5" customHeight="1">
      <c r="L296" s="97"/>
    </row>
    <row r="297" ht="13.5" customHeight="1">
      <c r="L297" s="97"/>
    </row>
    <row r="298" ht="13.5" customHeight="1">
      <c r="L298" s="97"/>
    </row>
    <row r="299" ht="13.5" customHeight="1">
      <c r="L299" s="97"/>
    </row>
    <row r="300" ht="13.5" customHeight="1">
      <c r="L300" s="97"/>
    </row>
    <row r="301" ht="13.5" customHeight="1">
      <c r="L301" s="97"/>
    </row>
    <row r="302" ht="13.5" customHeight="1">
      <c r="L302" s="97"/>
    </row>
    <row r="303" ht="13.5" customHeight="1">
      <c r="L303" s="97"/>
    </row>
    <row r="304" ht="13.5" customHeight="1">
      <c r="L304" s="97"/>
    </row>
    <row r="305" ht="13.5" customHeight="1">
      <c r="L305" s="97"/>
    </row>
    <row r="306" ht="13.5" customHeight="1">
      <c r="L306" s="97"/>
    </row>
    <row r="307" ht="13.5" customHeight="1">
      <c r="L307" s="97"/>
    </row>
    <row r="308" ht="13.5" customHeight="1">
      <c r="L308" s="97"/>
    </row>
    <row r="309" ht="13.5" customHeight="1">
      <c r="L309" s="97"/>
    </row>
    <row r="310" ht="13.5" customHeight="1">
      <c r="L310" s="97"/>
    </row>
    <row r="311" ht="13.5" customHeight="1">
      <c r="L311" s="97"/>
    </row>
    <row r="312" ht="13.5" customHeight="1">
      <c r="L312" s="97"/>
    </row>
    <row r="313" ht="13.5" customHeight="1">
      <c r="L313" s="97"/>
    </row>
    <row r="314" ht="13.5" customHeight="1">
      <c r="L314" s="97"/>
    </row>
    <row r="315" ht="13.5" customHeight="1">
      <c r="L315" s="97"/>
    </row>
    <row r="316" ht="13.5" customHeight="1">
      <c r="L316" s="97"/>
    </row>
    <row r="317" ht="13.5" customHeight="1">
      <c r="L317" s="97"/>
    </row>
    <row r="318" ht="13.5" customHeight="1">
      <c r="L318" s="97"/>
    </row>
    <row r="319" ht="13.5" customHeight="1">
      <c r="L319" s="97"/>
    </row>
    <row r="320" ht="13.5" customHeight="1">
      <c r="L320" s="97"/>
    </row>
    <row r="321" ht="13.5" customHeight="1">
      <c r="L321" s="97"/>
    </row>
    <row r="322" ht="13.5" customHeight="1">
      <c r="L322" s="97"/>
    </row>
    <row r="323" ht="13.5" customHeight="1">
      <c r="L323" s="97"/>
    </row>
    <row r="324" ht="13.5" customHeight="1">
      <c r="L324" s="97"/>
    </row>
    <row r="325" ht="13.5" customHeight="1">
      <c r="L325" s="97"/>
    </row>
    <row r="326" ht="13.5" customHeight="1">
      <c r="L326" s="97"/>
    </row>
    <row r="327" ht="13.5" customHeight="1">
      <c r="L327" s="97"/>
    </row>
    <row r="328" ht="13.5" customHeight="1">
      <c r="L328" s="97"/>
    </row>
    <row r="329" ht="13.5" customHeight="1">
      <c r="L329" s="97"/>
    </row>
    <row r="330" ht="13.5" customHeight="1">
      <c r="L330" s="97"/>
    </row>
    <row r="331" ht="13.5" customHeight="1">
      <c r="L331" s="97"/>
    </row>
    <row r="332" ht="13.5" customHeight="1">
      <c r="L332" s="97"/>
    </row>
    <row r="333" ht="13.5" customHeight="1">
      <c r="L333" s="97"/>
    </row>
    <row r="334" ht="13.5" customHeight="1">
      <c r="L334" s="97"/>
    </row>
    <row r="335" ht="13.5" customHeight="1">
      <c r="L335" s="97"/>
    </row>
    <row r="336" ht="13.5" customHeight="1">
      <c r="L336" s="97"/>
    </row>
    <row r="337" ht="13.5" customHeight="1">
      <c r="L337" s="97"/>
    </row>
    <row r="338" ht="13.5" customHeight="1">
      <c r="L338" s="97"/>
    </row>
    <row r="339" ht="13.5" customHeight="1">
      <c r="L339" s="97"/>
    </row>
    <row r="340" ht="13.5" customHeight="1">
      <c r="L340" s="97"/>
    </row>
    <row r="341" ht="13.5" customHeight="1">
      <c r="L341" s="97"/>
    </row>
    <row r="342" ht="13.5" customHeight="1">
      <c r="L342" s="97"/>
    </row>
    <row r="343" ht="13.5" customHeight="1">
      <c r="L343" s="97"/>
    </row>
    <row r="344" ht="13.5" customHeight="1">
      <c r="L344" s="97"/>
    </row>
    <row r="345" ht="13.5" customHeight="1">
      <c r="L345" s="97"/>
    </row>
    <row r="346" ht="13.5" customHeight="1">
      <c r="L346" s="97"/>
    </row>
    <row r="347" ht="13.5" customHeight="1">
      <c r="L347" s="97"/>
    </row>
    <row r="348" ht="13.5" customHeight="1">
      <c r="L348" s="97"/>
    </row>
    <row r="349" ht="13.5" customHeight="1">
      <c r="L349" s="97"/>
    </row>
    <row r="350" ht="13.5" customHeight="1">
      <c r="L350" s="97"/>
    </row>
    <row r="351" ht="13.5" customHeight="1">
      <c r="L351" s="97"/>
    </row>
    <row r="352" ht="13.5" customHeight="1">
      <c r="L352" s="97"/>
    </row>
    <row r="353" ht="13.5" customHeight="1">
      <c r="L353" s="97"/>
    </row>
    <row r="354" ht="13.5" customHeight="1">
      <c r="L354" s="97"/>
    </row>
    <row r="355" ht="13.5" customHeight="1">
      <c r="L355" s="97"/>
    </row>
    <row r="356" ht="13.5" customHeight="1">
      <c r="L356" s="97"/>
    </row>
    <row r="357" ht="13.5" customHeight="1">
      <c r="L357" s="97"/>
    </row>
    <row r="358" ht="13.5" customHeight="1">
      <c r="L358" s="97"/>
    </row>
    <row r="359" ht="13.5" customHeight="1">
      <c r="L359" s="97"/>
    </row>
    <row r="360" ht="13.5" customHeight="1">
      <c r="L360" s="97"/>
    </row>
    <row r="361" ht="13.5" customHeight="1">
      <c r="L361" s="97"/>
    </row>
    <row r="362" ht="13.5" customHeight="1">
      <c r="L362" s="97"/>
    </row>
    <row r="363" ht="13.5" customHeight="1">
      <c r="L363" s="97"/>
    </row>
    <row r="364" ht="13.5" customHeight="1">
      <c r="L364" s="97"/>
    </row>
    <row r="365" ht="13.5" customHeight="1">
      <c r="L365" s="97"/>
    </row>
    <row r="366" ht="13.5" customHeight="1">
      <c r="L366" s="97"/>
    </row>
    <row r="367" ht="13.5" customHeight="1">
      <c r="L367" s="97"/>
    </row>
    <row r="368" ht="13.5" customHeight="1">
      <c r="L368" s="97"/>
    </row>
    <row r="369" ht="13.5" customHeight="1">
      <c r="L369" s="97"/>
    </row>
    <row r="370" ht="13.5" customHeight="1">
      <c r="L370" s="97"/>
    </row>
    <row r="371" ht="13.5" customHeight="1">
      <c r="L371" s="97"/>
    </row>
    <row r="372" ht="13.5" customHeight="1">
      <c r="L372" s="97"/>
    </row>
    <row r="373" ht="13.5" customHeight="1">
      <c r="L373" s="97"/>
    </row>
    <row r="374" ht="13.5" customHeight="1">
      <c r="L374" s="97"/>
    </row>
    <row r="375" ht="13.5" customHeight="1">
      <c r="L375" s="97"/>
    </row>
    <row r="376" ht="13.5" customHeight="1">
      <c r="L376" s="97"/>
    </row>
    <row r="377" ht="13.5" customHeight="1">
      <c r="L377" s="97"/>
    </row>
    <row r="378" ht="13.5" customHeight="1">
      <c r="L378" s="97"/>
    </row>
    <row r="379" ht="13.5" customHeight="1">
      <c r="L379" s="97"/>
    </row>
    <row r="380" ht="13.5" customHeight="1">
      <c r="L380" s="97"/>
    </row>
    <row r="381" ht="13.5" customHeight="1">
      <c r="L381" s="97"/>
    </row>
    <row r="382" ht="13.5" customHeight="1">
      <c r="L382" s="97"/>
    </row>
    <row r="383" ht="13.5" customHeight="1">
      <c r="L383" s="97"/>
    </row>
    <row r="384" ht="13.5" customHeight="1">
      <c r="L384" s="97"/>
    </row>
    <row r="385" ht="13.5" customHeight="1">
      <c r="L385" s="97"/>
    </row>
    <row r="386" ht="13.5" customHeight="1">
      <c r="L386" s="97"/>
    </row>
    <row r="387" ht="13.5" customHeight="1">
      <c r="L387" s="97"/>
    </row>
    <row r="388" ht="13.5" customHeight="1">
      <c r="L388" s="97"/>
    </row>
    <row r="389" ht="13.5" customHeight="1">
      <c r="L389" s="97"/>
    </row>
    <row r="390" ht="13.5" customHeight="1">
      <c r="L390" s="97"/>
    </row>
    <row r="391" ht="13.5" customHeight="1">
      <c r="L391" s="97"/>
    </row>
    <row r="392" ht="13.5" customHeight="1">
      <c r="L392" s="97"/>
    </row>
    <row r="393" ht="13.5" customHeight="1">
      <c r="L393" s="97"/>
    </row>
    <row r="394" ht="13.5" customHeight="1">
      <c r="L394" s="97"/>
    </row>
    <row r="395" ht="13.5" customHeight="1">
      <c r="L395" s="97"/>
    </row>
    <row r="396" ht="13.5" customHeight="1">
      <c r="L396" s="97"/>
    </row>
    <row r="397" ht="13.5" customHeight="1">
      <c r="L397" s="97"/>
    </row>
    <row r="398" ht="13.5" customHeight="1">
      <c r="L398" s="97"/>
    </row>
    <row r="399" ht="13.5" customHeight="1">
      <c r="L399" s="97"/>
    </row>
    <row r="400" ht="13.5" customHeight="1">
      <c r="L400" s="97"/>
    </row>
    <row r="401" ht="13.5" customHeight="1">
      <c r="L401" s="97"/>
    </row>
    <row r="402" ht="13.5" customHeight="1">
      <c r="L402" s="97"/>
    </row>
    <row r="403" ht="13.5" customHeight="1">
      <c r="L403" s="97"/>
    </row>
    <row r="404" ht="13.5" customHeight="1">
      <c r="L404" s="97"/>
    </row>
    <row r="405" ht="13.5" customHeight="1">
      <c r="L405" s="97"/>
    </row>
    <row r="406" ht="13.5" customHeight="1">
      <c r="L406" s="97"/>
    </row>
    <row r="407" ht="13.5" customHeight="1">
      <c r="L407" s="97"/>
    </row>
    <row r="408" ht="13.5" customHeight="1">
      <c r="L408" s="97"/>
    </row>
    <row r="409" ht="13.5" customHeight="1">
      <c r="L409" s="97"/>
    </row>
    <row r="410" ht="13.5" customHeight="1">
      <c r="L410" s="97"/>
    </row>
    <row r="411" ht="13.5" customHeight="1">
      <c r="L411" s="97"/>
    </row>
    <row r="412" ht="13.5" customHeight="1">
      <c r="L412" s="97"/>
    </row>
    <row r="413" ht="13.5" customHeight="1">
      <c r="L413" s="97"/>
    </row>
    <row r="414" ht="13.5" customHeight="1">
      <c r="L414" s="97"/>
    </row>
    <row r="415" ht="13.5" customHeight="1">
      <c r="L415" s="97"/>
    </row>
    <row r="416" ht="13.5" customHeight="1">
      <c r="L416" s="97"/>
    </row>
    <row r="417" ht="13.5" customHeight="1">
      <c r="L417" s="97"/>
    </row>
    <row r="418" ht="13.5" customHeight="1">
      <c r="L418" s="97"/>
    </row>
    <row r="419" ht="13.5" customHeight="1">
      <c r="L419" s="97"/>
    </row>
    <row r="420" ht="13.5" customHeight="1">
      <c r="L420" s="97"/>
    </row>
    <row r="421" ht="13.5" customHeight="1">
      <c r="L421" s="97"/>
    </row>
    <row r="422" ht="13.5" customHeight="1">
      <c r="L422" s="97"/>
    </row>
    <row r="423" ht="13.5" customHeight="1">
      <c r="L423" s="97"/>
    </row>
    <row r="424" ht="13.5" customHeight="1">
      <c r="L424" s="97"/>
    </row>
    <row r="425" ht="13.5" customHeight="1">
      <c r="L425" s="97"/>
    </row>
    <row r="426" ht="13.5" customHeight="1">
      <c r="L426" s="97"/>
    </row>
    <row r="427" ht="13.5" customHeight="1">
      <c r="L427" s="97"/>
    </row>
    <row r="428" ht="13.5" customHeight="1">
      <c r="L428" s="97"/>
    </row>
    <row r="429" ht="13.5" customHeight="1">
      <c r="L429" s="97"/>
    </row>
    <row r="430" ht="13.5" customHeight="1">
      <c r="L430" s="97"/>
    </row>
    <row r="431" ht="13.5" customHeight="1">
      <c r="L431" s="97"/>
    </row>
    <row r="432" ht="13.5" customHeight="1">
      <c r="L432" s="97"/>
    </row>
    <row r="433" ht="13.5" customHeight="1">
      <c r="L433" s="97"/>
    </row>
    <row r="434" ht="13.5" customHeight="1">
      <c r="L434" s="97"/>
    </row>
    <row r="435" ht="13.5" customHeight="1">
      <c r="L435" s="97"/>
    </row>
    <row r="436" ht="13.5" customHeight="1">
      <c r="L436" s="97"/>
    </row>
    <row r="437" ht="13.5" customHeight="1">
      <c r="L437" s="97"/>
    </row>
    <row r="438" ht="13.5" customHeight="1">
      <c r="L438" s="97"/>
    </row>
    <row r="439" ht="13.5" customHeight="1">
      <c r="L439" s="97"/>
    </row>
    <row r="440" ht="13.5" customHeight="1">
      <c r="L440" s="97"/>
    </row>
    <row r="441" ht="13.5" customHeight="1">
      <c r="L441" s="97"/>
    </row>
    <row r="442" ht="13.5" customHeight="1">
      <c r="L442" s="97"/>
    </row>
    <row r="443" ht="13.5" customHeight="1">
      <c r="L443" s="97"/>
    </row>
    <row r="444" ht="13.5" customHeight="1">
      <c r="L444" s="97"/>
    </row>
    <row r="445" ht="13.5" customHeight="1">
      <c r="L445" s="97"/>
    </row>
    <row r="446" ht="13.5" customHeight="1">
      <c r="L446" s="97"/>
    </row>
    <row r="447" ht="13.5" customHeight="1">
      <c r="L447" s="97"/>
    </row>
    <row r="448" ht="13.5" customHeight="1">
      <c r="L448" s="97"/>
    </row>
    <row r="449" ht="13.5" customHeight="1">
      <c r="L449" s="97"/>
    </row>
    <row r="450" ht="13.5" customHeight="1">
      <c r="L450" s="97"/>
    </row>
    <row r="451" ht="13.5" customHeight="1">
      <c r="L451" s="97"/>
    </row>
    <row r="452" ht="13.5" customHeight="1">
      <c r="L452" s="97"/>
    </row>
    <row r="453" ht="13.5" customHeight="1">
      <c r="L453" s="97"/>
    </row>
    <row r="454" ht="13.5" customHeight="1">
      <c r="L454" s="97"/>
    </row>
    <row r="455" ht="13.5" customHeight="1">
      <c r="L455" s="97"/>
    </row>
    <row r="456" ht="13.5" customHeight="1">
      <c r="L456" s="97"/>
    </row>
    <row r="457" ht="13.5" customHeight="1">
      <c r="L457" s="97"/>
    </row>
    <row r="458" ht="13.5" customHeight="1">
      <c r="L458" s="97"/>
    </row>
    <row r="459" ht="13.5" customHeight="1">
      <c r="L459" s="97"/>
    </row>
    <row r="460" ht="13.5" customHeight="1">
      <c r="L460" s="97"/>
    </row>
    <row r="461" ht="13.5" customHeight="1">
      <c r="L461" s="97"/>
    </row>
    <row r="462" ht="13.5" customHeight="1">
      <c r="L462" s="97"/>
    </row>
    <row r="463" ht="13.5" customHeight="1">
      <c r="L463" s="97"/>
    </row>
    <row r="464" ht="13.5" customHeight="1">
      <c r="L464" s="97"/>
    </row>
    <row r="465" ht="13.5" customHeight="1">
      <c r="L465" s="97"/>
    </row>
    <row r="466" ht="13.5" customHeight="1">
      <c r="L466" s="97"/>
    </row>
    <row r="467" ht="13.5" customHeight="1">
      <c r="L467" s="97"/>
    </row>
    <row r="468" ht="13.5" customHeight="1">
      <c r="L468" s="97"/>
    </row>
    <row r="469" ht="13.5" customHeight="1">
      <c r="L469" s="97"/>
    </row>
    <row r="470" ht="13.5" customHeight="1">
      <c r="L470" s="97"/>
    </row>
    <row r="471" ht="13.5" customHeight="1">
      <c r="L471" s="97"/>
    </row>
    <row r="472" ht="13.5" customHeight="1">
      <c r="L472" s="97"/>
    </row>
    <row r="473" ht="13.5" customHeight="1">
      <c r="L473" s="97"/>
    </row>
    <row r="474" ht="13.5" customHeight="1">
      <c r="L474" s="97"/>
    </row>
    <row r="475" ht="13.5" customHeight="1">
      <c r="L475" s="97"/>
    </row>
    <row r="476" ht="13.5" customHeight="1">
      <c r="L476" s="97"/>
    </row>
    <row r="477" ht="13.5" customHeight="1">
      <c r="L477" s="97"/>
    </row>
    <row r="478" ht="13.5" customHeight="1">
      <c r="L478" s="97"/>
    </row>
    <row r="479" ht="13.5" customHeight="1">
      <c r="L479" s="97"/>
    </row>
    <row r="480" ht="13.5" customHeight="1">
      <c r="L480" s="97"/>
    </row>
    <row r="481" ht="13.5" customHeight="1">
      <c r="L481" s="97"/>
    </row>
    <row r="482" ht="13.5" customHeight="1">
      <c r="L482" s="97"/>
    </row>
    <row r="483" ht="13.5" customHeight="1">
      <c r="L483" s="97"/>
    </row>
    <row r="484" ht="13.5" customHeight="1">
      <c r="L484" s="97"/>
    </row>
    <row r="485" ht="13.5" customHeight="1">
      <c r="L485" s="97"/>
    </row>
    <row r="486" ht="13.5" customHeight="1">
      <c r="L486" s="97"/>
    </row>
    <row r="487" ht="13.5" customHeight="1">
      <c r="L487" s="97"/>
    </row>
    <row r="488" ht="13.5" customHeight="1">
      <c r="L488" s="97"/>
    </row>
    <row r="489" ht="13.5" customHeight="1">
      <c r="L489" s="97"/>
    </row>
    <row r="490" ht="13.5" customHeight="1">
      <c r="L490" s="97"/>
    </row>
    <row r="491" ht="13.5" customHeight="1">
      <c r="L491" s="97"/>
    </row>
    <row r="492" ht="13.5" customHeight="1">
      <c r="L492" s="97"/>
    </row>
    <row r="493" ht="13.5" customHeight="1">
      <c r="L493" s="97"/>
    </row>
    <row r="494" ht="13.5" customHeight="1">
      <c r="L494" s="97"/>
    </row>
    <row r="495" ht="13.5" customHeight="1">
      <c r="L495" s="97"/>
    </row>
    <row r="496" ht="13.5" customHeight="1">
      <c r="L496" s="97"/>
    </row>
    <row r="497" ht="13.5" customHeight="1">
      <c r="L497" s="97"/>
    </row>
    <row r="498" ht="13.5" customHeight="1">
      <c r="L498" s="97"/>
    </row>
    <row r="499" ht="13.5" customHeight="1">
      <c r="L499" s="97"/>
    </row>
    <row r="500" ht="13.5" customHeight="1">
      <c r="L500" s="97"/>
    </row>
    <row r="501" ht="13.5" customHeight="1">
      <c r="L501" s="97"/>
    </row>
    <row r="502" ht="13.5" customHeight="1">
      <c r="L502" s="97"/>
    </row>
    <row r="503" ht="13.5" customHeight="1">
      <c r="L503" s="97"/>
    </row>
    <row r="504" ht="13.5" customHeight="1">
      <c r="L504" s="97"/>
    </row>
    <row r="505" ht="13.5" customHeight="1">
      <c r="L505" s="97"/>
    </row>
    <row r="506" ht="13.5" customHeight="1">
      <c r="L506" s="97"/>
    </row>
    <row r="507" ht="13.5" customHeight="1">
      <c r="L507" s="97"/>
    </row>
    <row r="508" ht="13.5" customHeight="1">
      <c r="L508" s="97"/>
    </row>
    <row r="509" ht="13.5" customHeight="1">
      <c r="L509" s="97"/>
    </row>
    <row r="510" ht="13.5" customHeight="1">
      <c r="L510" s="97"/>
    </row>
    <row r="511" ht="13.5" customHeight="1">
      <c r="L511" s="97"/>
    </row>
    <row r="512" ht="13.5" customHeight="1">
      <c r="L512" s="97"/>
    </row>
    <row r="513" ht="13.5" customHeight="1">
      <c r="L513" s="97"/>
    </row>
    <row r="514" ht="13.5" customHeight="1">
      <c r="L514" s="97"/>
    </row>
    <row r="515" ht="13.5" customHeight="1">
      <c r="L515" s="97"/>
    </row>
    <row r="516" ht="13.5" customHeight="1">
      <c r="L516" s="97"/>
    </row>
    <row r="517" ht="13.5" customHeight="1">
      <c r="L517" s="97"/>
    </row>
    <row r="518" ht="13.5" customHeight="1">
      <c r="L518" s="97"/>
    </row>
    <row r="519" ht="13.5" customHeight="1">
      <c r="L519" s="97"/>
    </row>
    <row r="520" ht="13.5" customHeight="1">
      <c r="L520" s="97"/>
    </row>
    <row r="521" ht="13.5" customHeight="1">
      <c r="L521" s="97"/>
    </row>
    <row r="522" ht="13.5" customHeight="1">
      <c r="L522" s="97"/>
    </row>
    <row r="523" ht="13.5" customHeight="1">
      <c r="L523" s="97"/>
    </row>
    <row r="524" ht="13.5" customHeight="1">
      <c r="L524" s="97"/>
    </row>
    <row r="525" ht="13.5" customHeight="1">
      <c r="L525" s="97"/>
    </row>
    <row r="526" ht="13.5" customHeight="1">
      <c r="L526" s="97"/>
    </row>
    <row r="527" ht="13.5" customHeight="1">
      <c r="L527" s="97"/>
    </row>
    <row r="528" ht="13.5" customHeight="1">
      <c r="L528" s="97"/>
    </row>
    <row r="529" ht="13.5" customHeight="1">
      <c r="L529" s="97"/>
    </row>
    <row r="530" ht="13.5" customHeight="1">
      <c r="L530" s="97"/>
    </row>
    <row r="531" ht="13.5" customHeight="1">
      <c r="L531" s="97"/>
    </row>
    <row r="532" ht="13.5" customHeight="1">
      <c r="L532" s="97"/>
    </row>
    <row r="533" ht="13.5" customHeight="1">
      <c r="L533" s="97"/>
    </row>
    <row r="534" ht="13.5" customHeight="1">
      <c r="L534" s="97"/>
    </row>
    <row r="535" ht="13.5" customHeight="1">
      <c r="L535" s="97"/>
    </row>
    <row r="536" ht="13.5" customHeight="1">
      <c r="L536" s="97"/>
    </row>
    <row r="537" ht="13.5" customHeight="1">
      <c r="L537" s="97"/>
    </row>
    <row r="538" ht="13.5" customHeight="1">
      <c r="L538" s="97"/>
    </row>
    <row r="539" ht="13.5" customHeight="1">
      <c r="L539" s="97"/>
    </row>
    <row r="540" ht="13.5" customHeight="1">
      <c r="L540" s="97"/>
    </row>
    <row r="541" ht="13.5" customHeight="1">
      <c r="L541" s="97"/>
    </row>
    <row r="542" ht="13.5" customHeight="1">
      <c r="L542" s="97"/>
    </row>
    <row r="543" ht="13.5" customHeight="1">
      <c r="L543" s="97"/>
    </row>
    <row r="544" ht="13.5" customHeight="1">
      <c r="L544" s="97"/>
    </row>
    <row r="545" ht="13.5" customHeight="1">
      <c r="L545" s="97"/>
    </row>
    <row r="546" ht="13.5" customHeight="1">
      <c r="L546" s="97"/>
    </row>
    <row r="547" ht="13.5" customHeight="1">
      <c r="L547" s="97"/>
    </row>
    <row r="548" ht="13.5" customHeight="1">
      <c r="L548" s="97"/>
    </row>
    <row r="549" ht="13.5" customHeight="1">
      <c r="L549" s="97"/>
    </row>
    <row r="550" ht="13.5" customHeight="1">
      <c r="L550" s="97"/>
    </row>
    <row r="551" ht="13.5" customHeight="1">
      <c r="L551" s="97"/>
    </row>
    <row r="552" ht="13.5" customHeight="1">
      <c r="L552" s="97"/>
    </row>
    <row r="553" ht="13.5" customHeight="1">
      <c r="L553" s="97"/>
    </row>
    <row r="554" ht="13.5" customHeight="1">
      <c r="L554" s="97"/>
    </row>
    <row r="555" ht="13.5" customHeight="1">
      <c r="L555" s="97"/>
    </row>
    <row r="556" ht="13.5" customHeight="1">
      <c r="L556" s="97"/>
    </row>
    <row r="557" ht="13.5" customHeight="1">
      <c r="L557" s="97"/>
    </row>
    <row r="558" ht="13.5" customHeight="1">
      <c r="L558" s="97"/>
    </row>
    <row r="559" ht="13.5" customHeight="1">
      <c r="L559" s="97"/>
    </row>
    <row r="560" ht="13.5" customHeight="1">
      <c r="L560" s="97"/>
    </row>
    <row r="561" ht="13.5" customHeight="1">
      <c r="L561" s="97"/>
    </row>
    <row r="562" ht="13.5" customHeight="1">
      <c r="L562" s="97"/>
    </row>
    <row r="563" ht="13.5" customHeight="1">
      <c r="L563" s="97"/>
    </row>
    <row r="564" ht="13.5" customHeight="1">
      <c r="L564" s="97"/>
    </row>
    <row r="565" ht="13.5" customHeight="1">
      <c r="L565" s="97"/>
    </row>
    <row r="566" ht="13.5" customHeight="1">
      <c r="L566" s="97"/>
    </row>
    <row r="567" ht="13.5" customHeight="1">
      <c r="L567" s="97"/>
    </row>
    <row r="568" ht="13.5" customHeight="1">
      <c r="L568" s="97"/>
    </row>
    <row r="569" ht="13.5" customHeight="1">
      <c r="L569" s="97"/>
    </row>
    <row r="570" ht="13.5" customHeight="1">
      <c r="L570" s="97"/>
    </row>
    <row r="571" ht="13.5" customHeight="1">
      <c r="L571" s="97"/>
    </row>
    <row r="572" ht="13.5" customHeight="1">
      <c r="L572" s="97"/>
    </row>
    <row r="573" ht="13.5" customHeight="1">
      <c r="L573" s="97"/>
    </row>
    <row r="574" ht="13.5" customHeight="1">
      <c r="L574" s="97"/>
    </row>
    <row r="575" ht="13.5" customHeight="1">
      <c r="L575" s="97"/>
    </row>
    <row r="576" ht="13.5" customHeight="1">
      <c r="L576" s="97"/>
    </row>
    <row r="577" ht="13.5" customHeight="1">
      <c r="L577" s="97"/>
    </row>
    <row r="578" ht="13.5" customHeight="1">
      <c r="L578" s="97"/>
    </row>
    <row r="579" ht="13.5" customHeight="1">
      <c r="L579" s="97"/>
    </row>
    <row r="580" ht="13.5" customHeight="1">
      <c r="L580" s="97"/>
    </row>
    <row r="581" ht="13.5" customHeight="1">
      <c r="L581" s="97"/>
    </row>
    <row r="582" ht="13.5" customHeight="1">
      <c r="L582" s="97"/>
    </row>
    <row r="583" ht="13.5" customHeight="1">
      <c r="L583" s="97"/>
    </row>
    <row r="584" ht="13.5" customHeight="1">
      <c r="L584" s="97"/>
    </row>
    <row r="585" ht="13.5" customHeight="1">
      <c r="L585" s="97"/>
    </row>
    <row r="586" ht="13.5" customHeight="1">
      <c r="L586" s="97"/>
    </row>
    <row r="587" ht="13.5" customHeight="1">
      <c r="L587" s="97"/>
    </row>
    <row r="588" ht="13.5" customHeight="1">
      <c r="L588" s="97"/>
    </row>
    <row r="589" ht="13.5" customHeight="1">
      <c r="L589" s="97"/>
    </row>
    <row r="590" ht="13.5" customHeight="1">
      <c r="L590" s="97"/>
    </row>
    <row r="591" ht="13.5" customHeight="1">
      <c r="L591" s="97"/>
    </row>
    <row r="592" ht="13.5" customHeight="1">
      <c r="L592" s="97"/>
    </row>
    <row r="593" ht="13.5" customHeight="1">
      <c r="L593" s="97"/>
    </row>
    <row r="594" ht="13.5" customHeight="1">
      <c r="L594" s="97"/>
    </row>
    <row r="595" ht="13.5" customHeight="1">
      <c r="L595" s="97"/>
    </row>
    <row r="596" ht="13.5" customHeight="1">
      <c r="L596" s="97"/>
    </row>
    <row r="597" ht="13.5" customHeight="1">
      <c r="L597" s="97"/>
    </row>
    <row r="598" ht="13.5" customHeight="1">
      <c r="L598" s="97"/>
    </row>
    <row r="599" ht="13.5" customHeight="1">
      <c r="L599" s="97"/>
    </row>
    <row r="600" ht="13.5" customHeight="1">
      <c r="L600" s="97"/>
    </row>
    <row r="601" ht="13.5" customHeight="1">
      <c r="L601" s="97"/>
    </row>
    <row r="602" ht="13.5" customHeight="1">
      <c r="L602" s="97"/>
    </row>
    <row r="603" ht="13.5" customHeight="1">
      <c r="L603" s="97"/>
    </row>
    <row r="604" ht="13.5" customHeight="1">
      <c r="L604" s="97"/>
    </row>
    <row r="605" ht="13.5" customHeight="1">
      <c r="L605" s="97"/>
    </row>
    <row r="606" ht="13.5" customHeight="1">
      <c r="L606" s="97"/>
    </row>
    <row r="607" ht="13.5" customHeight="1">
      <c r="L607" s="97"/>
    </row>
    <row r="608" ht="13.5" customHeight="1">
      <c r="L608" s="97"/>
    </row>
    <row r="609" ht="13.5" customHeight="1">
      <c r="L609" s="97"/>
    </row>
    <row r="610" ht="13.5" customHeight="1">
      <c r="L610" s="97"/>
    </row>
    <row r="611" ht="13.5" customHeight="1">
      <c r="L611" s="97"/>
    </row>
    <row r="612" ht="13.5" customHeight="1">
      <c r="L612" s="97"/>
    </row>
    <row r="613" ht="13.5" customHeight="1">
      <c r="L613" s="97"/>
    </row>
    <row r="614" ht="13.5" customHeight="1">
      <c r="L614" s="97"/>
    </row>
    <row r="615" ht="13.5" customHeight="1">
      <c r="L615" s="97"/>
    </row>
    <row r="616" ht="13.5" customHeight="1">
      <c r="L616" s="97"/>
    </row>
    <row r="617" ht="13.5" customHeight="1">
      <c r="L617" s="97"/>
    </row>
    <row r="618" ht="13.5" customHeight="1">
      <c r="L618" s="97"/>
    </row>
    <row r="619" ht="13.5" customHeight="1">
      <c r="L619" s="97"/>
    </row>
    <row r="620" ht="13.5" customHeight="1">
      <c r="L620" s="97"/>
    </row>
    <row r="621" ht="13.5" customHeight="1">
      <c r="L621" s="97"/>
    </row>
    <row r="622" ht="13.5" customHeight="1">
      <c r="L622" s="97"/>
    </row>
    <row r="623" ht="13.5" customHeight="1">
      <c r="L623" s="97"/>
    </row>
    <row r="624" ht="13.5" customHeight="1">
      <c r="L624" s="97"/>
    </row>
    <row r="625" ht="13.5" customHeight="1">
      <c r="L625" s="97"/>
    </row>
    <row r="626" ht="13.5" customHeight="1">
      <c r="L626" s="97"/>
    </row>
    <row r="627" ht="13.5" customHeight="1">
      <c r="L627" s="97"/>
    </row>
    <row r="628" ht="13.5" customHeight="1">
      <c r="L628" s="97"/>
    </row>
    <row r="629" ht="13.5" customHeight="1">
      <c r="L629" s="97"/>
    </row>
    <row r="630" ht="13.5" customHeight="1">
      <c r="L630" s="97"/>
    </row>
    <row r="631" ht="13.5" customHeight="1">
      <c r="L631" s="97"/>
    </row>
    <row r="632" ht="13.5" customHeight="1">
      <c r="L632" s="97"/>
    </row>
    <row r="633" ht="13.5" customHeight="1">
      <c r="L633" s="97"/>
    </row>
    <row r="634" ht="13.5" customHeight="1">
      <c r="L634" s="97"/>
    </row>
    <row r="635" ht="13.5" customHeight="1">
      <c r="L635" s="97"/>
    </row>
    <row r="636" ht="13.5" customHeight="1">
      <c r="L636" s="97"/>
    </row>
    <row r="637" ht="13.5" customHeight="1">
      <c r="L637" s="97"/>
    </row>
    <row r="638" ht="13.5" customHeight="1">
      <c r="L638" s="97"/>
    </row>
    <row r="639" ht="13.5" customHeight="1">
      <c r="L639" s="97"/>
    </row>
    <row r="640" ht="13.5" customHeight="1">
      <c r="L640" s="97"/>
    </row>
    <row r="641" ht="13.5" customHeight="1">
      <c r="L641" s="97"/>
    </row>
    <row r="642" ht="13.5" customHeight="1">
      <c r="L642" s="97"/>
    </row>
    <row r="643" ht="13.5" customHeight="1">
      <c r="L643" s="97"/>
    </row>
    <row r="644" ht="13.5" customHeight="1">
      <c r="L644" s="97"/>
    </row>
    <row r="645" ht="13.5" customHeight="1">
      <c r="L645" s="97"/>
    </row>
    <row r="646" ht="13.5" customHeight="1">
      <c r="L646" s="97"/>
    </row>
    <row r="647" ht="13.5" customHeight="1">
      <c r="L647" s="97"/>
    </row>
    <row r="648" ht="13.5" customHeight="1">
      <c r="L648" s="97"/>
    </row>
    <row r="649" ht="13.5" customHeight="1">
      <c r="L649" s="97"/>
    </row>
    <row r="650" ht="13.5" customHeight="1">
      <c r="L650" s="97"/>
    </row>
    <row r="651" ht="13.5" customHeight="1">
      <c r="L651" s="97"/>
    </row>
    <row r="652" ht="13.5" customHeight="1">
      <c r="L652" s="97"/>
    </row>
    <row r="653" ht="13.5" customHeight="1">
      <c r="L653" s="97"/>
    </row>
    <row r="654" ht="13.5" customHeight="1">
      <c r="L654" s="97"/>
    </row>
    <row r="655" ht="13.5" customHeight="1">
      <c r="L655" s="97"/>
    </row>
    <row r="656" ht="13.5" customHeight="1">
      <c r="L656" s="97"/>
    </row>
    <row r="657" ht="13.5" customHeight="1">
      <c r="L657" s="97"/>
    </row>
    <row r="658" ht="13.5" customHeight="1">
      <c r="L658" s="97"/>
    </row>
    <row r="659" ht="13.5" customHeight="1">
      <c r="L659" s="97"/>
    </row>
    <row r="660" ht="13.5" customHeight="1">
      <c r="L660" s="97"/>
    </row>
    <row r="661" ht="13.5" customHeight="1">
      <c r="L661" s="97"/>
    </row>
    <row r="662" ht="13.5" customHeight="1">
      <c r="L662" s="97"/>
    </row>
    <row r="663" ht="13.5" customHeight="1">
      <c r="L663" s="97"/>
    </row>
    <row r="664" ht="13.5" customHeight="1">
      <c r="L664" s="97"/>
    </row>
    <row r="665" ht="13.5" customHeight="1">
      <c r="L665" s="97"/>
    </row>
    <row r="666" ht="13.5" customHeight="1">
      <c r="L666" s="97"/>
    </row>
    <row r="667" ht="13.5" customHeight="1">
      <c r="L667" s="97"/>
    </row>
    <row r="668" ht="13.5" customHeight="1">
      <c r="L668" s="97"/>
    </row>
    <row r="669" ht="13.5" customHeight="1">
      <c r="L669" s="97"/>
    </row>
    <row r="670" ht="13.5" customHeight="1">
      <c r="L670" s="97"/>
    </row>
    <row r="671" ht="13.5" customHeight="1">
      <c r="L671" s="97"/>
    </row>
    <row r="672" ht="13.5" customHeight="1">
      <c r="L672" s="97"/>
    </row>
    <row r="673" ht="13.5" customHeight="1">
      <c r="L673" s="97"/>
    </row>
    <row r="674" ht="13.5" customHeight="1">
      <c r="L674" s="97"/>
    </row>
    <row r="675" ht="13.5" customHeight="1">
      <c r="L675" s="97"/>
    </row>
    <row r="676" ht="13.5" customHeight="1">
      <c r="L676" s="97"/>
    </row>
    <row r="677" ht="13.5" customHeight="1">
      <c r="L677" s="97"/>
    </row>
    <row r="678" ht="13.5" customHeight="1">
      <c r="L678" s="97"/>
    </row>
    <row r="679" ht="13.5" customHeight="1">
      <c r="L679" s="97"/>
    </row>
    <row r="680" ht="13.5" customHeight="1">
      <c r="L680" s="97"/>
    </row>
    <row r="681" ht="13.5" customHeight="1">
      <c r="L681" s="97"/>
    </row>
    <row r="682" ht="13.5" customHeight="1">
      <c r="L682" s="97"/>
    </row>
    <row r="683" ht="13.5" customHeight="1">
      <c r="L683" s="97"/>
    </row>
    <row r="684" ht="13.5" customHeight="1">
      <c r="L684" s="97"/>
    </row>
    <row r="685" ht="13.5" customHeight="1">
      <c r="L685" s="97"/>
    </row>
    <row r="686" ht="13.5" customHeight="1">
      <c r="L686" s="97"/>
    </row>
    <row r="687" ht="13.5" customHeight="1">
      <c r="L687" s="97"/>
    </row>
    <row r="688" ht="13.5" customHeight="1">
      <c r="L688" s="97"/>
    </row>
    <row r="689" ht="13.5" customHeight="1">
      <c r="L689" s="97"/>
    </row>
    <row r="690" ht="13.5" customHeight="1">
      <c r="L690" s="97"/>
    </row>
    <row r="691" ht="13.5" customHeight="1">
      <c r="L691" s="97"/>
    </row>
    <row r="692" ht="13.5" customHeight="1">
      <c r="L692" s="97"/>
    </row>
    <row r="693" ht="13.5" customHeight="1">
      <c r="L693" s="97"/>
    </row>
    <row r="694" ht="13.5" customHeight="1">
      <c r="L694" s="97"/>
    </row>
    <row r="695" ht="13.5" customHeight="1">
      <c r="L695" s="97"/>
    </row>
    <row r="696" ht="13.5" customHeight="1">
      <c r="L696" s="97"/>
    </row>
    <row r="697" ht="13.5" customHeight="1">
      <c r="L697" s="97"/>
    </row>
    <row r="698" ht="13.5" customHeight="1">
      <c r="L698" s="97"/>
    </row>
    <row r="699" ht="13.5" customHeight="1">
      <c r="L699" s="97"/>
    </row>
    <row r="700" ht="13.5" customHeight="1">
      <c r="L700" s="97"/>
    </row>
    <row r="701" ht="13.5" customHeight="1">
      <c r="L701" s="97"/>
    </row>
    <row r="702" ht="13.5" customHeight="1">
      <c r="L702" s="97"/>
    </row>
    <row r="703" ht="13.5" customHeight="1">
      <c r="L703" s="97"/>
    </row>
    <row r="704" ht="13.5" customHeight="1">
      <c r="L704" s="97"/>
    </row>
    <row r="705" ht="13.5" customHeight="1">
      <c r="L705" s="97"/>
    </row>
    <row r="706" ht="13.5" customHeight="1">
      <c r="L706" s="97"/>
    </row>
    <row r="707" ht="13.5" customHeight="1">
      <c r="L707" s="97"/>
    </row>
    <row r="708" ht="13.5" customHeight="1">
      <c r="L708" s="97"/>
    </row>
    <row r="709" ht="13.5" customHeight="1">
      <c r="L709" s="97"/>
    </row>
    <row r="710" ht="13.5" customHeight="1">
      <c r="L710" s="97"/>
    </row>
    <row r="711" ht="13.5" customHeight="1">
      <c r="L711" s="97"/>
    </row>
    <row r="712" ht="13.5" customHeight="1">
      <c r="L712" s="97"/>
    </row>
    <row r="713" ht="13.5" customHeight="1">
      <c r="L713" s="97"/>
    </row>
    <row r="714" ht="13.5" customHeight="1">
      <c r="L714" s="97"/>
    </row>
    <row r="715" ht="13.5" customHeight="1">
      <c r="L715" s="97"/>
    </row>
    <row r="716" ht="13.5" customHeight="1">
      <c r="L716" s="97"/>
    </row>
    <row r="717" ht="13.5" customHeight="1">
      <c r="L717" s="97"/>
    </row>
    <row r="718" ht="13.5" customHeight="1">
      <c r="L718" s="97"/>
    </row>
    <row r="719" ht="13.5" customHeight="1">
      <c r="L719" s="97"/>
    </row>
    <row r="720" ht="13.5" customHeight="1">
      <c r="L720" s="97"/>
    </row>
    <row r="721" ht="13.5" customHeight="1">
      <c r="L721" s="97"/>
    </row>
    <row r="722" ht="13.5" customHeight="1">
      <c r="L722" s="97"/>
    </row>
    <row r="723" ht="13.5" customHeight="1">
      <c r="L723" s="97"/>
    </row>
    <row r="724" ht="13.5" customHeight="1">
      <c r="L724" s="97"/>
    </row>
    <row r="725" ht="13.5" customHeight="1">
      <c r="L725" s="97"/>
    </row>
    <row r="726" ht="13.5" customHeight="1">
      <c r="L726" s="97"/>
    </row>
    <row r="727" ht="13.5" customHeight="1">
      <c r="L727" s="97"/>
    </row>
    <row r="728" ht="13.5" customHeight="1">
      <c r="L728" s="97"/>
    </row>
    <row r="729" ht="13.5" customHeight="1">
      <c r="L729" s="97"/>
    </row>
    <row r="730" ht="13.5" customHeight="1">
      <c r="L730" s="97"/>
    </row>
    <row r="731" ht="13.5" customHeight="1">
      <c r="L731" s="97"/>
    </row>
    <row r="732" ht="13.5" customHeight="1">
      <c r="L732" s="97"/>
    </row>
    <row r="733" ht="13.5" customHeight="1">
      <c r="L733" s="97"/>
    </row>
    <row r="734" ht="13.5" customHeight="1">
      <c r="L734" s="97"/>
    </row>
    <row r="735" ht="13.5" customHeight="1">
      <c r="L735" s="97"/>
    </row>
    <row r="736" ht="13.5" customHeight="1">
      <c r="L736" s="97"/>
    </row>
    <row r="737" ht="13.5" customHeight="1">
      <c r="L737" s="97"/>
    </row>
    <row r="738" ht="13.5" customHeight="1">
      <c r="L738" s="97"/>
    </row>
    <row r="739" ht="13.5" customHeight="1">
      <c r="L739" s="97"/>
    </row>
    <row r="740" ht="13.5" customHeight="1">
      <c r="L740" s="97"/>
    </row>
    <row r="741" ht="13.5" customHeight="1">
      <c r="L741" s="97"/>
    </row>
    <row r="742" ht="13.5" customHeight="1">
      <c r="L742" s="97"/>
    </row>
    <row r="743" ht="13.5" customHeight="1">
      <c r="L743" s="97"/>
    </row>
    <row r="744" ht="13.5" customHeight="1">
      <c r="L744" s="97"/>
    </row>
    <row r="745" ht="13.5" customHeight="1">
      <c r="L745" s="97"/>
    </row>
    <row r="746" ht="13.5" customHeight="1">
      <c r="L746" s="97"/>
    </row>
    <row r="747" ht="13.5" customHeight="1">
      <c r="L747" s="97"/>
    </row>
    <row r="748" ht="13.5" customHeight="1">
      <c r="L748" s="97"/>
    </row>
    <row r="749" ht="13.5" customHeight="1">
      <c r="L749" s="97"/>
    </row>
    <row r="750" ht="13.5" customHeight="1">
      <c r="L750" s="97"/>
    </row>
    <row r="751" ht="13.5" customHeight="1">
      <c r="L751" s="97"/>
    </row>
    <row r="752" ht="13.5" customHeight="1">
      <c r="L752" s="97"/>
    </row>
    <row r="753" ht="13.5" customHeight="1">
      <c r="L753" s="97"/>
    </row>
    <row r="754" ht="13.5" customHeight="1">
      <c r="L754" s="97"/>
    </row>
    <row r="755" ht="13.5" customHeight="1">
      <c r="L755" s="97"/>
    </row>
    <row r="756" ht="13.5" customHeight="1">
      <c r="L756" s="97"/>
    </row>
    <row r="757" ht="13.5" customHeight="1">
      <c r="L757" s="97"/>
    </row>
    <row r="758" ht="13.5" customHeight="1">
      <c r="L758" s="97"/>
    </row>
    <row r="759" ht="13.5" customHeight="1">
      <c r="L759" s="97"/>
    </row>
    <row r="760" ht="13.5" customHeight="1">
      <c r="L760" s="97"/>
    </row>
    <row r="761" ht="13.5" customHeight="1">
      <c r="L761" s="97"/>
    </row>
    <row r="762" ht="13.5" customHeight="1">
      <c r="L762" s="97"/>
    </row>
    <row r="763" ht="13.5" customHeight="1">
      <c r="L763" s="97"/>
    </row>
    <row r="764" ht="13.5" customHeight="1">
      <c r="L764" s="97"/>
    </row>
    <row r="765" ht="13.5" customHeight="1">
      <c r="L765" s="97"/>
    </row>
    <row r="766" ht="13.5" customHeight="1">
      <c r="L766" s="97"/>
    </row>
    <row r="767" ht="13.5" customHeight="1">
      <c r="L767" s="97"/>
    </row>
    <row r="768" ht="13.5" customHeight="1">
      <c r="L768" s="97"/>
    </row>
    <row r="769" ht="13.5" customHeight="1">
      <c r="L769" s="97"/>
    </row>
    <row r="770" ht="13.5" customHeight="1">
      <c r="L770" s="97"/>
    </row>
    <row r="771" ht="13.5" customHeight="1">
      <c r="L771" s="97"/>
    </row>
    <row r="772" ht="13.5" customHeight="1">
      <c r="L772" s="97"/>
    </row>
    <row r="773" ht="13.5" customHeight="1">
      <c r="L773" s="97"/>
    </row>
    <row r="774" ht="13.5" customHeight="1">
      <c r="L774" s="97"/>
    </row>
    <row r="775" ht="13.5" customHeight="1">
      <c r="L775" s="97"/>
    </row>
    <row r="776" ht="13.5" customHeight="1">
      <c r="L776" s="97"/>
    </row>
    <row r="777" ht="13.5" customHeight="1">
      <c r="L777" s="97"/>
    </row>
    <row r="778" ht="13.5" customHeight="1">
      <c r="L778" s="97"/>
    </row>
    <row r="779" ht="13.5" customHeight="1">
      <c r="L779" s="97"/>
    </row>
    <row r="780" ht="13.5" customHeight="1">
      <c r="L780" s="97"/>
    </row>
    <row r="781" ht="13.5" customHeight="1">
      <c r="L781" s="97"/>
    </row>
    <row r="782" ht="13.5" customHeight="1">
      <c r="L782" s="97"/>
    </row>
    <row r="783" ht="13.5" customHeight="1">
      <c r="L783" s="97"/>
    </row>
    <row r="784" ht="13.5" customHeight="1">
      <c r="L784" s="97"/>
    </row>
    <row r="785" ht="13.5" customHeight="1">
      <c r="L785" s="97"/>
    </row>
    <row r="786" ht="13.5" customHeight="1">
      <c r="L786" s="97"/>
    </row>
    <row r="787" ht="13.5" customHeight="1">
      <c r="L787" s="97"/>
    </row>
    <row r="788" ht="13.5" customHeight="1">
      <c r="L788" s="97"/>
    </row>
    <row r="789" ht="13.5" customHeight="1">
      <c r="L789" s="97"/>
    </row>
    <row r="790" ht="13.5" customHeight="1">
      <c r="L790" s="97"/>
    </row>
    <row r="791" ht="13.5" customHeight="1">
      <c r="L791" s="97"/>
    </row>
    <row r="792" ht="13.5" customHeight="1">
      <c r="L792" s="97"/>
    </row>
    <row r="793" ht="13.5" customHeight="1">
      <c r="L793" s="97"/>
    </row>
    <row r="794" ht="13.5" customHeight="1">
      <c r="L794" s="97"/>
    </row>
    <row r="795" ht="13.5" customHeight="1">
      <c r="L795" s="97"/>
    </row>
    <row r="796" ht="13.5" customHeight="1">
      <c r="L796" s="97"/>
    </row>
    <row r="797" ht="13.5" customHeight="1">
      <c r="L797" s="97"/>
    </row>
    <row r="798" ht="13.5" customHeight="1">
      <c r="L798" s="97"/>
    </row>
    <row r="799" ht="13.5" customHeight="1">
      <c r="L799" s="97"/>
    </row>
    <row r="800" ht="13.5" customHeight="1">
      <c r="L800" s="97"/>
    </row>
    <row r="801" ht="13.5" customHeight="1">
      <c r="L801" s="97"/>
    </row>
    <row r="802" ht="13.5" customHeight="1">
      <c r="L802" s="97"/>
    </row>
    <row r="803" ht="13.5" customHeight="1">
      <c r="L803" s="97"/>
    </row>
    <row r="804" ht="13.5" customHeight="1">
      <c r="L804" s="97"/>
    </row>
    <row r="805" ht="13.5" customHeight="1">
      <c r="L805" s="97"/>
    </row>
    <row r="806" ht="13.5" customHeight="1">
      <c r="L806" s="97"/>
    </row>
    <row r="807" ht="13.5" customHeight="1">
      <c r="L807" s="97"/>
    </row>
    <row r="808" ht="13.5" customHeight="1">
      <c r="L808" s="97"/>
    </row>
    <row r="809" ht="13.5" customHeight="1">
      <c r="L809" s="97"/>
    </row>
    <row r="810" ht="13.5" customHeight="1">
      <c r="L810" s="97"/>
    </row>
    <row r="811" ht="13.5" customHeight="1">
      <c r="L811" s="97"/>
    </row>
    <row r="812" ht="13.5" customHeight="1">
      <c r="L812" s="97"/>
    </row>
    <row r="813" ht="13.5" customHeight="1">
      <c r="L813" s="97"/>
    </row>
    <row r="814" ht="13.5" customHeight="1">
      <c r="L814" s="97"/>
    </row>
    <row r="815" ht="13.5" customHeight="1">
      <c r="L815" s="97"/>
    </row>
    <row r="816" ht="13.5" customHeight="1">
      <c r="L816" s="97"/>
    </row>
    <row r="817" ht="13.5" customHeight="1">
      <c r="L817" s="97"/>
    </row>
    <row r="818" ht="13.5" customHeight="1">
      <c r="L818" s="97"/>
    </row>
    <row r="819" ht="13.5" customHeight="1">
      <c r="L819" s="97"/>
    </row>
    <row r="820" ht="13.5" customHeight="1">
      <c r="L820" s="97"/>
    </row>
    <row r="821" ht="13.5" customHeight="1">
      <c r="L821" s="97"/>
    </row>
    <row r="822" ht="13.5" customHeight="1">
      <c r="L822" s="97"/>
    </row>
    <row r="823" ht="13.5" customHeight="1">
      <c r="L823" s="97"/>
    </row>
    <row r="824" ht="13.5" customHeight="1">
      <c r="L824" s="97"/>
    </row>
    <row r="825" ht="13.5" customHeight="1">
      <c r="L825" s="97"/>
    </row>
    <row r="826" ht="13.5" customHeight="1">
      <c r="L826" s="97"/>
    </row>
    <row r="827" ht="13.5" customHeight="1">
      <c r="L827" s="97"/>
    </row>
    <row r="828" ht="13.5" customHeight="1">
      <c r="L828" s="97"/>
    </row>
    <row r="829" ht="13.5" customHeight="1">
      <c r="L829" s="97"/>
    </row>
    <row r="830" ht="13.5" customHeight="1">
      <c r="L830" s="97"/>
    </row>
    <row r="831" ht="13.5" customHeight="1">
      <c r="L831" s="97"/>
    </row>
    <row r="832" ht="13.5" customHeight="1">
      <c r="L832" s="97"/>
    </row>
    <row r="833" ht="13.5" customHeight="1">
      <c r="L833" s="97"/>
    </row>
    <row r="834" ht="13.5" customHeight="1">
      <c r="L834" s="97"/>
    </row>
    <row r="835" ht="13.5" customHeight="1">
      <c r="L835" s="97"/>
    </row>
    <row r="836" ht="13.5" customHeight="1">
      <c r="L836" s="97"/>
    </row>
    <row r="837" ht="13.5" customHeight="1">
      <c r="L837" s="97"/>
    </row>
    <row r="838" ht="13.5" customHeight="1">
      <c r="L838" s="97"/>
    </row>
    <row r="839" ht="13.5" customHeight="1">
      <c r="L839" s="97"/>
    </row>
    <row r="840" ht="13.5" customHeight="1">
      <c r="L840" s="97"/>
    </row>
    <row r="841" ht="13.5" customHeight="1">
      <c r="L841" s="97"/>
    </row>
    <row r="842" ht="13.5" customHeight="1">
      <c r="L842" s="97"/>
    </row>
    <row r="843" ht="13.5" customHeight="1">
      <c r="L843" s="97"/>
    </row>
    <row r="844" ht="13.5" customHeight="1">
      <c r="L844" s="97"/>
    </row>
    <row r="845" ht="13.5" customHeight="1">
      <c r="L845" s="97"/>
    </row>
    <row r="846" ht="13.5" customHeight="1">
      <c r="L846" s="97"/>
    </row>
    <row r="847" ht="13.5" customHeight="1">
      <c r="L847" s="97"/>
    </row>
    <row r="848" ht="13.5" customHeight="1">
      <c r="L848" s="97"/>
    </row>
    <row r="849" ht="13.5" customHeight="1">
      <c r="L849" s="97"/>
    </row>
    <row r="850" ht="13.5" customHeight="1">
      <c r="L850" s="97"/>
    </row>
    <row r="851" ht="13.5" customHeight="1">
      <c r="L851" s="97"/>
    </row>
    <row r="852" ht="13.5" customHeight="1">
      <c r="L852" s="97"/>
    </row>
    <row r="853" ht="13.5" customHeight="1">
      <c r="L853" s="97"/>
    </row>
    <row r="854" ht="13.5" customHeight="1">
      <c r="L854" s="97"/>
    </row>
    <row r="855" ht="13.5" customHeight="1">
      <c r="L855" s="97"/>
    </row>
    <row r="856" ht="13.5" customHeight="1">
      <c r="L856" s="97"/>
    </row>
    <row r="857" ht="13.5" customHeight="1">
      <c r="L857" s="97"/>
    </row>
    <row r="858" ht="13.5" customHeight="1">
      <c r="L858" s="97"/>
    </row>
    <row r="859" ht="13.5" customHeight="1">
      <c r="L859" s="97"/>
    </row>
    <row r="860" ht="13.5" customHeight="1">
      <c r="L860" s="97"/>
    </row>
    <row r="861" ht="13.5" customHeight="1">
      <c r="L861" s="97"/>
    </row>
    <row r="862" ht="13.5" customHeight="1">
      <c r="L862" s="97"/>
    </row>
    <row r="863" ht="13.5" customHeight="1">
      <c r="L863" s="97"/>
    </row>
    <row r="864" ht="13.5" customHeight="1">
      <c r="L864" s="97"/>
    </row>
    <row r="865" ht="13.5" customHeight="1">
      <c r="L865" s="97"/>
    </row>
    <row r="866" ht="13.5" customHeight="1">
      <c r="L866" s="97"/>
    </row>
    <row r="867" ht="13.5" customHeight="1">
      <c r="L867" s="97"/>
    </row>
    <row r="868" ht="13.5" customHeight="1">
      <c r="L868" s="97"/>
    </row>
    <row r="869" ht="13.5" customHeight="1">
      <c r="L869" s="97"/>
    </row>
    <row r="870" ht="13.5" customHeight="1">
      <c r="L870" s="97"/>
    </row>
    <row r="871" ht="13.5" customHeight="1">
      <c r="L871" s="97"/>
    </row>
    <row r="872" ht="13.5" customHeight="1">
      <c r="L872" s="97"/>
    </row>
    <row r="873" ht="13.5" customHeight="1">
      <c r="L873" s="97"/>
    </row>
    <row r="874" ht="13.5" customHeight="1">
      <c r="L874" s="97"/>
    </row>
    <row r="875" ht="13.5" customHeight="1">
      <c r="L875" s="97"/>
    </row>
    <row r="876" ht="13.5" customHeight="1">
      <c r="L876" s="97"/>
    </row>
    <row r="877" ht="13.5" customHeight="1">
      <c r="L877" s="97"/>
    </row>
    <row r="878" ht="13.5" customHeight="1">
      <c r="L878" s="97"/>
    </row>
    <row r="879" ht="13.5" customHeight="1">
      <c r="L879" s="97"/>
    </row>
    <row r="880" ht="13.5" customHeight="1">
      <c r="L880" s="97"/>
    </row>
    <row r="881" ht="13.5" customHeight="1">
      <c r="L881" s="97"/>
    </row>
    <row r="882" ht="13.5" customHeight="1">
      <c r="L882" s="97"/>
    </row>
    <row r="883" ht="13.5" customHeight="1">
      <c r="L883" s="97"/>
    </row>
    <row r="884" ht="13.5" customHeight="1">
      <c r="L884" s="97"/>
    </row>
    <row r="885" ht="13.5" customHeight="1">
      <c r="L885" s="97"/>
    </row>
    <row r="886" ht="13.5" customHeight="1">
      <c r="L886" s="97"/>
    </row>
    <row r="887" ht="13.5" customHeight="1">
      <c r="L887" s="97"/>
    </row>
    <row r="888" ht="13.5" customHeight="1">
      <c r="L888" s="97"/>
    </row>
    <row r="889" ht="13.5" customHeight="1">
      <c r="L889" s="97"/>
    </row>
    <row r="890" ht="13.5" customHeight="1">
      <c r="L890" s="97"/>
    </row>
    <row r="891" ht="13.5" customHeight="1">
      <c r="L891" s="97"/>
    </row>
    <row r="892" ht="13.5" customHeight="1">
      <c r="L892" s="97"/>
    </row>
    <row r="893" ht="13.5" customHeight="1">
      <c r="L893" s="97"/>
    </row>
    <row r="894" ht="13.5" customHeight="1">
      <c r="L894" s="97"/>
    </row>
    <row r="895" ht="13.5" customHeight="1">
      <c r="L895" s="97"/>
    </row>
    <row r="896" ht="13.5" customHeight="1">
      <c r="L896" s="97"/>
    </row>
    <row r="897" ht="13.5" customHeight="1">
      <c r="L897" s="97"/>
    </row>
    <row r="898" ht="13.5" customHeight="1">
      <c r="L898" s="97"/>
    </row>
    <row r="899" ht="13.5" customHeight="1">
      <c r="L899" s="97"/>
    </row>
    <row r="900" ht="13.5" customHeight="1">
      <c r="L900" s="97"/>
    </row>
    <row r="901" ht="13.5" customHeight="1">
      <c r="L901" s="97"/>
    </row>
    <row r="902" ht="13.5" customHeight="1">
      <c r="L902" s="97"/>
    </row>
    <row r="903" ht="13.5" customHeight="1">
      <c r="L903" s="97"/>
    </row>
    <row r="904" ht="13.5" customHeight="1">
      <c r="L904" s="97"/>
    </row>
    <row r="905" ht="13.5" customHeight="1">
      <c r="L905" s="97"/>
    </row>
    <row r="906" ht="13.5" customHeight="1">
      <c r="L906" s="97"/>
    </row>
    <row r="907" ht="13.5" customHeight="1">
      <c r="L907" s="97"/>
    </row>
    <row r="908" ht="13.5" customHeight="1">
      <c r="L908" s="97"/>
    </row>
    <row r="909" ht="13.5" customHeight="1">
      <c r="L909" s="97"/>
    </row>
    <row r="910" ht="13.5" customHeight="1">
      <c r="L910" s="97"/>
    </row>
    <row r="911" ht="13.5" customHeight="1">
      <c r="L911" s="97"/>
    </row>
    <row r="912" ht="13.5" customHeight="1">
      <c r="L912" s="97"/>
    </row>
    <row r="913" ht="13.5" customHeight="1">
      <c r="L913" s="97"/>
    </row>
    <row r="914" ht="13.5" customHeight="1">
      <c r="L914" s="97"/>
    </row>
    <row r="915" ht="13.5" customHeight="1">
      <c r="L915" s="97"/>
    </row>
    <row r="916" ht="13.5" customHeight="1">
      <c r="L916" s="97"/>
    </row>
    <row r="917" ht="13.5" customHeight="1">
      <c r="L917" s="97"/>
    </row>
    <row r="918" ht="13.5" customHeight="1">
      <c r="L918" s="97"/>
    </row>
    <row r="919" ht="13.5" customHeight="1">
      <c r="L919" s="97"/>
    </row>
    <row r="920" ht="13.5" customHeight="1">
      <c r="L920" s="97"/>
    </row>
    <row r="921" ht="13.5" customHeight="1">
      <c r="L921" s="97"/>
    </row>
    <row r="922" ht="13.5" customHeight="1">
      <c r="L922" s="97"/>
    </row>
    <row r="923" ht="13.5" customHeight="1">
      <c r="L923" s="97"/>
    </row>
    <row r="924" ht="13.5" customHeight="1">
      <c r="L924" s="97"/>
    </row>
    <row r="925" ht="13.5" customHeight="1">
      <c r="L925" s="97"/>
    </row>
    <row r="926" ht="13.5" customHeight="1">
      <c r="L926" s="97"/>
    </row>
    <row r="927" ht="13.5" customHeight="1">
      <c r="L927" s="97"/>
    </row>
    <row r="928" ht="13.5" customHeight="1">
      <c r="L928" s="97"/>
    </row>
    <row r="929" ht="13.5" customHeight="1">
      <c r="L929" s="97"/>
    </row>
    <row r="930" ht="13.5" customHeight="1">
      <c r="L930" s="97"/>
    </row>
    <row r="931" ht="13.5" customHeight="1">
      <c r="L931" s="97"/>
    </row>
    <row r="932" ht="13.5" customHeight="1">
      <c r="L932" s="97"/>
    </row>
    <row r="933" ht="13.5" customHeight="1">
      <c r="L933" s="97"/>
    </row>
    <row r="934" ht="13.5" customHeight="1">
      <c r="L934" s="97"/>
    </row>
    <row r="935" ht="13.5" customHeight="1">
      <c r="L935" s="97"/>
    </row>
    <row r="936" ht="13.5" customHeight="1">
      <c r="L936" s="97"/>
    </row>
    <row r="937" ht="13.5" customHeight="1">
      <c r="L937" s="97"/>
    </row>
    <row r="938" ht="13.5" customHeight="1">
      <c r="L938" s="97"/>
    </row>
    <row r="939" ht="13.5" customHeight="1">
      <c r="L939" s="97"/>
    </row>
    <row r="940" ht="13.5" customHeight="1">
      <c r="L940" s="97"/>
    </row>
    <row r="941" ht="13.5" customHeight="1">
      <c r="L941" s="97"/>
    </row>
    <row r="942" ht="13.5" customHeight="1">
      <c r="L942" s="97"/>
    </row>
    <row r="943" ht="13.5" customHeight="1">
      <c r="L943" s="97"/>
    </row>
    <row r="944" ht="13.5" customHeight="1">
      <c r="L944" s="97"/>
    </row>
    <row r="945" ht="13.5" customHeight="1">
      <c r="L945" s="97"/>
    </row>
    <row r="946" ht="13.5" customHeight="1">
      <c r="L946" s="97"/>
    </row>
    <row r="947" ht="13.5" customHeight="1">
      <c r="L947" s="97"/>
    </row>
    <row r="948" ht="13.5" customHeight="1">
      <c r="L948" s="97"/>
    </row>
    <row r="949" ht="13.5" customHeight="1">
      <c r="L949" s="97"/>
    </row>
    <row r="950" ht="13.5" customHeight="1">
      <c r="L950" s="97"/>
    </row>
    <row r="951" ht="13.5" customHeight="1">
      <c r="L951" s="97"/>
    </row>
    <row r="952" ht="13.5" customHeight="1">
      <c r="L952" s="97"/>
    </row>
    <row r="953" ht="13.5" customHeight="1">
      <c r="L953" s="97"/>
    </row>
    <row r="954" ht="13.5" customHeight="1">
      <c r="L954" s="97"/>
    </row>
    <row r="955" ht="13.5" customHeight="1">
      <c r="L955" s="97"/>
    </row>
    <row r="956" ht="13.5" customHeight="1">
      <c r="L956" s="97"/>
    </row>
    <row r="957" ht="13.5" customHeight="1">
      <c r="L957" s="97"/>
    </row>
    <row r="958" ht="13.5" customHeight="1">
      <c r="L958" s="97"/>
    </row>
    <row r="959" ht="13.5" customHeight="1">
      <c r="L959" s="97"/>
    </row>
    <row r="960" ht="13.5" customHeight="1">
      <c r="L960" s="97"/>
    </row>
    <row r="961" ht="13.5" customHeight="1">
      <c r="L961" s="97"/>
    </row>
    <row r="962" ht="13.5" customHeight="1">
      <c r="L962" s="97"/>
    </row>
    <row r="963" ht="13.5" customHeight="1">
      <c r="L963" s="97"/>
    </row>
    <row r="964" ht="13.5" customHeight="1">
      <c r="L964" s="97"/>
    </row>
    <row r="965" ht="13.5" customHeight="1">
      <c r="L965" s="97"/>
    </row>
    <row r="966" ht="13.5" customHeight="1">
      <c r="L966" s="97"/>
    </row>
    <row r="967" ht="13.5" customHeight="1">
      <c r="L967" s="97"/>
    </row>
    <row r="968" ht="13.5" customHeight="1">
      <c r="L968" s="97"/>
    </row>
    <row r="969" ht="13.5" customHeight="1">
      <c r="L969" s="97"/>
    </row>
    <row r="970" ht="13.5" customHeight="1">
      <c r="L970" s="97"/>
    </row>
    <row r="971" ht="13.5" customHeight="1">
      <c r="L971" s="97"/>
    </row>
    <row r="972" ht="13.5" customHeight="1">
      <c r="L972" s="97"/>
    </row>
    <row r="973" ht="13.5" customHeight="1">
      <c r="L973" s="97"/>
    </row>
    <row r="974" ht="13.5" customHeight="1">
      <c r="L974" s="97"/>
    </row>
    <row r="975" ht="13.5" customHeight="1">
      <c r="L975" s="97"/>
    </row>
    <row r="976" ht="13.5" customHeight="1">
      <c r="L976" s="97"/>
    </row>
    <row r="977" ht="13.5" customHeight="1">
      <c r="L977" s="97"/>
    </row>
    <row r="978" ht="13.5" customHeight="1">
      <c r="L978" s="97"/>
    </row>
    <row r="979" ht="13.5" customHeight="1">
      <c r="L979" s="97"/>
    </row>
    <row r="980" ht="13.5" customHeight="1">
      <c r="L980" s="97"/>
    </row>
    <row r="981" ht="13.5" customHeight="1">
      <c r="L981" s="97"/>
    </row>
    <row r="982" ht="13.5" customHeight="1">
      <c r="L982" s="97"/>
    </row>
    <row r="983" ht="13.5" customHeight="1">
      <c r="L983" s="97"/>
    </row>
    <row r="984" ht="13.5" customHeight="1">
      <c r="L984" s="97"/>
    </row>
    <row r="985" ht="13.5" customHeight="1">
      <c r="L985" s="97"/>
    </row>
    <row r="986" ht="13.5" customHeight="1">
      <c r="L986" s="97"/>
    </row>
    <row r="987" ht="13.5" customHeight="1">
      <c r="L987" s="97"/>
    </row>
    <row r="988" ht="13.5" customHeight="1">
      <c r="L988" s="97"/>
    </row>
    <row r="989" ht="13.5" customHeight="1">
      <c r="L989" s="97"/>
    </row>
    <row r="990" ht="13.5" customHeight="1">
      <c r="L990" s="97"/>
    </row>
    <row r="991" ht="13.5" customHeight="1">
      <c r="L991" s="97"/>
    </row>
    <row r="992" ht="13.5" customHeight="1">
      <c r="L992" s="97"/>
    </row>
    <row r="993" ht="13.5" customHeight="1">
      <c r="L993" s="97"/>
    </row>
    <row r="994" ht="13.5" customHeight="1">
      <c r="L994" s="97"/>
    </row>
    <row r="995" ht="13.5" customHeight="1">
      <c r="L995" s="97"/>
    </row>
    <row r="996" ht="13.5" customHeight="1">
      <c r="L996" s="97"/>
    </row>
    <row r="997" ht="13.5" customHeight="1">
      <c r="L997" s="97"/>
    </row>
    <row r="998" ht="13.5" customHeight="1">
      <c r="L998" s="97"/>
    </row>
    <row r="999" ht="13.5" customHeight="1">
      <c r="L999" s="97"/>
    </row>
    <row r="1000" ht="13.5" customHeight="1">
      <c r="L1000" s="97"/>
    </row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fitToWidth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8.57"/>
    <col customWidth="1" min="19" max="19" width="6.14"/>
    <col customWidth="1" min="20" max="20" width="8.71"/>
    <col customWidth="1" min="21" max="24" width="8.57"/>
    <col customWidth="1" min="25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31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346" t="s">
        <v>12</v>
      </c>
      <c r="S4" s="23"/>
      <c r="T4" s="347" t="s">
        <v>13</v>
      </c>
      <c r="U4" s="332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3436.0</v>
      </c>
      <c r="Z6" s="308">
        <v>1550.0</v>
      </c>
      <c r="AA6" s="56">
        <v>1.0</v>
      </c>
      <c r="AB6" s="58">
        <f>IF('4'!AA6=1,(('4'!Z6*'4'!$AS$6*'4'!$AT$6)/('4'!Y6*0.0036)),IF('4'!AA6=2,(('4'!Z6*'4'!$AS$7*'4'!$AT$7)/('4'!Y6*0.0036))))</f>
        <v>83.32929117</v>
      </c>
      <c r="AC6" s="58"/>
      <c r="AD6" s="59">
        <f>(('4'!AC6*'4'!$Q$10*1000000))/('4'!Y6*3600)</f>
        <v>0</v>
      </c>
      <c r="AE6" s="60"/>
      <c r="AF6" s="61">
        <f>('4'!AE6/24)*0.454</f>
        <v>0</v>
      </c>
      <c r="AG6" s="60"/>
      <c r="AH6" s="61">
        <f>('4'!AG6/24)*0.454</f>
        <v>0</v>
      </c>
      <c r="AI6" s="60">
        <v>5000.0</v>
      </c>
      <c r="AJ6" s="61">
        <f>('4'!AI6/24)*0.454</f>
        <v>94.58333333</v>
      </c>
      <c r="AK6" s="62"/>
      <c r="AL6" s="63">
        <f>('4'!AK6/24)*0.454</f>
        <v>0</v>
      </c>
      <c r="AM6" s="62"/>
      <c r="AN6" s="63">
        <f>('4'!AM6/24)*0.454</f>
        <v>0</v>
      </c>
      <c r="AO6" s="62"/>
      <c r="AP6" s="63">
        <f>('4'!AO6/24)*0.454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322.0</v>
      </c>
      <c r="C7" s="76">
        <v>17.0</v>
      </c>
      <c r="D7" s="76">
        <v>13.0</v>
      </c>
      <c r="E7" s="76">
        <v>8.0</v>
      </c>
      <c r="F7" s="76">
        <v>119.0</v>
      </c>
      <c r="G7" s="76">
        <v>3.4</v>
      </c>
      <c r="H7" s="76">
        <v>2.1</v>
      </c>
      <c r="I7" s="76">
        <v>0.8</v>
      </c>
      <c r="J7" s="76">
        <v>1.1</v>
      </c>
      <c r="K7" s="76">
        <v>6.6</v>
      </c>
      <c r="L7" s="76">
        <v>6.2</v>
      </c>
      <c r="M7" s="76">
        <v>6.2</v>
      </c>
      <c r="N7" s="76">
        <v>6.0</v>
      </c>
      <c r="O7" s="76">
        <v>3.5</v>
      </c>
      <c r="P7" s="76"/>
      <c r="Q7" s="310"/>
      <c r="R7" s="77">
        <f>'3'!$Z$29</f>
        <v>1550</v>
      </c>
      <c r="S7" s="309">
        <f>'3'!$AB$29</f>
        <v>85.49401148</v>
      </c>
      <c r="T7" s="77">
        <f>'3'!$Y$29</f>
        <v>3349</v>
      </c>
      <c r="U7" s="73" t="str">
        <f>IF('4'!AA6=1,'4'!AR6,'4'!AR7)</f>
        <v>S.A.L</v>
      </c>
      <c r="V7" s="74" t="str">
        <f>ESCALA!$B$5</f>
        <v/>
      </c>
      <c r="W7" s="12"/>
      <c r="X7" s="54">
        <v>0.0833333333333333</v>
      </c>
      <c r="Y7" s="125">
        <v>3417.0</v>
      </c>
      <c r="Z7" s="308">
        <v>1550.0</v>
      </c>
      <c r="AA7" s="56">
        <v>1.0</v>
      </c>
      <c r="AB7" s="58">
        <f>IF('4'!AA7=1,(('4'!Z7*'4'!$AS$6*'4'!$AT$6)/('4'!Y7*0.0036)),IF('4'!AA7=2,(('4'!Z7*'4'!$AS$7*'4'!$AT$7)/('4'!Y7*0.0036))))</f>
        <v>83.79263812</v>
      </c>
      <c r="AC7" s="58"/>
      <c r="AD7" s="59">
        <f>(('4'!AC7*'4'!$Q$10*1000000))/('4'!Y7*3600)</f>
        <v>0</v>
      </c>
      <c r="AE7" s="60"/>
      <c r="AF7" s="61">
        <f>('4'!AE7/24)*0.454</f>
        <v>0</v>
      </c>
      <c r="AG7" s="60"/>
      <c r="AH7" s="61">
        <f>('4'!AG7/24)*0.454</f>
        <v>0</v>
      </c>
      <c r="AI7" s="60">
        <v>5000.0</v>
      </c>
      <c r="AJ7" s="61">
        <f>('4'!AI7/24)*0.454</f>
        <v>94.58333333</v>
      </c>
      <c r="AK7" s="62"/>
      <c r="AL7" s="63">
        <f>('4'!AK7/24)*0.454</f>
        <v>0</v>
      </c>
      <c r="AM7" s="62"/>
      <c r="AN7" s="63">
        <f>('4'!AM7/24)*0.454</f>
        <v>0</v>
      </c>
      <c r="AO7" s="62"/>
      <c r="AP7" s="63">
        <f>('4'!AO7/24)*0.454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324.0</v>
      </c>
      <c r="C8" s="76">
        <v>17.0</v>
      </c>
      <c r="D8" s="76">
        <v>13.0</v>
      </c>
      <c r="E8" s="76">
        <v>8.0</v>
      </c>
      <c r="F8" s="76">
        <v>116.0</v>
      </c>
      <c r="G8" s="76">
        <v>3.2</v>
      </c>
      <c r="H8" s="76">
        <v>2.0</v>
      </c>
      <c r="I8" s="76">
        <v>0.7</v>
      </c>
      <c r="J8" s="76">
        <v>1.1</v>
      </c>
      <c r="K8" s="76">
        <v>6.6</v>
      </c>
      <c r="L8" s="76">
        <v>6.2</v>
      </c>
      <c r="M8" s="76">
        <v>6.2</v>
      </c>
      <c r="N8" s="76">
        <v>6.0</v>
      </c>
      <c r="O8" s="76">
        <v>3.5</v>
      </c>
      <c r="P8" s="76"/>
      <c r="Q8" s="310"/>
      <c r="R8" s="75">
        <f>'4'!Z7</f>
        <v>1550</v>
      </c>
      <c r="S8" s="76">
        <f>'4'!AB7</f>
        <v>83.79263812</v>
      </c>
      <c r="T8" s="77">
        <f>'4'!Y7</f>
        <v>3417</v>
      </c>
      <c r="U8" s="73" t="str">
        <f>IF('4'!AA7=1,'4'!AR6,'4'!AR7)</f>
        <v>S.A.L</v>
      </c>
      <c r="V8" s="43"/>
      <c r="W8" s="27"/>
      <c r="X8" s="54">
        <v>0.125</v>
      </c>
      <c r="Y8" s="125">
        <v>3463.0</v>
      </c>
      <c r="Z8" s="308">
        <v>1550.0</v>
      </c>
      <c r="AA8" s="56">
        <v>1.0</v>
      </c>
      <c r="AB8" s="58">
        <f>IF('4'!AA8=1,(('4'!Z8*'4'!$AS$6*'4'!$AT$6)/('4'!Y8*0.0036)),IF('4'!AA8=2,(('4'!Z8*'4'!$AS$7*'4'!$AT$7)/('4'!Y8*0.0036))))</f>
        <v>82.67959701</v>
      </c>
      <c r="AC8" s="58"/>
      <c r="AD8" s="59">
        <f>(('4'!AC8*'4'!$Q$10*1000000))/('4'!Y8*3600)</f>
        <v>0</v>
      </c>
      <c r="AE8" s="60"/>
      <c r="AF8" s="61">
        <f>('4'!AE8/24)*0.454</f>
        <v>0</v>
      </c>
      <c r="AG8" s="60"/>
      <c r="AH8" s="61">
        <f>('4'!AG8/24)*0.454</f>
        <v>0</v>
      </c>
      <c r="AI8" s="60">
        <v>5000.0</v>
      </c>
      <c r="AJ8" s="61">
        <f>('4'!AI8/24)*0.454</f>
        <v>94.58333333</v>
      </c>
      <c r="AK8" s="62"/>
      <c r="AL8" s="63">
        <f>('4'!AK8/24)*0.454</f>
        <v>0</v>
      </c>
      <c r="AM8" s="62"/>
      <c r="AN8" s="63">
        <f>('4'!AM8/24)*0.454</f>
        <v>0</v>
      </c>
      <c r="AO8" s="62"/>
      <c r="AP8" s="63">
        <f>('4'!AO8/24)*0.454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321.0</v>
      </c>
      <c r="C9" s="76">
        <v>15.0</v>
      </c>
      <c r="D9" s="76">
        <v>12.0</v>
      </c>
      <c r="E9" s="76">
        <v>7.0</v>
      </c>
      <c r="F9" s="76">
        <v>115.0</v>
      </c>
      <c r="G9" s="76">
        <v>3.1</v>
      </c>
      <c r="H9" s="76">
        <v>1.9</v>
      </c>
      <c r="I9" s="76">
        <v>0.6</v>
      </c>
      <c r="J9" s="76">
        <v>1.0</v>
      </c>
      <c r="K9" s="76">
        <v>6.6</v>
      </c>
      <c r="L9" s="76">
        <v>6.2</v>
      </c>
      <c r="M9" s="76">
        <v>6.2</v>
      </c>
      <c r="N9" s="76">
        <v>6.0</v>
      </c>
      <c r="O9" s="76">
        <v>3.5</v>
      </c>
      <c r="P9" s="76" t="s">
        <v>134</v>
      </c>
      <c r="Q9" s="310"/>
      <c r="R9" s="77">
        <f>'4'!Z9</f>
        <v>1550</v>
      </c>
      <c r="S9" s="76">
        <f>'4'!AB9</f>
        <v>83.57251735</v>
      </c>
      <c r="T9" s="77">
        <f>'4'!Y9</f>
        <v>3426</v>
      </c>
      <c r="U9" s="73" t="str">
        <f>IF('4'!AA9=1,'4'!AR6,'4'!AR7)</f>
        <v>S.A.L</v>
      </c>
      <c r="V9" s="43"/>
      <c r="W9" s="27"/>
      <c r="X9" s="54">
        <v>0.166666666666667</v>
      </c>
      <c r="Y9" s="125">
        <v>3426.0</v>
      </c>
      <c r="Z9" s="308">
        <v>1550.0</v>
      </c>
      <c r="AA9" s="56">
        <v>1.0</v>
      </c>
      <c r="AB9" s="58">
        <f>IF('4'!AA9=1,(('4'!Z9*'4'!$AS$6*'4'!$AT$6)/('4'!Y9*0.0036)),IF('4'!AA9=2,(('4'!Z9*'4'!$AS$7*'4'!$AT$7)/('4'!Y9*0.0036))))</f>
        <v>83.57251735</v>
      </c>
      <c r="AC9" s="58"/>
      <c r="AD9" s="59">
        <f>(('4'!AC9*'4'!$Q$10*1000000))/('4'!Y9*3600)</f>
        <v>0</v>
      </c>
      <c r="AE9" s="60"/>
      <c r="AF9" s="61">
        <f>('4'!AE9/24)*0.454</f>
        <v>0</v>
      </c>
      <c r="AG9" s="60"/>
      <c r="AH9" s="61">
        <f>('4'!AG9/24)*0.454</f>
        <v>0</v>
      </c>
      <c r="AI9" s="60">
        <v>5000.0</v>
      </c>
      <c r="AJ9" s="61">
        <f>('4'!AI9/24)*0.454</f>
        <v>94.58333333</v>
      </c>
      <c r="AK9" s="62"/>
      <c r="AL9" s="63">
        <f>('4'!AK9/24)*0.454</f>
        <v>0</v>
      </c>
      <c r="AM9" s="62"/>
      <c r="AN9" s="63">
        <f>('4'!AM9/24)*0.454</f>
        <v>0</v>
      </c>
      <c r="AO9" s="62"/>
      <c r="AP9" s="63">
        <f>('4'!AO9/24)*0.454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325.0</v>
      </c>
      <c r="C10" s="76">
        <v>14.0</v>
      </c>
      <c r="D10" s="76">
        <v>10.0</v>
      </c>
      <c r="E10" s="76">
        <v>7.0</v>
      </c>
      <c r="F10" s="76">
        <v>111.0</v>
      </c>
      <c r="G10" s="76">
        <v>3.1</v>
      </c>
      <c r="H10" s="76">
        <v>1.7</v>
      </c>
      <c r="I10" s="76">
        <v>0.6</v>
      </c>
      <c r="J10" s="76">
        <v>1.0</v>
      </c>
      <c r="K10" s="76">
        <v>6.0</v>
      </c>
      <c r="L10" s="76">
        <v>6.2</v>
      </c>
      <c r="M10" s="76">
        <v>6.2</v>
      </c>
      <c r="N10" s="76">
        <v>6.0</v>
      </c>
      <c r="O10" s="76">
        <v>3.5</v>
      </c>
      <c r="P10" s="76"/>
      <c r="Q10" s="310"/>
      <c r="R10" s="77">
        <f>'4'!Z11</f>
        <v>1550</v>
      </c>
      <c r="S10" s="76">
        <f>'4'!AB11</f>
        <v>85.23948927</v>
      </c>
      <c r="T10" s="77">
        <f>'4'!Y11</f>
        <v>3359</v>
      </c>
      <c r="U10" s="73" t="str">
        <f>IF('4'!AA11=1,'4'!AR6,'4'!AR7)</f>
        <v>S.A.L</v>
      </c>
      <c r="V10" s="43"/>
      <c r="W10" s="27"/>
      <c r="X10" s="54">
        <v>0.208333333333333</v>
      </c>
      <c r="Y10" s="125">
        <v>3339.0</v>
      </c>
      <c r="Z10" s="308">
        <v>1550.0</v>
      </c>
      <c r="AA10" s="56">
        <v>1.0</v>
      </c>
      <c r="AB10" s="58">
        <f>IF('4'!AA10=1,(('4'!Z10*'4'!$AS$6*'4'!$AT$6)/('4'!Y10*0.0036)),IF('4'!AA10=2,(('4'!Z10*'4'!$AS$7*'4'!$AT$7)/('4'!Y10*0.0036))))</f>
        <v>85.75005823</v>
      </c>
      <c r="AC10" s="58"/>
      <c r="AD10" s="59">
        <f>(('4'!AC10*'4'!$Q$10*1000000))/('4'!Y10*3600)</f>
        <v>0</v>
      </c>
      <c r="AE10" s="60"/>
      <c r="AF10" s="61">
        <f>('4'!AE10/24)*0.454</f>
        <v>0</v>
      </c>
      <c r="AG10" s="60"/>
      <c r="AH10" s="61">
        <f>('4'!AG10/24)*0.454</f>
        <v>0</v>
      </c>
      <c r="AI10" s="60">
        <v>5000.0</v>
      </c>
      <c r="AJ10" s="61">
        <f>('4'!AI10/24)*0.454</f>
        <v>94.58333333</v>
      </c>
      <c r="AK10" s="62"/>
      <c r="AL10" s="63">
        <f>('4'!AK10/24)*0.454</f>
        <v>0</v>
      </c>
      <c r="AM10" s="62"/>
      <c r="AN10" s="63">
        <f>('4'!AM10/24)*0.454</f>
        <v>0</v>
      </c>
      <c r="AO10" s="62"/>
      <c r="AP10" s="63">
        <f>('4'!AO10/24)*0.454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310"/>
      <c r="R11" s="77">
        <f>'4'!Z13</f>
        <v>1550</v>
      </c>
      <c r="S11" s="76">
        <f>'4'!AB13</f>
        <v>85.06222354</v>
      </c>
      <c r="T11" s="77">
        <f>'4'!Y13</f>
        <v>3366</v>
      </c>
      <c r="U11" s="73" t="str">
        <f>IF('4'!AA13=1,'4'!AR6,'4'!AR7)</f>
        <v>S.A.L</v>
      </c>
      <c r="V11" s="16"/>
      <c r="W11" s="18"/>
      <c r="X11" s="54">
        <v>0.25</v>
      </c>
      <c r="Y11" s="125">
        <v>3359.0</v>
      </c>
      <c r="Z11" s="308">
        <v>1550.0</v>
      </c>
      <c r="AA11" s="56">
        <v>1.0</v>
      </c>
      <c r="AB11" s="58">
        <f>IF('4'!AA11=1,(('4'!Z11*'4'!$AS$6*'4'!$AT$6)/('4'!Y11*0.0036)),IF('4'!AA11=2,(('4'!Z11*'4'!$AS$7*'4'!$AT$7)/('4'!Y11*0.0036))))</f>
        <v>85.23948927</v>
      </c>
      <c r="AC11" s="58"/>
      <c r="AD11" s="59">
        <f>(('4'!AC11*'4'!$Q$10*1000000))/('4'!Y11*3600)</f>
        <v>0</v>
      </c>
      <c r="AE11" s="60"/>
      <c r="AF11" s="61">
        <f>('4'!AE11/24)*0.454</f>
        <v>0</v>
      </c>
      <c r="AG11" s="60"/>
      <c r="AH11" s="61">
        <f>('4'!AG11/24)*0.454</f>
        <v>0</v>
      </c>
      <c r="AI11" s="60">
        <v>5000.0</v>
      </c>
      <c r="AJ11" s="61">
        <f>('4'!AI11/24)*0.454</f>
        <v>94.58333333</v>
      </c>
      <c r="AK11" s="62"/>
      <c r="AL11" s="63">
        <f>('4'!AK11/24)*0.454</f>
        <v>0</v>
      </c>
      <c r="AM11" s="62"/>
      <c r="AN11" s="63">
        <f>('4'!AM11/24)*0.454</f>
        <v>0</v>
      </c>
      <c r="AO11" s="62"/>
      <c r="AP11" s="63">
        <f>('4'!AO11/24)*0.454</f>
        <v>0</v>
      </c>
    </row>
    <row r="12" ht="18.75" customHeight="1">
      <c r="A12" s="69">
        <v>0.416666666666667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310"/>
      <c r="R12" s="77">
        <f>'4'!Z15</f>
        <v>1550</v>
      </c>
      <c r="S12" s="76">
        <f>'4'!AB15</f>
        <v>85.23948927</v>
      </c>
      <c r="T12" s="77">
        <f>'4'!Y15</f>
        <v>3359</v>
      </c>
      <c r="U12" s="73" t="str">
        <f>IF('4'!AA15=1,'4'!AR6,'4'!AR7)</f>
        <v>S.A.L</v>
      </c>
      <c r="V12" s="88" t="str">
        <f>ESCALA!$B$6</f>
        <v/>
      </c>
      <c r="W12" s="89"/>
      <c r="X12" s="54">
        <v>0.291666666666667</v>
      </c>
      <c r="Y12" s="125">
        <v>3374.0</v>
      </c>
      <c r="Z12" s="308">
        <v>1550.0</v>
      </c>
      <c r="AA12" s="56">
        <v>1.0</v>
      </c>
      <c r="AB12" s="58">
        <f>IF('4'!AA12=1,(('4'!Z12*'4'!$AS$6*'4'!$AT$6)/('4'!Y12*0.0036)),IF('4'!AA12=2,(('4'!Z12*'4'!$AS$7*'4'!$AT$7)/('4'!Y12*0.0036))))</f>
        <v>84.86053481</v>
      </c>
      <c r="AC12" s="58"/>
      <c r="AD12" s="59">
        <f>(('4'!AC12*'4'!$Q$10*1000000))/('4'!Y12*3600)</f>
        <v>0</v>
      </c>
      <c r="AE12" s="60"/>
      <c r="AF12" s="61">
        <f>('4'!AE12/24)*0.454</f>
        <v>0</v>
      </c>
      <c r="AG12" s="60"/>
      <c r="AH12" s="61">
        <f>('4'!AG12/24)*0.454</f>
        <v>0</v>
      </c>
      <c r="AI12" s="60">
        <v>5000.0</v>
      </c>
      <c r="AJ12" s="61">
        <f>('4'!AI12/24)*0.454</f>
        <v>94.58333333</v>
      </c>
      <c r="AK12" s="62"/>
      <c r="AL12" s="63">
        <f>('4'!AK12/24)*0.454</f>
        <v>0</v>
      </c>
      <c r="AM12" s="62"/>
      <c r="AN12" s="63">
        <f>('4'!AM12/24)*0.454</f>
        <v>0</v>
      </c>
      <c r="AO12" s="62"/>
      <c r="AP12" s="63">
        <f>('4'!AO12/24)*0.454</f>
        <v>0</v>
      </c>
    </row>
    <row r="13" ht="18.75" customHeight="1">
      <c r="A13" s="69">
        <v>0.5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310"/>
      <c r="R13" s="77">
        <f>'4'!Z17</f>
        <v>1550</v>
      </c>
      <c r="S13" s="76">
        <f>'4'!AB17</f>
        <v>86.31879543</v>
      </c>
      <c r="T13" s="77">
        <f>'4'!Y17</f>
        <v>3317</v>
      </c>
      <c r="U13" s="73" t="str">
        <f>IF('4'!AA17=1,'4'!AR6,'4'!AR7)</f>
        <v>S.A.L</v>
      </c>
      <c r="V13" s="43"/>
      <c r="W13" s="27"/>
      <c r="X13" s="54">
        <v>0.333333333333333</v>
      </c>
      <c r="Y13" s="125">
        <v>3366.0</v>
      </c>
      <c r="Z13" s="308">
        <v>1550.0</v>
      </c>
      <c r="AA13" s="56">
        <v>1.0</v>
      </c>
      <c r="AB13" s="58">
        <f>IF('4'!AA13=1,(('4'!Z13*'4'!$AS$6*'4'!$AT$6)/('4'!Y13*0.0036)),IF('4'!AA13=2,(('4'!Z13*'4'!$AS$7*'4'!$AT$7)/('4'!Y13*0.0036))))</f>
        <v>85.06222354</v>
      </c>
      <c r="AC13" s="58"/>
      <c r="AD13" s="59">
        <f>(('4'!AC13*'4'!$Q$10*1000000))/('4'!Y13*3600)</f>
        <v>0</v>
      </c>
      <c r="AE13" s="60"/>
      <c r="AF13" s="61">
        <f>('4'!AE13/24)*0.454</f>
        <v>0</v>
      </c>
      <c r="AG13" s="60"/>
      <c r="AH13" s="61">
        <f>('4'!AG13/24)*0.454</f>
        <v>0</v>
      </c>
      <c r="AI13" s="60">
        <v>4800.0</v>
      </c>
      <c r="AJ13" s="61">
        <f>('4'!AI13/24)*0.454</f>
        <v>90.8</v>
      </c>
      <c r="AK13" s="62"/>
      <c r="AL13" s="63">
        <f>('4'!AK13/24)*0.454</f>
        <v>0</v>
      </c>
      <c r="AM13" s="62"/>
      <c r="AN13" s="63">
        <f>('4'!AM13/24)*0.454</f>
        <v>0</v>
      </c>
      <c r="AO13" s="62"/>
      <c r="AP13" s="63">
        <f>('4'!AO13/24)*0.454</f>
        <v>0</v>
      </c>
    </row>
    <row r="14" ht="18.75" customHeight="1">
      <c r="A14" s="69">
        <v>0.583333333333333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310"/>
      <c r="R14" s="77">
        <f>'4'!Z19</f>
        <v>1550</v>
      </c>
      <c r="S14" s="76">
        <f>'4'!AB19</f>
        <v>85.64745571</v>
      </c>
      <c r="T14" s="77">
        <f>'4'!Y19</f>
        <v>3343</v>
      </c>
      <c r="U14" s="73" t="str">
        <f>IF('4'!AA19=1,'4'!AR6,'4'!AR7)</f>
        <v>S.A.L</v>
      </c>
      <c r="V14" s="43"/>
      <c r="W14" s="27"/>
      <c r="X14" s="54">
        <v>0.375</v>
      </c>
      <c r="Y14" s="125">
        <v>3373.0</v>
      </c>
      <c r="Z14" s="308">
        <v>1550.0</v>
      </c>
      <c r="AA14" s="56">
        <v>1.0</v>
      </c>
      <c r="AB14" s="58">
        <f>IF('4'!AA14=1,(('4'!Z14*'4'!$AS$6*'4'!$AT$6)/('4'!Y14*0.0036)),IF('4'!AA14=2,(('4'!Z14*'4'!$AS$7*'4'!$AT$7)/('4'!Y14*0.0036))))</f>
        <v>84.88569358</v>
      </c>
      <c r="AC14" s="58"/>
      <c r="AD14" s="59">
        <f>(('4'!AC14*'4'!$Q$10*1000000))/('4'!Y14*3600)</f>
        <v>0</v>
      </c>
      <c r="AE14" s="60"/>
      <c r="AF14" s="61">
        <f>('4'!AE14/24)*0.454</f>
        <v>0</v>
      </c>
      <c r="AG14" s="60"/>
      <c r="AH14" s="61">
        <f>('4'!AG14/24)*0.454</f>
        <v>0</v>
      </c>
      <c r="AI14" s="60">
        <v>4800.0</v>
      </c>
      <c r="AJ14" s="61">
        <f>('4'!AI14/24)*0.454</f>
        <v>90.8</v>
      </c>
      <c r="AK14" s="62"/>
      <c r="AL14" s="63">
        <f>('4'!AK14/24)*0.454</f>
        <v>0</v>
      </c>
      <c r="AM14" s="62"/>
      <c r="AN14" s="63">
        <f>('4'!AM14/24)*0.454</f>
        <v>0</v>
      </c>
      <c r="AO14" s="62"/>
      <c r="AP14" s="63">
        <f>('4'!AO14/24)*0.454</f>
        <v>0</v>
      </c>
    </row>
    <row r="15" ht="18.75" customHeight="1">
      <c r="A15" s="69">
        <v>0.666666666666667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310"/>
      <c r="R15" s="77">
        <f>'4'!Z21</f>
        <v>1550</v>
      </c>
      <c r="S15" s="76">
        <f>'4'!AB21</f>
        <v>86.37087314</v>
      </c>
      <c r="T15" s="77">
        <f>'4'!Y21</f>
        <v>3315</v>
      </c>
      <c r="U15" s="73" t="str">
        <f>IF('4'!AA21=1,'4'!AR6,'4'!AR7)</f>
        <v>S.A.L</v>
      </c>
      <c r="V15" s="43"/>
      <c r="W15" s="27"/>
      <c r="X15" s="54">
        <v>0.416666666666667</v>
      </c>
      <c r="Y15" s="125">
        <v>3359.0</v>
      </c>
      <c r="Z15" s="308">
        <v>1550.0</v>
      </c>
      <c r="AA15" s="56">
        <v>1.0</v>
      </c>
      <c r="AB15" s="58">
        <f>IF('4'!AA15=1,(('4'!Z15*'4'!$AS$6*'4'!$AT$6)/('4'!Y15*0.0036)),IF('4'!AA15=2,(('4'!Z15*'4'!$AS$7*'4'!$AT$7)/('4'!Y15*0.0036))))</f>
        <v>85.23948927</v>
      </c>
      <c r="AC15" s="58"/>
      <c r="AD15" s="59">
        <f>(('4'!AC15*'4'!$Q$10*1000000))/('4'!Y15*3600)</f>
        <v>0</v>
      </c>
      <c r="AE15" s="60"/>
      <c r="AF15" s="61">
        <f>('4'!AE15/24)*0.454</f>
        <v>0</v>
      </c>
      <c r="AG15" s="60"/>
      <c r="AH15" s="61">
        <f>('4'!AG15/24)*0.454</f>
        <v>0</v>
      </c>
      <c r="AI15" s="60">
        <v>4800.0</v>
      </c>
      <c r="AJ15" s="61">
        <f>('4'!AI15/24)*0.454</f>
        <v>90.8</v>
      </c>
      <c r="AK15" s="62"/>
      <c r="AL15" s="63">
        <f>('4'!AK15/24)*0.454</f>
        <v>0</v>
      </c>
      <c r="AM15" s="62"/>
      <c r="AN15" s="63">
        <f>('4'!AM15/24)*0.454</f>
        <v>0</v>
      </c>
      <c r="AO15" s="62"/>
      <c r="AP15" s="63">
        <f>('4'!AO15/24)*0.454</f>
        <v>0</v>
      </c>
    </row>
    <row r="16" ht="18.75" customHeight="1">
      <c r="A16" s="69">
        <v>0.75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310"/>
      <c r="R16" s="77">
        <f>'4'!Z23</f>
        <v>1550</v>
      </c>
      <c r="S16" s="76">
        <f>'4'!AB23</f>
        <v>86.08522082</v>
      </c>
      <c r="T16" s="77">
        <f>'4'!Y23</f>
        <v>3326</v>
      </c>
      <c r="U16" s="73" t="str">
        <f>IF('4'!AA23=1,'4'!AR6,'4'!AR7)</f>
        <v>S.A.L</v>
      </c>
      <c r="V16" s="16"/>
      <c r="W16" s="18"/>
      <c r="X16" s="54">
        <v>0.458333333333333</v>
      </c>
      <c r="Y16" s="125">
        <v>3404.0</v>
      </c>
      <c r="Z16" s="308">
        <v>1550.0</v>
      </c>
      <c r="AA16" s="56">
        <v>1.0</v>
      </c>
      <c r="AB16" s="58">
        <f>IF('4'!AA16=1,(('4'!Z16*'4'!$AS$6*'4'!$AT$6)/('4'!Y16*0.0036)),IF('4'!AA16=2,(('4'!Z16*'4'!$AS$7*'4'!$AT$7)/('4'!Y16*0.0036))))</f>
        <v>84.11264525</v>
      </c>
      <c r="AC16" s="58"/>
      <c r="AD16" s="59">
        <f>(('4'!AC16*'4'!$Q$10*1000000))/('4'!Y16*3600)</f>
        <v>0</v>
      </c>
      <c r="AE16" s="60"/>
      <c r="AF16" s="61">
        <f>('4'!AE16/24)*0.454</f>
        <v>0</v>
      </c>
      <c r="AG16" s="60"/>
      <c r="AH16" s="61">
        <f>('4'!AG16/24)*0.454</f>
        <v>0</v>
      </c>
      <c r="AI16" s="60">
        <v>4800.0</v>
      </c>
      <c r="AJ16" s="61">
        <f>('4'!AI16/24)*0.454</f>
        <v>90.8</v>
      </c>
      <c r="AK16" s="62"/>
      <c r="AL16" s="63">
        <f>('4'!AK16/24)*0.454</f>
        <v>0</v>
      </c>
      <c r="AM16" s="62"/>
      <c r="AN16" s="63">
        <f>('4'!AM16/24)*0.454</f>
        <v>0</v>
      </c>
      <c r="AO16" s="62"/>
      <c r="AP16" s="63">
        <f>('4'!AO16/24)*0.454</f>
        <v>0</v>
      </c>
    </row>
    <row r="17" ht="18.75" customHeight="1">
      <c r="A17" s="69">
        <v>0.833333333333333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310"/>
      <c r="R17" s="77">
        <f>'4'!Z25</f>
        <v>1550</v>
      </c>
      <c r="S17" s="76">
        <f>'4'!AB25</f>
        <v>85.62184343</v>
      </c>
      <c r="T17" s="77">
        <f>'4'!Y25</f>
        <v>3344</v>
      </c>
      <c r="U17" s="73" t="str">
        <f>IF('4'!AA25=1,'4'!AR6,'4'!AR7)</f>
        <v>S.A.L</v>
      </c>
      <c r="V17" s="90" t="str">
        <f>ESCALA!$C$6</f>
        <v/>
      </c>
      <c r="W17" s="89"/>
      <c r="X17" s="54">
        <v>0.5</v>
      </c>
      <c r="Y17" s="125">
        <v>3317.0</v>
      </c>
      <c r="Z17" s="308">
        <v>1550.0</v>
      </c>
      <c r="AA17" s="56">
        <v>1.0</v>
      </c>
      <c r="AB17" s="58">
        <f>IF('4'!AA17=1,(('4'!Z17*'4'!$AS$6*'4'!$AT$6)/('4'!Y17*0.0036)),IF('4'!AA17=2,(('4'!Z17*'4'!$AS$7*'4'!$AT$7)/('4'!Y17*0.0036))))</f>
        <v>86.31879543</v>
      </c>
      <c r="AC17" s="58"/>
      <c r="AD17" s="59">
        <f>(('4'!AC17*'4'!$Q$10*1000000))/('4'!Y17*3600)</f>
        <v>0</v>
      </c>
      <c r="AE17" s="60"/>
      <c r="AF17" s="61">
        <f>('4'!AE17/24)*0.454</f>
        <v>0</v>
      </c>
      <c r="AG17" s="60"/>
      <c r="AH17" s="61">
        <f>('4'!AG17/24)*0.454</f>
        <v>0</v>
      </c>
      <c r="AI17" s="60">
        <v>4800.0</v>
      </c>
      <c r="AJ17" s="61">
        <f>('4'!AI17/24)*0.454</f>
        <v>90.8</v>
      </c>
      <c r="AK17" s="62"/>
      <c r="AL17" s="63">
        <f>('4'!AK17/24)*0.454</f>
        <v>0</v>
      </c>
      <c r="AM17" s="62"/>
      <c r="AN17" s="63">
        <f>('4'!AM17/24)*0.454</f>
        <v>0</v>
      </c>
      <c r="AO17" s="62"/>
      <c r="AP17" s="63">
        <f>('4'!AO17/24)*0.454</f>
        <v>0</v>
      </c>
    </row>
    <row r="18" ht="19.5" customHeight="1">
      <c r="A18" s="69">
        <v>0.916666666666667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310"/>
      <c r="R18" s="77">
        <f>'4'!Z27</f>
        <v>1550</v>
      </c>
      <c r="S18" s="76">
        <f>'4'!AB27</f>
        <v>85.41749536</v>
      </c>
      <c r="T18" s="77">
        <f>'4'!Y27</f>
        <v>3352</v>
      </c>
      <c r="U18" s="73" t="str">
        <f>IF('4'!AA27=1,'4'!AR6,'4'!AR7)</f>
        <v>S.A.L</v>
      </c>
      <c r="V18" s="16"/>
      <c r="W18" s="18"/>
      <c r="X18" s="54">
        <v>0.541666666666667</v>
      </c>
      <c r="Y18" s="125">
        <v>3297.0</v>
      </c>
      <c r="Z18" s="308">
        <v>1550.0</v>
      </c>
      <c r="AA18" s="56">
        <v>1.0</v>
      </c>
      <c r="AB18" s="58">
        <f>IF('4'!AA18=1,(('4'!Z18*'4'!$AS$6*'4'!$AT$6)/('4'!Y18*0.0036)),IF('4'!AA18=2,(('4'!Z18*'4'!$AS$7*'4'!$AT$7)/('4'!Y18*0.0036))))</f>
        <v>86.84241566</v>
      </c>
      <c r="AC18" s="58"/>
      <c r="AD18" s="59">
        <f>(('4'!AC18*'4'!$Q$10*1000000))/('4'!Y18*3600)</f>
        <v>0</v>
      </c>
      <c r="AE18" s="60"/>
      <c r="AF18" s="61">
        <f>('4'!AE18/24)*0.454</f>
        <v>0</v>
      </c>
      <c r="AG18" s="60"/>
      <c r="AH18" s="61">
        <f>('4'!AG18/24)*0.454</f>
        <v>0</v>
      </c>
      <c r="AI18" s="60">
        <v>4800.0</v>
      </c>
      <c r="AJ18" s="61">
        <f>('4'!AI18/24)*0.454</f>
        <v>90.8</v>
      </c>
      <c r="AK18" s="62"/>
      <c r="AL18" s="63">
        <f>('4'!AK18/24)*0.454</f>
        <v>0</v>
      </c>
      <c r="AM18" s="62"/>
      <c r="AN18" s="63">
        <f>('4'!AM18/24)*0.454</f>
        <v>0</v>
      </c>
      <c r="AO18" s="62"/>
      <c r="AP18" s="63">
        <f>('4'!AO18/24)*0.454</f>
        <v>0</v>
      </c>
    </row>
    <row r="19" ht="18.75" customHeight="1">
      <c r="A19" s="51" t="s">
        <v>52</v>
      </c>
      <c r="B19" s="92">
        <f t="array" ref="B19">IF('3'!B7:B18&gt;0.01,AVERAGE('3'!B7:B18),"")</f>
        <v>301.9166667</v>
      </c>
      <c r="C19" s="92">
        <f t="array" ref="C19">IF('3'!C7:C18&gt;0.01,AVERAGE('3'!C7:C18),"")</f>
        <v>15.575</v>
      </c>
      <c r="D19" s="92">
        <f t="array" ref="D19">IF('3'!D7:D18&gt;0.01,AVERAGE('3'!D7:D18),"")</f>
        <v>14.275</v>
      </c>
      <c r="E19" s="92">
        <f t="array" ref="E19">IF('3'!E7:E18&gt;0.01,AVERAGE('3'!E7:E18),"")</f>
        <v>7.316666667</v>
      </c>
      <c r="F19" s="92">
        <f t="array" ref="F19">IF('3'!F7:F18&gt;0.01,AVERAGE('3'!F7:F18),"")</f>
        <v>166.3333333</v>
      </c>
      <c r="G19" s="92">
        <f t="array" ref="G19">IF('3'!G7:G18&gt;0.01,AVERAGE('3'!G7:G18),"")</f>
        <v>3.558333333</v>
      </c>
      <c r="H19" s="92">
        <f t="array" ref="H19">IF('3'!H7:H18&gt;0.01,AVERAGE('3'!H7:H18),"")</f>
        <v>2.225</v>
      </c>
      <c r="I19" s="92">
        <f t="array" ref="I19">IF('3'!I7:I18&gt;0.01,AVERAGE('3'!I7:I18),"")</f>
        <v>0.9525</v>
      </c>
      <c r="J19" s="92">
        <f t="array" ref="J19">IF('3'!J7:J18&gt;0.01,AVERAGE('3'!J7:J18),"")</f>
        <v>0.8666666667</v>
      </c>
      <c r="K19" s="92">
        <f t="array" ref="K19">IF('3'!K7:K18&gt;0.01,AVERAGE('3'!K7:K18),"")</f>
        <v>6.616666667</v>
      </c>
      <c r="L19" s="92">
        <f t="array" ref="L19">IF('3'!L7:L18&gt;0.01,AVERAGE('3'!L7:L18),"")</f>
        <v>6.225</v>
      </c>
      <c r="M19" s="92">
        <f t="array" ref="M19">IF('3'!M7:M18&gt;0.01,AVERAGE('3'!M7:M18),"")</f>
        <v>6.191666667</v>
      </c>
      <c r="N19" s="92">
        <f t="array" ref="N19">IF('3'!N7:N18&gt;0.01,AVERAGE('3'!N7:N18),"")</f>
        <v>6.033333333</v>
      </c>
      <c r="O19" s="92">
        <f t="array" ref="O19">IF('3'!O7:O18&gt;0.01,AVERAGE('3'!O7:O18),"")</f>
        <v>3.65</v>
      </c>
      <c r="P19" s="93" t="str">
        <f t="array" ref="P19">IF('2'!P7:P18&gt;0.01,AVERAGE('2'!P7:P18),"")</f>
        <v/>
      </c>
      <c r="Q19" s="94" t="str">
        <f t="array" ref="Q19">IF('2'!Q7:Q18&gt;0.01,AVERAGE('2'!Q7:Q18),"")</f>
        <v/>
      </c>
      <c r="R19" s="94">
        <f t="array" ref="R19">IF('4'!R7:R18&gt;0.01,AVERAGE('4'!R7:R18),"")</f>
        <v>1550</v>
      </c>
      <c r="S19" s="94">
        <f t="array" ref="S19">IF('4'!S7:S18&gt;0.01,AVERAGE('4'!S7:S18),"")</f>
        <v>85.32183774</v>
      </c>
      <c r="T19" s="95"/>
      <c r="U19" s="96"/>
      <c r="V19" s="97"/>
      <c r="W19" s="97"/>
      <c r="X19" s="54">
        <v>0.583333333333333</v>
      </c>
      <c r="Y19" s="125">
        <v>3343.0</v>
      </c>
      <c r="Z19" s="308">
        <v>1550.0</v>
      </c>
      <c r="AA19" s="56">
        <v>1.0</v>
      </c>
      <c r="AB19" s="58">
        <f>IF('4'!AA19=1,(('4'!Z19*'4'!$AS$6*'4'!$AT$6)/('4'!Y19*0.0036)),IF('4'!AA19=2,(('4'!Z19*'4'!$AS$7*'4'!$AT$7)/('4'!Y19*0.0036))))</f>
        <v>85.64745571</v>
      </c>
      <c r="AC19" s="58"/>
      <c r="AD19" s="59">
        <f>(('4'!AC19*'4'!$Q$10*1000000))/('4'!Y19*3600)</f>
        <v>0</v>
      </c>
      <c r="AE19" s="60"/>
      <c r="AF19" s="61">
        <f>('4'!AE19/24)*0.454</f>
        <v>0</v>
      </c>
      <c r="AG19" s="60"/>
      <c r="AH19" s="61">
        <f>('4'!AG19/24)*0.454</f>
        <v>0</v>
      </c>
      <c r="AI19" s="60">
        <v>4800.0</v>
      </c>
      <c r="AJ19" s="61">
        <f>('4'!AI19/24)*0.454</f>
        <v>90.8</v>
      </c>
      <c r="AK19" s="62"/>
      <c r="AL19" s="63">
        <f>('4'!AK19/24)*0.454</f>
        <v>0</v>
      </c>
      <c r="AM19" s="62"/>
      <c r="AN19" s="63">
        <f>('4'!AM19/24)*0.454</f>
        <v>0</v>
      </c>
      <c r="AO19" s="62"/>
      <c r="AP19" s="63">
        <f>('4'!AO19/24)*0.454</f>
        <v>0</v>
      </c>
    </row>
    <row r="20" ht="18.75" customHeight="1">
      <c r="A20" s="51" t="s">
        <v>53</v>
      </c>
      <c r="B20" s="91">
        <f t="shared" ref="B20:E20" si="1">MAX(B7:B18)</f>
        <v>325</v>
      </c>
      <c r="C20" s="92">
        <f t="shared" si="1"/>
        <v>17</v>
      </c>
      <c r="D20" s="92">
        <f t="shared" si="1"/>
        <v>13</v>
      </c>
      <c r="E20" s="92">
        <f t="shared" si="1"/>
        <v>8</v>
      </c>
      <c r="F20" s="92">
        <f>MAX('5'!F7:F18)</f>
        <v>89</v>
      </c>
      <c r="G20" s="92">
        <f>MAX('5'!G7:G18)</f>
        <v>2</v>
      </c>
      <c r="H20" s="92">
        <f>MAX('5'!H7:H18)</f>
        <v>1.6</v>
      </c>
      <c r="I20" s="92">
        <f>MAX('5'!I7:I18)</f>
        <v>0.6</v>
      </c>
      <c r="J20" s="92">
        <f>MAX('5'!J7:J18)</f>
        <v>0.7</v>
      </c>
      <c r="K20" s="92">
        <f>MAX('5'!K7:K18)</f>
        <v>7</v>
      </c>
      <c r="L20" s="92">
        <f>MAX('5'!L7:L18)</f>
        <v>6.3</v>
      </c>
      <c r="M20" s="92">
        <f>MAX('5'!M7:M18)</f>
        <v>6.3</v>
      </c>
      <c r="N20" s="92">
        <f>MAX('5'!N7:N18)</f>
        <v>6</v>
      </c>
      <c r="O20" s="98">
        <f>MAX('4'!O7:O18)</f>
        <v>3.5</v>
      </c>
      <c r="P20" s="98">
        <f>MAX('5'!P7:P18)</f>
        <v>0</v>
      </c>
      <c r="Q20" s="98">
        <f>MAX('5'!Q7:Q18)</f>
        <v>0</v>
      </c>
      <c r="R20" s="98">
        <f>MAX('4'!R7:R18)</f>
        <v>1550</v>
      </c>
      <c r="S20" s="98">
        <f>MAX('4'!S7:S18)</f>
        <v>86.37087314</v>
      </c>
      <c r="T20" s="99"/>
      <c r="U20" s="21"/>
      <c r="X20" s="54">
        <v>0.625</v>
      </c>
      <c r="Y20" s="125">
        <v>3293.0</v>
      </c>
      <c r="Z20" s="308">
        <v>1550.0</v>
      </c>
      <c r="AA20" s="56">
        <v>1.0</v>
      </c>
      <c r="AB20" s="58">
        <f>IF('4'!AA20=1,(('4'!Z20*'4'!$AS$6*'4'!$AT$6)/('4'!Y20*0.0036)),IF('4'!AA20=2,(('4'!Z20*'4'!$AS$7*'4'!$AT$7)/('4'!Y20*0.0036))))</f>
        <v>86.94790296</v>
      </c>
      <c r="AC20" s="58"/>
      <c r="AD20" s="59">
        <f>(('4'!AC20*'4'!$Q$10*1000000))/('4'!Y20*3600)</f>
        <v>0</v>
      </c>
      <c r="AE20" s="60"/>
      <c r="AF20" s="61">
        <f>('4'!AE20/24)*0.454</f>
        <v>0</v>
      </c>
      <c r="AG20" s="60"/>
      <c r="AH20" s="61">
        <v>0.0</v>
      </c>
      <c r="AI20" s="60">
        <v>4800.0</v>
      </c>
      <c r="AJ20" s="61">
        <f>('4'!AI20/24)*0.454</f>
        <v>90.8</v>
      </c>
      <c r="AK20" s="62"/>
      <c r="AL20" s="63">
        <f>('4'!AK20/24)*0.454</f>
        <v>0</v>
      </c>
      <c r="AM20" s="62"/>
      <c r="AN20" s="63">
        <f>('4'!AM20/24)*0.454</f>
        <v>0</v>
      </c>
      <c r="AO20" s="62"/>
      <c r="AP20" s="63">
        <f>('4'!AO20/24)*0.454</f>
        <v>0</v>
      </c>
    </row>
    <row r="21" ht="19.5" customHeight="1">
      <c r="A21" s="51" t="s">
        <v>54</v>
      </c>
      <c r="B21" s="91">
        <f>MIN('4'!B7:B18)</f>
        <v>321</v>
      </c>
      <c r="C21" s="92">
        <f>MIN('4'!C7:C18)</f>
        <v>14</v>
      </c>
      <c r="D21" s="92">
        <f>MIN('4'!D7:D18)</f>
        <v>10</v>
      </c>
      <c r="E21" s="92">
        <f>MIN('4'!E7:E18)</f>
        <v>7</v>
      </c>
      <c r="F21" s="92">
        <f>MIN('4'!F7:F18)</f>
        <v>111</v>
      </c>
      <c r="G21" s="100">
        <f>MIN('4'!G7:G18)</f>
        <v>3.1</v>
      </c>
      <c r="H21" s="100">
        <f>MIN('4'!H7:H18)</f>
        <v>1.7</v>
      </c>
      <c r="I21" s="100">
        <f>MIN('4'!I7:I18)</f>
        <v>0.6</v>
      </c>
      <c r="J21" s="100">
        <f>MIN('4'!J7:J18)</f>
        <v>1</v>
      </c>
      <c r="K21" s="100">
        <f>MIN('4'!K7:K18)</f>
        <v>6</v>
      </c>
      <c r="L21" s="100">
        <f>MIN('4'!L7:L18)</f>
        <v>6.2</v>
      </c>
      <c r="M21" s="100">
        <f>MIN('4'!M7:M18)</f>
        <v>6.2</v>
      </c>
      <c r="N21" s="100">
        <f>MIN('4'!N7:N18)</f>
        <v>6</v>
      </c>
      <c r="O21" s="101">
        <f>MIN('4'!O7:O18)</f>
        <v>3.5</v>
      </c>
      <c r="P21" s="101">
        <f>MIN('4'!P7:P18)</f>
        <v>0</v>
      </c>
      <c r="Q21" s="101">
        <f>MIN('4'!Q7:Q18)</f>
        <v>0</v>
      </c>
      <c r="R21" s="101">
        <f>MIN('4'!R7:R18)</f>
        <v>1550</v>
      </c>
      <c r="S21" s="101">
        <f>MIN('4'!S7:S18)</f>
        <v>83.57251735</v>
      </c>
      <c r="T21" s="99"/>
      <c r="U21" s="21"/>
      <c r="X21" s="54">
        <v>0.666666666666667</v>
      </c>
      <c r="Y21" s="125">
        <v>3315.0</v>
      </c>
      <c r="Z21" s="308">
        <v>1550.0</v>
      </c>
      <c r="AA21" s="56">
        <v>1.0</v>
      </c>
      <c r="AB21" s="58">
        <f>IF('4'!AA21=1,(('4'!Z21*'4'!$AS$6*'4'!$AT$6)/('4'!Y21*0.0036)),IF('4'!AA21=2,(('4'!Z21*'4'!$AS$7*'4'!$AT$7)/('4'!Y21*0.0036))))</f>
        <v>86.37087314</v>
      </c>
      <c r="AC21" s="58"/>
      <c r="AD21" s="59">
        <f>(('4'!AC21*'4'!$Q$10*1000000))/('4'!Y21*3600)</f>
        <v>0</v>
      </c>
      <c r="AE21" s="60"/>
      <c r="AF21" s="61">
        <f>('4'!AE21/24)*0.454</f>
        <v>0</v>
      </c>
      <c r="AG21" s="60"/>
      <c r="AH21" s="61">
        <f>('4'!AG21/24)*0.454</f>
        <v>0</v>
      </c>
      <c r="AI21" s="60">
        <v>4800.0</v>
      </c>
      <c r="AJ21" s="61">
        <f>('4'!AI21/24)*0.454</f>
        <v>90.8</v>
      </c>
      <c r="AK21" s="62"/>
      <c r="AL21" s="63">
        <f>('4'!AK21/24)*0.454</f>
        <v>0</v>
      </c>
      <c r="AM21" s="62"/>
      <c r="AN21" s="63">
        <f>('4'!AM21/24)*0.454</f>
        <v>0</v>
      </c>
      <c r="AO21" s="62"/>
      <c r="AP21" s="63">
        <f>('4'!AO21/24)*0.454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3341.0</v>
      </c>
      <c r="Z22" s="308">
        <v>1550.0</v>
      </c>
      <c r="AA22" s="56">
        <v>1.0</v>
      </c>
      <c r="AB22" s="58">
        <f>IF('4'!AA22=1,(('4'!Z22*'4'!$AS$6*'4'!$AT$6)/('4'!Y22*0.0036)),IF('4'!AA22=2,(('4'!Z22*'4'!$AS$7*'4'!$AT$7)/('4'!Y22*0.0036))))</f>
        <v>85.69872626</v>
      </c>
      <c r="AC22" s="58"/>
      <c r="AD22" s="59">
        <f>(('4'!AC22*'4'!$Q$10*1000000))/('4'!Y22*3600)</f>
        <v>0</v>
      </c>
      <c r="AE22" s="60"/>
      <c r="AF22" s="61">
        <f>('4'!AE22/24)*0.454</f>
        <v>0</v>
      </c>
      <c r="AG22" s="60"/>
      <c r="AH22" s="61">
        <f>('4'!AG22/24)*0.454</f>
        <v>0</v>
      </c>
      <c r="AI22" s="60">
        <v>4800.0</v>
      </c>
      <c r="AJ22" s="61">
        <f>('4'!AI22/24)*0.454</f>
        <v>90.8</v>
      </c>
      <c r="AK22" s="62"/>
      <c r="AL22" s="63">
        <f>('4'!AK22/24)*0.454</f>
        <v>0</v>
      </c>
      <c r="AM22" s="62"/>
      <c r="AN22" s="63">
        <f>('4'!AM22/24)*0.454</f>
        <v>0</v>
      </c>
      <c r="AO22" s="62"/>
      <c r="AP22" s="63">
        <f>('4'!AO22/24)*0.454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3326.0</v>
      </c>
      <c r="Z23" s="308">
        <v>1550.0</v>
      </c>
      <c r="AA23" s="56">
        <v>1.0</v>
      </c>
      <c r="AB23" s="58">
        <f>IF('4'!AA23=1,(('4'!Z23*'4'!$AS$6*'4'!$AT$6)/('4'!Y23*0.0036)),IF('4'!AA23=2,(('4'!Z23*'4'!$AS$7*'4'!$AT$7)/('4'!Y23*0.0036))))</f>
        <v>86.08522082</v>
      </c>
      <c r="AC23" s="58"/>
      <c r="AD23" s="59">
        <f>(('4'!AC23*'4'!$Q$10*1000000))/('4'!Y23*3600)</f>
        <v>0</v>
      </c>
      <c r="AE23" s="60"/>
      <c r="AF23" s="61">
        <f>('4'!AE23/24)*0.454</f>
        <v>0</v>
      </c>
      <c r="AG23" s="60"/>
      <c r="AH23" s="61">
        <f>('4'!AG23/24)*0.454</f>
        <v>0</v>
      </c>
      <c r="AI23" s="60">
        <v>4800.0</v>
      </c>
      <c r="AJ23" s="61">
        <f>('4'!AI23/24)*0.454</f>
        <v>90.8</v>
      </c>
      <c r="AK23" s="62"/>
      <c r="AL23" s="63">
        <f>('4'!AK23/24)*0.454</f>
        <v>0</v>
      </c>
      <c r="AM23" s="62"/>
      <c r="AN23" s="63">
        <f>('4'!AM23/24)*0.454</f>
        <v>0</v>
      </c>
      <c r="AO23" s="62"/>
      <c r="AP23" s="63">
        <f>('4'!AO23/24)*0.454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3342.0</v>
      </c>
      <c r="Z24" s="308">
        <v>1550.0</v>
      </c>
      <c r="AA24" s="56">
        <v>1.0</v>
      </c>
      <c r="AB24" s="57">
        <f>IF('4'!AA24=1,(('4'!Z24*'4'!$AS$6*'4'!$AT$6)/('4'!Y24*0.0036)),IF('4'!AA24=2,(('4'!Z24*'4'!$AS$7*'4'!$AT$7)/('4'!Y24*0.0036))))</f>
        <v>85.67308332</v>
      </c>
      <c r="AC24" s="58"/>
      <c r="AD24" s="59">
        <f>(('4'!AC24*'4'!$Q$10*1000000))/('4'!Y24*3600)</f>
        <v>0</v>
      </c>
      <c r="AE24" s="60"/>
      <c r="AF24" s="61">
        <f>('4'!AE24/24)*0.454</f>
        <v>0</v>
      </c>
      <c r="AG24" s="60"/>
      <c r="AH24" s="61">
        <f>('4'!AG24/24)*0.454</f>
        <v>0</v>
      </c>
      <c r="AI24" s="60">
        <v>4800.0</v>
      </c>
      <c r="AJ24" s="61">
        <f>('4'!AI24/24)*0.454</f>
        <v>90.8</v>
      </c>
      <c r="AK24" s="62"/>
      <c r="AL24" s="110">
        <f>('4'!AK24/24)*0.454</f>
        <v>0</v>
      </c>
      <c r="AM24" s="312"/>
      <c r="AN24" s="110">
        <f>('4'!AM24/24)*0.454</f>
        <v>0</v>
      </c>
      <c r="AO24" s="62"/>
      <c r="AP24" s="110">
        <f>('4'!AO24/24)*0.454</f>
        <v>0</v>
      </c>
    </row>
    <row r="25" ht="19.5" customHeight="1">
      <c r="A25" s="111">
        <v>0.416666666666667</v>
      </c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112" t="str">
        <f t="shared" ref="R25:R26" si="2">#DIV/0!</f>
        <v>#DIV/0!</v>
      </c>
      <c r="S25" s="113"/>
      <c r="T25" s="348" t="s">
        <v>0</v>
      </c>
      <c r="U25" s="115">
        <f>ESCALA!$A$6</f>
        <v>43925</v>
      </c>
      <c r="X25" s="54">
        <v>0.833333333333333</v>
      </c>
      <c r="Y25" s="125">
        <v>3344.0</v>
      </c>
      <c r="Z25" s="308">
        <v>1550.0</v>
      </c>
      <c r="AA25" s="56">
        <v>1.0</v>
      </c>
      <c r="AB25" s="58">
        <f>IF('4'!AA25=1,(('4'!Z25*'4'!$AS$6*'4'!$AT$6)/('4'!Y25*0.0036)),IF('4'!AA25=2,(('4'!Z25*'4'!$AS$7*'4'!$AT$7)/('4'!Y25*0.0036))))</f>
        <v>85.62184343</v>
      </c>
      <c r="AC25" s="58"/>
      <c r="AD25" s="59">
        <f>(('4'!AC25*'4'!$Q$10*1000000))/('4'!Y25*3600)</f>
        <v>0</v>
      </c>
      <c r="AE25" s="60"/>
      <c r="AF25" s="61">
        <f>('4'!AE25/24)*0.454</f>
        <v>0</v>
      </c>
      <c r="AG25" s="60"/>
      <c r="AH25" s="61">
        <f>('4'!AG25/24)*0.454</f>
        <v>0</v>
      </c>
      <c r="AI25" s="60">
        <v>4800.0</v>
      </c>
      <c r="AJ25" s="61">
        <f>('4'!AI25/24)*0.454</f>
        <v>90.8</v>
      </c>
      <c r="AK25" s="62"/>
      <c r="AL25" s="63">
        <f>('4'!AK25/24)*0.454</f>
        <v>0</v>
      </c>
      <c r="AM25" s="62"/>
      <c r="AN25" s="63">
        <f>('4'!AM25/24)*0.454</f>
        <v>0</v>
      </c>
      <c r="AO25" s="62"/>
      <c r="AP25" s="63">
        <f>('4'!AO25/24)*0.454</f>
        <v>0</v>
      </c>
    </row>
    <row r="26" ht="19.5" customHeight="1">
      <c r="A26" s="111">
        <v>0.666666666666667</v>
      </c>
      <c r="B26" s="313"/>
      <c r="C26" s="313"/>
      <c r="D26" s="313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49"/>
      <c r="P26" s="350"/>
      <c r="Q26" s="315"/>
      <c r="R26" s="112" t="str">
        <f t="shared" si="2"/>
        <v>#DIV/0!</v>
      </c>
      <c r="S26" s="116"/>
      <c r="T26" s="117"/>
      <c r="U26" s="118"/>
      <c r="X26" s="54">
        <v>0.875</v>
      </c>
      <c r="Y26" s="125">
        <v>3336.0</v>
      </c>
      <c r="Z26" s="308">
        <v>1550.0</v>
      </c>
      <c r="AA26" s="56">
        <v>1.0</v>
      </c>
      <c r="AB26" s="58">
        <f>IF('4'!AA26=1,(('4'!Z26*'4'!$AS$6*'4'!$AT$6)/('4'!Y26*0.0036)),IF('4'!AA26=2,(('4'!Z26*'4'!$AS$7*'4'!$AT$7)/('4'!Y26*0.0036))))</f>
        <v>85.8271716</v>
      </c>
      <c r="AC26" s="58"/>
      <c r="AD26" s="59">
        <f>(('4'!AC26*'4'!$Q$10*1000000))/('4'!Y26*3600)</f>
        <v>0</v>
      </c>
      <c r="AE26" s="60"/>
      <c r="AF26" s="61">
        <f>('4'!AE26/24)*0.454</f>
        <v>0</v>
      </c>
      <c r="AG26" s="60"/>
      <c r="AH26" s="61">
        <f>('4'!AG26/24)*0.454</f>
        <v>0</v>
      </c>
      <c r="AI26" s="60">
        <v>4800.0</v>
      </c>
      <c r="AJ26" s="61">
        <f>('4'!AI26/24)*0.454</f>
        <v>90.8</v>
      </c>
      <c r="AK26" s="62"/>
      <c r="AL26" s="63">
        <f>('4'!AK26/24)*0.454</f>
        <v>0</v>
      </c>
      <c r="AM26" s="62"/>
      <c r="AN26" s="63">
        <f>('4'!AM26/24)*0.454</f>
        <v>0</v>
      </c>
      <c r="AO26" s="62"/>
      <c r="AP26" s="63">
        <f>('4'!AO26/24)*0.454</f>
        <v>0</v>
      </c>
    </row>
    <row r="27" ht="19.5" customHeight="1">
      <c r="A27" s="119" t="s">
        <v>52</v>
      </c>
      <c r="B27" s="120" t="str">
        <f t="shared" ref="B27:Q27" si="3">#DIV/0!</f>
        <v>#DIV/0!</v>
      </c>
      <c r="C27" s="120" t="str">
        <f t="shared" si="3"/>
        <v>#DIV/0!</v>
      </c>
      <c r="D27" s="120" t="str">
        <f t="shared" si="3"/>
        <v>#DIV/0!</v>
      </c>
      <c r="E27" s="92" t="str">
        <f t="shared" si="3"/>
        <v>#DIV/0!</v>
      </c>
      <c r="F27" s="92" t="str">
        <f t="shared" si="3"/>
        <v>#DIV/0!</v>
      </c>
      <c r="G27" s="92" t="str">
        <f t="shared" si="3"/>
        <v>#DIV/0!</v>
      </c>
      <c r="H27" s="92" t="str">
        <f t="shared" si="3"/>
        <v>#DIV/0!</v>
      </c>
      <c r="I27" s="92" t="str">
        <f t="shared" si="3"/>
        <v>#DIV/0!</v>
      </c>
      <c r="J27" s="92" t="str">
        <f t="shared" si="3"/>
        <v>#DIV/0!</v>
      </c>
      <c r="K27" s="92" t="str">
        <f t="shared" si="3"/>
        <v>#DIV/0!</v>
      </c>
      <c r="L27" s="92" t="str">
        <f t="shared" si="3"/>
        <v>#DIV/0!</v>
      </c>
      <c r="M27" s="92" t="str">
        <f t="shared" si="3"/>
        <v>#DIV/0!</v>
      </c>
      <c r="N27" s="92" t="str">
        <f t="shared" si="3"/>
        <v>#DIV/0!</v>
      </c>
      <c r="O27" s="92" t="str">
        <f t="shared" si="3"/>
        <v>#DIV/0!</v>
      </c>
      <c r="P27" s="92" t="str">
        <f t="shared" si="3"/>
        <v>#DIV/0!</v>
      </c>
      <c r="Q27" s="98" t="str">
        <f t="shared" si="3"/>
        <v>#DIV/0!</v>
      </c>
      <c r="R27" s="316"/>
      <c r="S27" s="127"/>
      <c r="T27" s="128"/>
      <c r="U27" s="351"/>
      <c r="X27" s="54">
        <v>0.916666666666667</v>
      </c>
      <c r="Y27" s="125">
        <v>3352.0</v>
      </c>
      <c r="Z27" s="308">
        <v>1550.0</v>
      </c>
      <c r="AA27" s="56">
        <v>1.0</v>
      </c>
      <c r="AB27" s="58">
        <f>IF('4'!AA27=1,(('4'!Z27*'4'!$AS$6*'4'!$AT$6)/('4'!Y27*0.0036)),IF('4'!AA27=2,(('4'!Z27*'4'!$AS$7*'4'!$AT$7)/('4'!Y27*0.0036))))</f>
        <v>85.41749536</v>
      </c>
      <c r="AC27" s="58"/>
      <c r="AD27" s="59">
        <f>(('4'!AC27*'4'!$Q$10*1000000))/('4'!Y27*3600)</f>
        <v>0</v>
      </c>
      <c r="AE27" s="60"/>
      <c r="AF27" s="61">
        <f>('4'!AE27/24)*0.454</f>
        <v>0</v>
      </c>
      <c r="AG27" s="60"/>
      <c r="AH27" s="61">
        <f>('4'!AG27/24)*0.454</f>
        <v>0</v>
      </c>
      <c r="AI27" s="60">
        <v>4800.0</v>
      </c>
      <c r="AJ27" s="61">
        <f>('4'!AI27/24)*0.454</f>
        <v>90.8</v>
      </c>
      <c r="AK27" s="62"/>
      <c r="AL27" s="63">
        <f>('4'!AK27/24)*0.454</f>
        <v>0</v>
      </c>
      <c r="AM27" s="62"/>
      <c r="AN27" s="63">
        <f>('4'!AM27/24)*0.454</f>
        <v>0</v>
      </c>
      <c r="AO27" s="62"/>
      <c r="AP27" s="63">
        <f>('4'!AO27/24)*0.454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3372.0</v>
      </c>
      <c r="Z28" s="308">
        <v>1550.0</v>
      </c>
      <c r="AA28" s="56">
        <v>1.0</v>
      </c>
      <c r="AB28" s="58">
        <f>IF('4'!AA28=1,(('4'!Z28*'4'!$AS$6*'4'!$AT$6)/('4'!Y28*0.0036)),IF('4'!AA28=2,(('4'!Z28*'4'!$AS$7*'4'!$AT$7)/('4'!Y28*0.0036))))</f>
        <v>84.91086727</v>
      </c>
      <c r="AC28" s="58"/>
      <c r="AD28" s="59">
        <f>(('4'!AC28*'4'!$Q$10*1000000))/('4'!Y28*3600)</f>
        <v>0</v>
      </c>
      <c r="AE28" s="60"/>
      <c r="AF28" s="61">
        <f>('4'!AE28/24)*0.454</f>
        <v>0</v>
      </c>
      <c r="AG28" s="60"/>
      <c r="AH28" s="61">
        <f>('4'!AG28/24)*0.454</f>
        <v>0</v>
      </c>
      <c r="AI28" s="60">
        <v>4800.0</v>
      </c>
      <c r="AJ28" s="61">
        <f>('4'!AI28/24)*0.454</f>
        <v>90.8</v>
      </c>
      <c r="AK28" s="62"/>
      <c r="AL28" s="63">
        <f>('4'!AK28/24)*0.454</f>
        <v>0</v>
      </c>
      <c r="AM28" s="62"/>
      <c r="AN28" s="63">
        <f>('4'!AM28/24)*0.454</f>
        <v>0</v>
      </c>
      <c r="AO28" s="62"/>
      <c r="AP28" s="63">
        <f>('4'!AO28/24)*0.454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3392.0</v>
      </c>
      <c r="Z29" s="308">
        <v>1550.0</v>
      </c>
      <c r="AA29" s="56">
        <v>1.0</v>
      </c>
      <c r="AB29" s="58">
        <f>IF('4'!AA29=1,(('4'!Z29*'4'!$AS$6*'4'!$AT$6)/('4'!Y29*0.0036)),IF('4'!AA29=2,(('4'!Z29*'4'!$AS$7*'4'!$AT$7)/('4'!Y29*0.0036))))</f>
        <v>84.41021357</v>
      </c>
      <c r="AC29" s="58"/>
      <c r="AD29" s="59">
        <f>(('4'!AC29*'4'!$Q$10*1000000))/('4'!Y29*3600)</f>
        <v>0</v>
      </c>
      <c r="AE29" s="60"/>
      <c r="AF29" s="61">
        <f>('4'!AE29/24)*0.454</f>
        <v>0</v>
      </c>
      <c r="AG29" s="60"/>
      <c r="AH29" s="61">
        <f>('4'!AG29/24)*0.454</f>
        <v>0</v>
      </c>
      <c r="AI29" s="60">
        <v>4800.0</v>
      </c>
      <c r="AJ29" s="61">
        <f>('4'!AI29/24)*0.454</f>
        <v>90.8</v>
      </c>
      <c r="AK29" s="62"/>
      <c r="AL29" s="63">
        <f>('4'!AK29/24)*0.454</f>
        <v>0</v>
      </c>
      <c r="AM29" s="62"/>
      <c r="AN29" s="63">
        <f>('4'!AM29/24)*0.454</f>
        <v>0</v>
      </c>
      <c r="AO29" s="62"/>
      <c r="AP29" s="63">
        <f>('4'!AO29/24)*0.454</f>
        <v>0</v>
      </c>
    </row>
    <row r="30" ht="18.75" customHeight="1">
      <c r="A30" s="43"/>
      <c r="U30" s="27"/>
      <c r="X30" s="130" t="s">
        <v>55</v>
      </c>
      <c r="Y30" s="131">
        <f>SUM('4'!Y6:Y29)*3.6</f>
        <v>290469.6</v>
      </c>
      <c r="Z30" s="132">
        <f>SUM('4'!Z6:Z29)</f>
        <v>37200</v>
      </c>
      <c r="AA30" s="133"/>
      <c r="AB30" s="132"/>
      <c r="AC30" s="133"/>
      <c r="AD30" s="132"/>
      <c r="AE30" s="60"/>
      <c r="AF30" s="61">
        <f>SUM('4'!AF6:AF29)</f>
        <v>0</v>
      </c>
      <c r="AG30" s="60"/>
      <c r="AH30" s="61">
        <f>SUM('4'!AH6:AH29)</f>
        <v>0</v>
      </c>
      <c r="AI30" s="60"/>
      <c r="AJ30" s="61">
        <f>SUM('4'!AJ6:AJ29)</f>
        <v>2205.683333</v>
      </c>
      <c r="AK30" s="62"/>
      <c r="AL30" s="63">
        <f>SUM('4'!AL6:AL29)</f>
        <v>0</v>
      </c>
      <c r="AM30" s="62"/>
      <c r="AN30" s="63">
        <f>SUM('4'!AN6:AN29)</f>
        <v>0</v>
      </c>
      <c r="AO30" s="62"/>
      <c r="AP30" s="63">
        <f>SUM('4'!AP6:AP29)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SUMIF('4'!AA6:AA29,"=1",'4'!Z6:Z29)</f>
        <v>37200</v>
      </c>
      <c r="AA32" s="132">
        <f>'4'!Z32*'4'!AS6</f>
        <v>49476</v>
      </c>
      <c r="AB32" s="139">
        <f>SUMIF('4'!$AA$6:$AA$29,"=1",'4'!$AB$6:$AB$29)/COUNTIF('4'!$AA$6:$AA$29,"=1")</f>
        <v>85.17901009</v>
      </c>
      <c r="AC32" s="140">
        <f>SUMIF('4'!AA6:AA29,"=1",'4'!AC6:AC29)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SUMIF('4'!AA6:AA29,"=2",'4'!Z6:Z29)</f>
        <v>0</v>
      </c>
      <c r="AA33" s="132">
        <f>'4'!Z33*'4'!AS7</f>
        <v>0</v>
      </c>
      <c r="AB33" s="139" t="str">
        <f>SUMIF('4'!$AA$6:$AA$29,"=2",'4'!$AB$6:$AB$29)/COUNTIF('4'!$AA$6:$AA$29,"=2")</f>
        <v>#DIV/0!</v>
      </c>
      <c r="AC33" s="145">
        <f>SUMIF('4'!AA6:AA29,"=2",'4'!AC6:AC29)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AVERAGE('4'!Y6:Y29)</f>
        <v>3361.916667</v>
      </c>
      <c r="Z34" s="56">
        <f>AVERAGE('4'!Z6:Z29)</f>
        <v>1550</v>
      </c>
      <c r="AA34" s="152"/>
      <c r="AB34" s="152"/>
      <c r="AC34" s="153" t="str">
        <f>SUM('4'!AC6:AC29)/COUNTIF('4'!AC6:AC29,"&lt;&gt;0")</f>
        <v>#DIV/0!</v>
      </c>
      <c r="AD34" s="154" t="str">
        <f>SUM('4'!AD6:AD29)/COUNTIF('4'!AD6:AD29,"&lt;&gt;0")</f>
        <v>#DIV/0!</v>
      </c>
      <c r="AE34" s="133"/>
      <c r="AF34" s="153">
        <f>AVERAGE('4'!AF6:AF29)</f>
        <v>0</v>
      </c>
      <c r="AG34" s="153"/>
      <c r="AH34" s="153">
        <f>AVERAGE('4'!AH6:AH29)</f>
        <v>0</v>
      </c>
      <c r="AI34" s="153"/>
      <c r="AJ34" s="153">
        <f>'4'!AJ30/24</f>
        <v>91.90347222</v>
      </c>
      <c r="AK34" s="153"/>
      <c r="AL34" s="153">
        <f>AVERAGE('4'!AL6:AL29)</f>
        <v>0</v>
      </c>
      <c r="AM34" s="153"/>
      <c r="AN34" s="153">
        <f>AVERAGE('4'!AN6:AN29)</f>
        <v>0</v>
      </c>
      <c r="AO34" s="153"/>
      <c r="AP34" s="153">
        <f>AVERAGE('4'!AP6:AP29)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128"/>
      <c r="AJ35" s="335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/>
      <c r="D37" s="76"/>
      <c r="E37" s="76"/>
      <c r="F37" s="76"/>
      <c r="G37" s="60"/>
      <c r="H37" s="60"/>
      <c r="I37" s="60"/>
      <c r="J37" s="60"/>
      <c r="K37" s="60"/>
      <c r="L37" s="52"/>
      <c r="M37" s="106"/>
      <c r="N37" s="157"/>
      <c r="O37" s="51"/>
      <c r="P37" s="51"/>
      <c r="Q37" s="51"/>
      <c r="R37" s="51"/>
      <c r="S37" s="51"/>
      <c r="T37" s="51"/>
      <c r="U37" s="337" t="str">
        <f>'4'!V12</f>
        <v/>
      </c>
      <c r="X37" s="169" t="s">
        <v>75</v>
      </c>
      <c r="Y37" s="128"/>
      <c r="Z37" s="170">
        <f>COUNTA('4'!Z6:Z29)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SUM('4'!AF30+'4'!AH30)*1.0561</f>
        <v>0</v>
      </c>
      <c r="AL38" s="178" t="s">
        <v>78</v>
      </c>
      <c r="AM38" s="179">
        <f>SUM('4'!AL30+'4'!AN30)*1.0561</f>
        <v>0</v>
      </c>
      <c r="AO38" s="178" t="s">
        <v>78</v>
      </c>
      <c r="AP38" s="180">
        <f>'4'!AJ30*1.0561</f>
        <v>2329.422168</v>
      </c>
      <c r="AQ38" s="178" t="s">
        <v>78</v>
      </c>
      <c r="AR38" s="179">
        <f>'4'!AP30*1.0561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('4'!AK38/'4'!Y30)*1000</f>
        <v>0</v>
      </c>
      <c r="AL39" s="327" t="s">
        <v>86</v>
      </c>
      <c r="AM39" s="328">
        <f>('4'!AM38/'4'!Y30)*1000</f>
        <v>0</v>
      </c>
      <c r="AO39" s="325" t="s">
        <v>86</v>
      </c>
      <c r="AP39" s="326">
        <f>('4'!AP38/'4'!Y30)*1000</f>
        <v>8.01950417</v>
      </c>
      <c r="AQ39" s="327" t="s">
        <v>86</v>
      </c>
      <c r="AR39" s="328">
        <f>('4'!AR38/'4'!Y30)*1000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SUM('4'!AK38,'4'!AM38)</f>
        <v>0</v>
      </c>
      <c r="AM40" s="128"/>
      <c r="AO40" s="210" t="s">
        <v>90</v>
      </c>
      <c r="AP40" s="128"/>
      <c r="AQ40" s="211">
        <f>SUM('4'!AP38,'4'!AR38)</f>
        <v>2329.422168</v>
      </c>
      <c r="AR40" s="128"/>
    </row>
    <row r="41" ht="16.5" customHeight="1">
      <c r="A41" s="212">
        <f>COUNTA('4'!E7:E18)</f>
        <v>4</v>
      </c>
      <c r="B41" s="213">
        <f>COUNTA('4'!I7:I18)</f>
        <v>4</v>
      </c>
      <c r="C41" s="214">
        <f>COUNTA('4'!J7:J18)</f>
        <v>4</v>
      </c>
      <c r="D41" s="80"/>
      <c r="E41" s="214">
        <f>COUNTIF('4'!E7:E18,"&gt;15")</f>
        <v>0</v>
      </c>
      <c r="F41" s="80"/>
      <c r="G41" s="214">
        <f>COUNTIF('4'!J7:J18,"&gt;1")</f>
        <v>2</v>
      </c>
      <c r="H41" s="80"/>
      <c r="I41" s="215"/>
      <c r="J41" s="214">
        <f>'4'!A41-'4'!E41</f>
        <v>4</v>
      </c>
      <c r="K41" s="80"/>
      <c r="L41" s="214">
        <f>'4'!C41-'4'!G41</f>
        <v>2</v>
      </c>
      <c r="M41" s="80"/>
      <c r="N41" s="215"/>
      <c r="O41" s="216">
        <f>COUNTIF('4'!J7:J18,"&lt;=0,5")</f>
        <v>0</v>
      </c>
      <c r="P41" s="217"/>
      <c r="Q41" s="218"/>
      <c r="R41" s="219"/>
      <c r="S41" s="220">
        <f>COUNTIF('4'!J7:J18,"&lt;=1,0")</f>
        <v>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SUM(('4'!AK38+'4'!AM38)/'4'!Y30)*1000</f>
        <v>0</v>
      </c>
      <c r="AM41" s="128"/>
      <c r="AO41" s="210" t="s">
        <v>91</v>
      </c>
      <c r="AP41" s="128"/>
      <c r="AQ41" s="223">
        <f>SUM(('4'!AP38+'4'!AR38)/'4'!Y30)*1000</f>
        <v>8.01950417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341">
        <f>SUM(Y45,AA45,AC45,AE45)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COUNTIF('4'!I7:I18,"&lt;=5,0")</f>
        <v>4</v>
      </c>
      <c r="I45" s="127"/>
      <c r="J45" s="128"/>
      <c r="K45" s="215"/>
      <c r="L45" s="208">
        <f>COUNTA('4'!L37)</f>
        <v>0</v>
      </c>
      <c r="M45" s="128"/>
      <c r="O45" s="248"/>
      <c r="P45" s="249"/>
      <c r="Q45" s="250">
        <f>'4'!S41-'4'!O41</f>
        <v>2</v>
      </c>
      <c r="R45" s="251"/>
      <c r="S45" s="252"/>
      <c r="T45" s="253"/>
      <c r="X45" s="133" t="s">
        <v>104</v>
      </c>
      <c r="Y45" s="254">
        <f>'4'!Y44*275.3</f>
        <v>0</v>
      </c>
      <c r="Z45" s="133" t="s">
        <v>104</v>
      </c>
      <c r="AA45" s="254">
        <f>262.4*'4'!AA44</f>
        <v>0</v>
      </c>
      <c r="AB45" s="133" t="s">
        <v>104</v>
      </c>
      <c r="AC45" s="254">
        <f>'4'!AC44*277.7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75" customHeight="1">
      <c r="F46" s="257"/>
      <c r="X46" s="196" t="s">
        <v>105</v>
      </c>
      <c r="Y46" s="258">
        <f>'4'!AS6</f>
        <v>1.33</v>
      </c>
      <c r="Z46" s="196" t="s">
        <v>105</v>
      </c>
      <c r="AA46" s="258">
        <f>'4'!Y46</f>
        <v>1.33</v>
      </c>
      <c r="AB46" s="196" t="s">
        <v>105</v>
      </c>
      <c r="AC46" s="258">
        <f>'4'!Y46</f>
        <v>1.33</v>
      </c>
      <c r="AD46" s="196" t="s">
        <v>105</v>
      </c>
      <c r="AE46" s="259">
        <f>'4'!Y46</f>
        <v>1.33</v>
      </c>
      <c r="AF46" s="260" t="s">
        <v>106</v>
      </c>
      <c r="AG46" s="261">
        <f>SUM('4'!Y47,'4'!AA47,'4'!AC47,'4'!AE47)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'4'!Y45*'4'!Y46</f>
        <v>0</v>
      </c>
      <c r="Z47" s="133" t="s">
        <v>108</v>
      </c>
      <c r="AA47" s="254">
        <f>'4'!AA45*'4'!AA46</f>
        <v>0</v>
      </c>
      <c r="AB47" s="133" t="s">
        <v>108</v>
      </c>
      <c r="AC47" s="254">
        <f>'4'!AC45*'4'!AC46</f>
        <v>0</v>
      </c>
      <c r="AD47" s="133" t="s">
        <v>108</v>
      </c>
      <c r="AE47" s="254">
        <f>'4'!AE45*'4'!AE46</f>
        <v>0</v>
      </c>
      <c r="AF47" s="46"/>
      <c r="AG47" s="46"/>
      <c r="AI47" s="133" t="s">
        <v>104</v>
      </c>
      <c r="AJ47" s="254">
        <f>'4'!AJ46*275.3</f>
        <v>0</v>
      </c>
      <c r="AK47" s="133" t="s">
        <v>104</v>
      </c>
      <c r="AL47" s="254">
        <f>262.4*'4'!AL46</f>
        <v>0</v>
      </c>
      <c r="AM47" s="133" t="s">
        <v>104</v>
      </c>
      <c r="AN47" s="254">
        <f>'4'!AN46*277.7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>
        <v>0.0</v>
      </c>
      <c r="AE48" s="264"/>
      <c r="AF48" s="264"/>
      <c r="AG48" s="264"/>
      <c r="AI48" s="196" t="s">
        <v>105</v>
      </c>
      <c r="AJ48" s="258">
        <f>'4'!Y46</f>
        <v>1.33</v>
      </c>
      <c r="AK48" s="265" t="s">
        <v>105</v>
      </c>
      <c r="AL48" s="258">
        <f>'4'!AJ48</f>
        <v>1.33</v>
      </c>
      <c r="AM48" s="265" t="s">
        <v>105</v>
      </c>
      <c r="AN48" s="258">
        <f>'4'!AJ48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'4'!AJ47*'4'!AJ48</f>
        <v>0</v>
      </c>
      <c r="AK49" s="133" t="s">
        <v>108</v>
      </c>
      <c r="AL49" s="254">
        <f>'4'!AL47*'4'!AL48</f>
        <v>0</v>
      </c>
      <c r="AM49" s="133" t="s">
        <v>108</v>
      </c>
      <c r="AN49" s="254">
        <f>'4'!AN47*'4'!AN48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COUNTA('4'!O7:O18)</f>
        <v>4</v>
      </c>
      <c r="P51" s="128"/>
      <c r="R51" s="247">
        <f>COUNTIF('4'!O7:O18,"&gt;=0,5")</f>
        <v>4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SUM('4'!Y53,'4'!AA53,'4'!AC53,'4'!AE53)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'4'!Y52*275.3</f>
        <v>0</v>
      </c>
      <c r="Z53" s="133" t="s">
        <v>104</v>
      </c>
      <c r="AA53" s="254">
        <f>262.4*'4'!AA52</f>
        <v>0</v>
      </c>
      <c r="AB53" s="133" t="s">
        <v>104</v>
      </c>
      <c r="AC53" s="276">
        <f>'4'!AC52*277.7</f>
        <v>0</v>
      </c>
      <c r="AD53" s="133" t="s">
        <v>104</v>
      </c>
      <c r="AE53" s="352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'4'!AS7</f>
        <v>1.377</v>
      </c>
      <c r="Z54" s="196" t="s">
        <v>105</v>
      </c>
      <c r="AA54" s="258">
        <f>'4'!Y54</f>
        <v>1.377</v>
      </c>
      <c r="AB54" s="196" t="s">
        <v>105</v>
      </c>
      <c r="AC54" s="258">
        <f>'4'!Y54</f>
        <v>1.377</v>
      </c>
      <c r="AD54" s="196" t="s">
        <v>105</v>
      </c>
      <c r="AE54" s="259">
        <f>'4'!Y54</f>
        <v>1.377</v>
      </c>
      <c r="AF54" s="260" t="s">
        <v>106</v>
      </c>
      <c r="AG54" s="261">
        <f>SUM('4'!Y55,'4'!AA55,'4'!AC55,'4'!AE55)</f>
        <v>0</v>
      </c>
      <c r="AI54" s="133" t="s">
        <v>104</v>
      </c>
      <c r="AJ54" s="254">
        <f>'4'!AJ53*275.3</f>
        <v>0</v>
      </c>
      <c r="AK54" s="133" t="s">
        <v>104</v>
      </c>
      <c r="AL54" s="254">
        <f>262.4*'4'!AL53</f>
        <v>0</v>
      </c>
      <c r="AM54" s="133" t="s">
        <v>104</v>
      </c>
      <c r="AN54" s="276">
        <f>'4'!AN53*277.7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'4'!Y53*'4'!Y54</f>
        <v>0</v>
      </c>
      <c r="Z55" s="133" t="s">
        <v>108</v>
      </c>
      <c r="AA55" s="254">
        <f>'4'!AA53*'4'!AA54</f>
        <v>0</v>
      </c>
      <c r="AB55" s="133" t="s">
        <v>108</v>
      </c>
      <c r="AC55" s="254">
        <f>'4'!AC53*'4'!AC54</f>
        <v>0</v>
      </c>
      <c r="AD55" s="133" t="s">
        <v>108</v>
      </c>
      <c r="AE55" s="254">
        <f>'4'!AE53*'4'!AE54</f>
        <v>0</v>
      </c>
      <c r="AF55" s="46"/>
      <c r="AG55" s="46"/>
      <c r="AI55" s="196" t="s">
        <v>105</v>
      </c>
      <c r="AJ55" s="258">
        <f>'4'!Y54</f>
        <v>1.377</v>
      </c>
      <c r="AK55" s="196" t="s">
        <v>105</v>
      </c>
      <c r="AL55" s="258">
        <f>'4'!AJ55</f>
        <v>1.377</v>
      </c>
      <c r="AM55" s="196" t="s">
        <v>105</v>
      </c>
      <c r="AN55" s="258">
        <f>'4'!AJ55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'4'!AJ54*'4'!AJ55</f>
        <v>0</v>
      </c>
      <c r="AK56" s="133" t="s">
        <v>108</v>
      </c>
      <c r="AL56" s="254">
        <f>'4'!AL54*'4'!AL55</f>
        <v>0</v>
      </c>
      <c r="AM56" s="133" t="s">
        <v>108</v>
      </c>
      <c r="AN56" s="254">
        <f>'4'!AN54*'4'!AN55</f>
        <v>0</v>
      </c>
      <c r="AO56" s="16"/>
      <c r="AP56" s="17"/>
      <c r="AQ56" s="17"/>
      <c r="AR56" s="18"/>
    </row>
    <row r="57" ht="15.75" customHeight="1">
      <c r="O57" s="169">
        <f>COUNTA('4'!N7:N18)</f>
        <v>4</v>
      </c>
      <c r="P57" s="128"/>
      <c r="R57" s="277">
        <f>COUNTIF('4'!N7:N18,"&gt;=6")</f>
        <v>4</v>
      </c>
      <c r="S57" s="127"/>
      <c r="T57" s="128"/>
      <c r="AE57" s="97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O59" s="262" t="s">
        <v>113</v>
      </c>
      <c r="P59" s="11"/>
      <c r="Q59" s="11"/>
      <c r="R59" s="11"/>
      <c r="S59" s="11"/>
      <c r="T59" s="12"/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O60" s="16"/>
      <c r="P60" s="17"/>
      <c r="Q60" s="17"/>
      <c r="R60" s="17"/>
      <c r="S60" s="17"/>
      <c r="T60" s="18"/>
      <c r="X60" s="345" t="s">
        <v>118</v>
      </c>
      <c r="Y60" s="128"/>
      <c r="Z60" s="281"/>
      <c r="AA60" s="128"/>
      <c r="AB60" s="345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O61" s="266" t="s">
        <v>114</v>
      </c>
      <c r="P61" s="12"/>
      <c r="R61" s="267" t="s">
        <v>115</v>
      </c>
      <c r="S61" s="11"/>
      <c r="T61" s="12"/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'4'!AJ56+'4'!AL56+'4'!AN56</f>
        <v>0</v>
      </c>
      <c r="AM61" s="80"/>
      <c r="AN61" s="286" t="s">
        <v>121</v>
      </c>
      <c r="AO61" s="79"/>
      <c r="AP61" s="80"/>
      <c r="AQ61" s="287">
        <f>'4'!AJ49+'4'!AL49+'4'!AN49</f>
        <v>0</v>
      </c>
      <c r="AR61" s="80"/>
    </row>
    <row r="62" ht="15.0" customHeight="1">
      <c r="O62" s="16"/>
      <c r="P62" s="18"/>
      <c r="R62" s="16"/>
      <c r="S62" s="17"/>
      <c r="T62" s="18"/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'4'!AA32</f>
        <v>49476</v>
      </c>
      <c r="AR62" s="80"/>
    </row>
    <row r="63" ht="15.0" customHeight="1">
      <c r="O63" s="169">
        <f>COUNTA('4'!N7:N18)</f>
        <v>4</v>
      </c>
      <c r="P63" s="128"/>
      <c r="R63" s="277">
        <f>COUNTIF('4'!N7:N18,"&gt;=6")</f>
        <v>4</v>
      </c>
      <c r="S63" s="127"/>
      <c r="T63" s="128"/>
      <c r="X63" s="294" t="s">
        <v>124</v>
      </c>
      <c r="Y63" s="295">
        <v>0.0</v>
      </c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'4'!AL61-'4'!AL62</f>
        <v>0</v>
      </c>
      <c r="AM63" s="80"/>
      <c r="AN63" s="286" t="s">
        <v>125</v>
      </c>
      <c r="AO63" s="79"/>
      <c r="AP63" s="80"/>
      <c r="AQ63" s="287">
        <f>'4'!AQ61-'4'!AQ62</f>
        <v>-49476</v>
      </c>
      <c r="AR63" s="80"/>
    </row>
    <row r="64" ht="15.0" customHeight="1">
      <c r="X64" s="294" t="s">
        <v>135</v>
      </c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'3'!$Y$68</f>
        <v>-6681.366667</v>
      </c>
      <c r="Z65" s="43"/>
      <c r="AA65" s="27"/>
      <c r="AB65" s="299" t="s">
        <v>126</v>
      </c>
      <c r="AC65" s="298">
        <f>'3'!AC$68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>
        <f>SUM('4'!AK38,'4'!AP38)</f>
        <v>2329.422168</v>
      </c>
      <c r="Z67" s="43"/>
      <c r="AA67" s="27"/>
      <c r="AB67" s="296" t="s">
        <v>124</v>
      </c>
      <c r="AC67" s="254">
        <f>SUM('4'!AM38,'4'!AR38)</f>
        <v>0</v>
      </c>
    </row>
    <row r="68" ht="15.75" customHeight="1">
      <c r="X68" s="294" t="s">
        <v>128</v>
      </c>
      <c r="Y68" s="301">
        <f>SUM('4'!Y63,'4'!Y65)-'4'!Y67-'4'!Y64</f>
        <v>-9010.788835</v>
      </c>
      <c r="Z68" s="16"/>
      <c r="AA68" s="18"/>
      <c r="AB68" s="296" t="s">
        <v>128</v>
      </c>
      <c r="AC68" s="302">
        <f>SUM('4'!AC63,'4'!AC65)-'4'!AC67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6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AF52:AF53"/>
    <mergeCell ref="AF54:AF55"/>
    <mergeCell ref="Z62:AA68"/>
    <mergeCell ref="AB62:AC62"/>
    <mergeCell ref="X66:Y66"/>
    <mergeCell ref="AB66:AC66"/>
    <mergeCell ref="AI62:AK62"/>
    <mergeCell ref="AL62:AM62"/>
    <mergeCell ref="AI63:AK63"/>
    <mergeCell ref="AL63:AM63"/>
    <mergeCell ref="AD51:AE51"/>
    <mergeCell ref="AD52:AE52"/>
    <mergeCell ref="AG52:AG53"/>
    <mergeCell ref="AI52:AJ52"/>
    <mergeCell ref="AK52:AL52"/>
    <mergeCell ref="AM52:AN52"/>
    <mergeCell ref="AG54:AG55"/>
    <mergeCell ref="AN61:AP61"/>
    <mergeCell ref="AN62:AP62"/>
    <mergeCell ref="AQ62:AR62"/>
    <mergeCell ref="AO52:AR56"/>
    <mergeCell ref="AI59:AR59"/>
    <mergeCell ref="AI60:AM60"/>
    <mergeCell ref="AN60:AR60"/>
    <mergeCell ref="AI61:AK61"/>
    <mergeCell ref="AL61:AM61"/>
    <mergeCell ref="AQ61:AR61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R57:T57"/>
    <mergeCell ref="O59:T60"/>
    <mergeCell ref="O61:P62"/>
    <mergeCell ref="R61:T62"/>
    <mergeCell ref="O63:P63"/>
    <mergeCell ref="R63:T63"/>
    <mergeCell ref="X59:AC59"/>
    <mergeCell ref="X60:Y60"/>
    <mergeCell ref="Z60:AA60"/>
    <mergeCell ref="AB60:AC60"/>
    <mergeCell ref="X61:AC61"/>
    <mergeCell ref="X62:Y62"/>
    <mergeCell ref="AN63:AP63"/>
    <mergeCell ref="AQ63:AR63"/>
    <mergeCell ref="R51:T51"/>
    <mergeCell ref="X51:Y51"/>
    <mergeCell ref="O53:T54"/>
    <mergeCell ref="O55:P56"/>
    <mergeCell ref="R55:T56"/>
    <mergeCell ref="O57:P57"/>
    <mergeCell ref="X58:AC58"/>
  </mergeCells>
  <conditionalFormatting sqref="O21">
    <cfRule type="cellIs" dxfId="0" priority="1" operator="lessThan">
      <formula>k/5</formula>
    </cfRule>
  </conditionalFormatting>
  <conditionalFormatting sqref="O20">
    <cfRule type="cellIs" dxfId="0" priority="2" operator="greaterThan">
      <formula>3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8.57"/>
    <col customWidth="1" min="19" max="20" width="6.14"/>
    <col customWidth="1" min="21" max="24" width="8.57"/>
    <col customWidth="1" min="25" max="26" width="8.71"/>
    <col customWidth="1" min="27" max="32" width="8.57"/>
    <col customWidth="1" min="33" max="33" width="8.14"/>
    <col customWidth="1" min="34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47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3347.0</v>
      </c>
      <c r="Z6" s="60">
        <v>1550.0</v>
      </c>
      <c r="AA6" s="56">
        <v>1.0</v>
      </c>
      <c r="AB6" s="58">
        <f>IF('5'!AA6=1,(('5'!Z6*'5'!$AS$6*'5'!$AT$6)/('5'!Y6*0.0036)),IF('5'!AA6=2,(('5'!Z6*'5'!$AS$7*'5'!$AT$7)/('5'!Y6*0.0036))))</f>
        <v>85.54509843</v>
      </c>
      <c r="AC6" s="58"/>
      <c r="AD6" s="59">
        <f>(('5'!AC6*'5'!$Q$10*1000000))/('5'!Y6*3600)</f>
        <v>0</v>
      </c>
      <c r="AE6" s="60"/>
      <c r="AF6" s="61">
        <f>('5'!AE6/24)*0.454</f>
        <v>0</v>
      </c>
      <c r="AG6" s="60"/>
      <c r="AH6" s="61">
        <f>('5'!AG6/24)*0.454</f>
        <v>0</v>
      </c>
      <c r="AI6" s="60">
        <v>4800.0</v>
      </c>
      <c r="AJ6" s="61">
        <f>('5'!AI6/24)*0.454</f>
        <v>90.8</v>
      </c>
      <c r="AK6" s="62"/>
      <c r="AL6" s="63">
        <f>('5'!AK6/24)*0.454</f>
        <v>0</v>
      </c>
      <c r="AM6" s="62"/>
      <c r="AN6" s="63">
        <f>('5'!AM6/24)*0.454</f>
        <v>0</v>
      </c>
      <c r="AO6" s="64"/>
      <c r="AP6" s="63">
        <f>('5'!AO6/24)*0.454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294.0</v>
      </c>
      <c r="C7" s="76">
        <v>13.0</v>
      </c>
      <c r="D7" s="76">
        <v>11.0</v>
      </c>
      <c r="E7" s="76">
        <v>6.0</v>
      </c>
      <c r="F7" s="76">
        <v>89.0</v>
      </c>
      <c r="G7" s="76">
        <v>2.0</v>
      </c>
      <c r="H7" s="76">
        <v>1.6</v>
      </c>
      <c r="I7" s="76">
        <v>0.6</v>
      </c>
      <c r="J7" s="76">
        <v>0.7</v>
      </c>
      <c r="K7" s="76">
        <v>6.8</v>
      </c>
      <c r="L7" s="76">
        <v>6.3</v>
      </c>
      <c r="M7" s="76">
        <v>6.3</v>
      </c>
      <c r="N7" s="76">
        <v>6.0</v>
      </c>
      <c r="O7" s="76">
        <v>3.8</v>
      </c>
      <c r="P7" s="76"/>
      <c r="Q7" s="310"/>
      <c r="R7" s="77">
        <f>'4'!$Z$29</f>
        <v>1550</v>
      </c>
      <c r="S7" s="309">
        <f>'4'!$AB$29</f>
        <v>84.41021357</v>
      </c>
      <c r="T7" s="77">
        <f>'4'!$Y$29</f>
        <v>3392</v>
      </c>
      <c r="U7" s="73" t="str">
        <f>IF('5'!AA6=1,'5'!AR6,'5'!AR7)</f>
        <v>S.A.L</v>
      </c>
      <c r="V7" s="74" t="str">
        <f>ESCALA!$B$6</f>
        <v/>
      </c>
      <c r="W7" s="12"/>
      <c r="X7" s="54">
        <v>0.0833333333333333</v>
      </c>
      <c r="Y7" s="125">
        <v>3350.0</v>
      </c>
      <c r="Z7" s="60">
        <v>1550.0</v>
      </c>
      <c r="AA7" s="56">
        <v>1.0</v>
      </c>
      <c r="AB7" s="58">
        <f>IF('5'!AA7=1,(('5'!Z7*'5'!$AS$6*'5'!$AT$6)/('5'!Y7*0.0036)),IF('5'!AA7=2,(('5'!Z7*'5'!$AS$7*'5'!$AT$7)/('5'!Y7*0.0036))))</f>
        <v>85.46849088</v>
      </c>
      <c r="AC7" s="58"/>
      <c r="AD7" s="59">
        <f>(('5'!AC7*'5'!$Q$10*1000000))/('5'!Y7*3600)</f>
        <v>0</v>
      </c>
      <c r="AE7" s="60"/>
      <c r="AF7" s="61">
        <f>('5'!AE7/24)*0.454</f>
        <v>0</v>
      </c>
      <c r="AG7" s="60"/>
      <c r="AH7" s="61">
        <f>('5'!AG7/24)*0.454</f>
        <v>0</v>
      </c>
      <c r="AI7" s="60">
        <v>4800.0</v>
      </c>
      <c r="AJ7" s="61">
        <f>('5'!AI7/24)*0.454</f>
        <v>90.8</v>
      </c>
      <c r="AK7" s="62"/>
      <c r="AL7" s="63">
        <f>('5'!AK7/24)*0.454</f>
        <v>0</v>
      </c>
      <c r="AM7" s="62"/>
      <c r="AN7" s="63">
        <f>('5'!AM7/24)*0.454</f>
        <v>0</v>
      </c>
      <c r="AO7" s="64"/>
      <c r="AP7" s="63">
        <f>('5'!AO7/24)*0.454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286.0</v>
      </c>
      <c r="C8" s="76">
        <v>13.0</v>
      </c>
      <c r="D8" s="76">
        <v>11.0</v>
      </c>
      <c r="E8" s="76">
        <v>6.0</v>
      </c>
      <c r="F8" s="76">
        <v>77.0</v>
      </c>
      <c r="G8" s="76">
        <v>1.9</v>
      </c>
      <c r="H8" s="76">
        <v>1.5</v>
      </c>
      <c r="I8" s="76">
        <v>0.6</v>
      </c>
      <c r="J8" s="76">
        <v>0.7</v>
      </c>
      <c r="K8" s="76">
        <v>6.8</v>
      </c>
      <c r="L8" s="76">
        <v>6.3</v>
      </c>
      <c r="M8" s="76">
        <v>6.3</v>
      </c>
      <c r="N8" s="76">
        <v>6.0</v>
      </c>
      <c r="O8" s="76">
        <v>3.8</v>
      </c>
      <c r="P8" s="76"/>
      <c r="Q8" s="310"/>
      <c r="R8" s="75">
        <f>'5'!Z7</f>
        <v>1550</v>
      </c>
      <c r="S8" s="76">
        <f>'5'!AB7</f>
        <v>85.46849088</v>
      </c>
      <c r="T8" s="77">
        <f>'5'!Y7</f>
        <v>3350</v>
      </c>
      <c r="U8" s="73" t="str">
        <f>IF('5'!AA7=1,'5'!AR6,'5'!AR7)</f>
        <v>S.A.L</v>
      </c>
      <c r="V8" s="43"/>
      <c r="W8" s="27"/>
      <c r="X8" s="54">
        <v>0.125</v>
      </c>
      <c r="Y8" s="125">
        <v>3337.0</v>
      </c>
      <c r="Z8" s="60">
        <v>1550.0</v>
      </c>
      <c r="AA8" s="56">
        <v>1.0</v>
      </c>
      <c r="AB8" s="58">
        <f>IF('5'!AA8=1,(('5'!Z8*'5'!$AS$6*'5'!$AT$6)/('5'!Y8*0.0036)),IF('5'!AA8=2,(('5'!Z8*'5'!$AS$7*'5'!$AT$7)/('5'!Y8*0.0036))))</f>
        <v>85.80145174</v>
      </c>
      <c r="AC8" s="58"/>
      <c r="AD8" s="59">
        <f>(('5'!AC8*'5'!$Q$10*1000000))/('5'!Y8*3600)</f>
        <v>0</v>
      </c>
      <c r="AE8" s="60"/>
      <c r="AF8" s="61">
        <f>('5'!AE8/24)*0.454</f>
        <v>0</v>
      </c>
      <c r="AG8" s="60"/>
      <c r="AH8" s="61">
        <f>('5'!AG8/24)*0.454</f>
        <v>0</v>
      </c>
      <c r="AI8" s="60">
        <v>4800.0</v>
      </c>
      <c r="AJ8" s="61">
        <f>('5'!AI8/24)*0.454</f>
        <v>90.8</v>
      </c>
      <c r="AK8" s="62"/>
      <c r="AL8" s="63">
        <f>('5'!AK8/24)*0.454</f>
        <v>0</v>
      </c>
      <c r="AM8" s="62"/>
      <c r="AN8" s="63">
        <f>('5'!AM8/24)*0.454</f>
        <v>0</v>
      </c>
      <c r="AO8" s="64"/>
      <c r="AP8" s="63">
        <f>('5'!AO8/24)*0.454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280.0</v>
      </c>
      <c r="C9" s="76">
        <v>13.0</v>
      </c>
      <c r="D9" s="76">
        <v>10.0</v>
      </c>
      <c r="E9" s="76">
        <v>5.0</v>
      </c>
      <c r="F9" s="76">
        <v>65.0</v>
      </c>
      <c r="G9" s="76">
        <v>1.9</v>
      </c>
      <c r="H9" s="76">
        <v>1.5</v>
      </c>
      <c r="I9" s="76">
        <v>0.5</v>
      </c>
      <c r="J9" s="76">
        <v>0.6</v>
      </c>
      <c r="K9" s="76">
        <v>6.9</v>
      </c>
      <c r="L9" s="76">
        <v>6.3</v>
      </c>
      <c r="M9" s="76">
        <v>6.3</v>
      </c>
      <c r="N9" s="76">
        <v>6.0</v>
      </c>
      <c r="O9" s="76">
        <v>3.8</v>
      </c>
      <c r="P9" s="76"/>
      <c r="Q9" s="310"/>
      <c r="R9" s="77">
        <f>'5'!Z9</f>
        <v>1550</v>
      </c>
      <c r="S9" s="76">
        <f>'5'!AB9</f>
        <v>85.11279561</v>
      </c>
      <c r="T9" s="77">
        <f>'5'!Y9</f>
        <v>3364</v>
      </c>
      <c r="U9" s="73" t="str">
        <f>IF('5'!AA9=1,'5'!AR6,'5'!AR7)</f>
        <v>S.A.L</v>
      </c>
      <c r="V9" s="43"/>
      <c r="W9" s="27"/>
      <c r="X9" s="54">
        <v>0.166666666666667</v>
      </c>
      <c r="Y9" s="125">
        <v>3364.0</v>
      </c>
      <c r="Z9" s="60">
        <v>1550.0</v>
      </c>
      <c r="AA9" s="56">
        <v>1.0</v>
      </c>
      <c r="AB9" s="58">
        <f>IF('5'!AA9=1,(('5'!Z9*'5'!$AS$6*'5'!$AT$6)/('5'!Y9*0.0036)),IF('5'!AA9=2,(('5'!Z9*'5'!$AS$7*'5'!$AT$7)/('5'!Y9*0.0036))))</f>
        <v>85.11279561</v>
      </c>
      <c r="AC9" s="58"/>
      <c r="AD9" s="59">
        <f>(('5'!AC9*'5'!$Q$10*1000000))/('5'!Y9*3600)</f>
        <v>0</v>
      </c>
      <c r="AE9" s="60"/>
      <c r="AF9" s="61">
        <f>('5'!AE9/24)*0.454</f>
        <v>0</v>
      </c>
      <c r="AG9" s="60"/>
      <c r="AH9" s="61">
        <f>('5'!AG9/24)*0.454</f>
        <v>0</v>
      </c>
      <c r="AI9" s="60">
        <v>4800.0</v>
      </c>
      <c r="AJ9" s="61">
        <f>('5'!AI9/24)*0.454</f>
        <v>90.8</v>
      </c>
      <c r="AK9" s="62"/>
      <c r="AL9" s="63">
        <f>('5'!AK9/24)*0.454</f>
        <v>0</v>
      </c>
      <c r="AM9" s="62"/>
      <c r="AN9" s="63">
        <f>('5'!AM9/24)*0.454</f>
        <v>0</v>
      </c>
      <c r="AO9" s="64"/>
      <c r="AP9" s="63">
        <f>('5'!AO9/24)*0.454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274.0</v>
      </c>
      <c r="C10" s="76">
        <v>12.0</v>
      </c>
      <c r="D10" s="76">
        <v>10.0</v>
      </c>
      <c r="E10" s="76">
        <v>5.0</v>
      </c>
      <c r="F10" s="76">
        <v>59.0</v>
      </c>
      <c r="G10" s="76">
        <v>1.8</v>
      </c>
      <c r="H10" s="76">
        <v>1.5</v>
      </c>
      <c r="I10" s="76">
        <v>0.5</v>
      </c>
      <c r="J10" s="76">
        <v>0.6</v>
      </c>
      <c r="K10" s="76">
        <v>6.9</v>
      </c>
      <c r="L10" s="76">
        <v>6.3</v>
      </c>
      <c r="M10" s="76">
        <v>6.3</v>
      </c>
      <c r="N10" s="76">
        <v>6.0</v>
      </c>
      <c r="O10" s="76">
        <v>3.8</v>
      </c>
      <c r="P10" s="76"/>
      <c r="Q10" s="310"/>
      <c r="R10" s="77">
        <f>'5'!Z11</f>
        <v>1550</v>
      </c>
      <c r="S10" s="76">
        <f>'5'!AB11</f>
        <v>84.91086727</v>
      </c>
      <c r="T10" s="77">
        <f>'5'!Y11</f>
        <v>3372</v>
      </c>
      <c r="U10" s="83" t="str">
        <f>IF('5'!AA11=1,'5'!AR6,'5'!AR7)</f>
        <v>S.A.L</v>
      </c>
      <c r="V10" s="43"/>
      <c r="W10" s="27"/>
      <c r="X10" s="54">
        <v>0.208333333333333</v>
      </c>
      <c r="Y10" s="125">
        <v>3367.0</v>
      </c>
      <c r="Z10" s="60">
        <v>1550.0</v>
      </c>
      <c r="AA10" s="56">
        <v>1.0</v>
      </c>
      <c r="AB10" s="58">
        <f>IF('5'!AA10=1,(('5'!Z10*'5'!$AS$6*'5'!$AT$6)/('5'!Y10*0.0036)),IF('5'!AA10=2,(('5'!Z10*'5'!$AS$7*'5'!$AT$7)/('5'!Y10*0.0036))))</f>
        <v>85.03696004</v>
      </c>
      <c r="AC10" s="58"/>
      <c r="AD10" s="59">
        <f>(('5'!AC10*'5'!$Q$10*1000000))/('5'!Y10*3600)</f>
        <v>0</v>
      </c>
      <c r="AE10" s="60"/>
      <c r="AF10" s="61">
        <f>('5'!AE10/24)*0.454</f>
        <v>0</v>
      </c>
      <c r="AG10" s="60"/>
      <c r="AH10" s="61">
        <f>('5'!AG10/24)*0.454</f>
        <v>0</v>
      </c>
      <c r="AI10" s="60">
        <v>4800.0</v>
      </c>
      <c r="AJ10" s="61">
        <f>('5'!AI10/24)*0.454</f>
        <v>90.8</v>
      </c>
      <c r="AK10" s="62"/>
      <c r="AL10" s="63">
        <f>('5'!AK10/24)*0.454</f>
        <v>0</v>
      </c>
      <c r="AM10" s="62"/>
      <c r="AN10" s="63">
        <f>('5'!AM10/24)*0.454</f>
        <v>0</v>
      </c>
      <c r="AO10" s="64"/>
      <c r="AP10" s="63">
        <f>('5'!AO10/24)*0.454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265.0</v>
      </c>
      <c r="C11" s="76">
        <v>12.0</v>
      </c>
      <c r="D11" s="76">
        <v>12.0</v>
      </c>
      <c r="E11" s="76">
        <v>5.0</v>
      </c>
      <c r="F11" s="76">
        <v>56.0</v>
      </c>
      <c r="G11" s="76">
        <v>1.8</v>
      </c>
      <c r="H11" s="76">
        <v>1.5</v>
      </c>
      <c r="I11" s="76">
        <v>0.6</v>
      </c>
      <c r="J11" s="76">
        <v>0.7</v>
      </c>
      <c r="K11" s="76">
        <v>6.9</v>
      </c>
      <c r="L11" s="76">
        <v>6.3</v>
      </c>
      <c r="M11" s="76">
        <v>6.3</v>
      </c>
      <c r="N11" s="76">
        <v>6.0</v>
      </c>
      <c r="O11" s="76">
        <v>3.8</v>
      </c>
      <c r="P11" s="76"/>
      <c r="Q11" s="310"/>
      <c r="R11" s="77">
        <f>'5'!Z13</f>
        <v>1550</v>
      </c>
      <c r="S11" s="76">
        <f>'5'!AB13</f>
        <v>89.39102231</v>
      </c>
      <c r="T11" s="77">
        <f>'5'!Y13</f>
        <v>3203</v>
      </c>
      <c r="U11" s="86" t="str">
        <f>IF('5'!AA13=1,'5'!AR6,'5'!AR7)</f>
        <v>S.A.L</v>
      </c>
      <c r="V11" s="16"/>
      <c r="W11" s="18"/>
      <c r="X11" s="54">
        <v>0.25</v>
      </c>
      <c r="Y11" s="125">
        <v>3372.0</v>
      </c>
      <c r="Z11" s="60">
        <v>1550.0</v>
      </c>
      <c r="AA11" s="56">
        <v>1.0</v>
      </c>
      <c r="AB11" s="58">
        <f>IF('5'!AA11=1,(('5'!Z11*'5'!$AS$6*'5'!$AT$6)/('5'!Y11*0.0036)),IF('5'!AA11=2,(('5'!Z11*'5'!$AS$7*'5'!$AT$7)/('5'!Y11*0.0036))))</f>
        <v>84.91086727</v>
      </c>
      <c r="AC11" s="58"/>
      <c r="AD11" s="59">
        <f>(('5'!AC11*'5'!$Q$10*1000000))/('5'!Y11*3600)</f>
        <v>0</v>
      </c>
      <c r="AE11" s="60"/>
      <c r="AF11" s="61">
        <f>('5'!AE11/24)*0.454</f>
        <v>0</v>
      </c>
      <c r="AG11" s="60"/>
      <c r="AH11" s="61">
        <f>('5'!AG11/24)*0.454</f>
        <v>0</v>
      </c>
      <c r="AI11" s="60">
        <v>4800.0</v>
      </c>
      <c r="AJ11" s="61">
        <f>('5'!AI11/24)*0.454</f>
        <v>90.8</v>
      </c>
      <c r="AK11" s="62"/>
      <c r="AL11" s="63">
        <f>('5'!AK11/24)*0.454</f>
        <v>0</v>
      </c>
      <c r="AM11" s="62"/>
      <c r="AN11" s="63">
        <f>('5'!AM11/24)*0.454</f>
        <v>0</v>
      </c>
      <c r="AO11" s="64"/>
      <c r="AP11" s="63">
        <f>('5'!AO11/24)*0.454</f>
        <v>0</v>
      </c>
    </row>
    <row r="12" ht="18.75" customHeight="1">
      <c r="A12" s="69">
        <v>0.416666666666667</v>
      </c>
      <c r="B12" s="76">
        <v>258.0</v>
      </c>
      <c r="C12" s="76">
        <v>13.0</v>
      </c>
      <c r="D12" s="76">
        <v>12.0</v>
      </c>
      <c r="E12" s="76">
        <v>5.0</v>
      </c>
      <c r="F12" s="76">
        <v>50.0</v>
      </c>
      <c r="G12" s="76">
        <v>1.8</v>
      </c>
      <c r="H12" s="76">
        <v>1.6</v>
      </c>
      <c r="I12" s="76">
        <v>0.6</v>
      </c>
      <c r="J12" s="76">
        <v>0.7</v>
      </c>
      <c r="K12" s="76">
        <v>6.9</v>
      </c>
      <c r="L12" s="76">
        <v>6.3</v>
      </c>
      <c r="M12" s="76">
        <v>6.3</v>
      </c>
      <c r="N12" s="76">
        <v>6.0</v>
      </c>
      <c r="O12" s="76">
        <v>3.8</v>
      </c>
      <c r="P12" s="76"/>
      <c r="Q12" s="76"/>
      <c r="R12" s="77">
        <f>'5'!Z15</f>
        <v>1550</v>
      </c>
      <c r="S12" s="76">
        <f>'5'!AB15</f>
        <v>89.61484959</v>
      </c>
      <c r="T12" s="77">
        <f>'5'!Y15</f>
        <v>3195</v>
      </c>
      <c r="U12" s="87" t="str">
        <f>IF('5'!AA15=1,'5'!AR6,'5'!AR7)</f>
        <v>S.A.L</v>
      </c>
      <c r="V12" s="88" t="str">
        <f>ESCALA!$B$7</f>
        <v/>
      </c>
      <c r="W12" s="89"/>
      <c r="X12" s="54">
        <v>0.291666666666667</v>
      </c>
      <c r="Y12" s="125">
        <v>3218.0</v>
      </c>
      <c r="Z12" s="60">
        <v>1550.0</v>
      </c>
      <c r="AA12" s="56">
        <v>1.0</v>
      </c>
      <c r="AB12" s="58">
        <f>IF('5'!AA12=1,(('5'!Z12*'5'!$AS$6*'5'!$AT$6)/('5'!Y12*0.0036)),IF('5'!AA12=2,(('5'!Z12*'5'!$AS$7*'5'!$AT$7)/('5'!Y12*0.0036))))</f>
        <v>88.97434569</v>
      </c>
      <c r="AC12" s="58"/>
      <c r="AD12" s="59">
        <f>(('5'!AC12*'5'!$Q$10*1000000))/('5'!Y12*3600)</f>
        <v>0</v>
      </c>
      <c r="AE12" s="60"/>
      <c r="AF12" s="61">
        <f>('5'!AE12/24)*0.454</f>
        <v>0</v>
      </c>
      <c r="AG12" s="60"/>
      <c r="AH12" s="61">
        <f>('5'!AG12/24)*0.454</f>
        <v>0</v>
      </c>
      <c r="AI12" s="60">
        <v>4600.0</v>
      </c>
      <c r="AJ12" s="61">
        <f>('5'!AI12/24)*0.454</f>
        <v>87.01666667</v>
      </c>
      <c r="AK12" s="62"/>
      <c r="AL12" s="63">
        <f>('5'!AK12/24)*0.454</f>
        <v>0</v>
      </c>
      <c r="AM12" s="62"/>
      <c r="AN12" s="63">
        <f>('5'!AM12/24)*0.454</f>
        <v>0</v>
      </c>
      <c r="AO12" s="64"/>
      <c r="AP12" s="63">
        <f>('5'!AO12/24)*0.454</f>
        <v>0</v>
      </c>
    </row>
    <row r="13" ht="18.75" customHeight="1">
      <c r="A13" s="69">
        <v>0.5</v>
      </c>
      <c r="B13" s="76">
        <v>259.0</v>
      </c>
      <c r="C13" s="76">
        <v>13.0</v>
      </c>
      <c r="D13" s="76">
        <v>12.0</v>
      </c>
      <c r="E13" s="76">
        <v>6.0</v>
      </c>
      <c r="F13" s="76">
        <v>54.0</v>
      </c>
      <c r="G13" s="76">
        <v>1.8</v>
      </c>
      <c r="H13" s="76">
        <v>1.5</v>
      </c>
      <c r="I13" s="76">
        <v>0.6</v>
      </c>
      <c r="J13" s="76">
        <v>0.7</v>
      </c>
      <c r="K13" s="76">
        <v>6.9</v>
      </c>
      <c r="L13" s="76">
        <v>6.3</v>
      </c>
      <c r="M13" s="76">
        <v>6.3</v>
      </c>
      <c r="N13" s="76">
        <v>6.0</v>
      </c>
      <c r="O13" s="76">
        <v>3.8</v>
      </c>
      <c r="P13" s="76"/>
      <c r="Q13" s="76"/>
      <c r="R13" s="77">
        <f>'5'!Z17</f>
        <v>1550</v>
      </c>
      <c r="S13" s="76">
        <f>'5'!AB17</f>
        <v>88.67124325</v>
      </c>
      <c r="T13" s="77">
        <f>'5'!Y17</f>
        <v>3229</v>
      </c>
      <c r="U13" s="73" t="str">
        <f>IF('5'!AA17=1,'5'!AR6,'5'!AR7)</f>
        <v>S.A.L</v>
      </c>
      <c r="V13" s="43"/>
      <c r="W13" s="27"/>
      <c r="X13" s="54">
        <v>0.333333333333333</v>
      </c>
      <c r="Y13" s="125">
        <v>3203.0</v>
      </c>
      <c r="Z13" s="60">
        <v>1550.0</v>
      </c>
      <c r="AA13" s="56">
        <v>1.0</v>
      </c>
      <c r="AB13" s="58">
        <f>IF('5'!AA13=1,(('5'!Z13*'5'!$AS$6*'5'!$AT$6)/('5'!Y13*0.0036)),IF('5'!AA13=2,(('5'!Z13*'5'!$AS$7*'5'!$AT$7)/('5'!Y13*0.0036))))</f>
        <v>89.39102231</v>
      </c>
      <c r="AC13" s="58"/>
      <c r="AD13" s="59">
        <f>(('5'!AC13*'5'!$Q$10*1000000))/('5'!Y13*3600)</f>
        <v>0</v>
      </c>
      <c r="AE13" s="60"/>
      <c r="AF13" s="61">
        <f>('5'!AE13/24)*0.454</f>
        <v>0</v>
      </c>
      <c r="AG13" s="60"/>
      <c r="AH13" s="61">
        <f>('5'!AG13/24)*0.454</f>
        <v>0</v>
      </c>
      <c r="AI13" s="60">
        <v>4600.0</v>
      </c>
      <c r="AJ13" s="61">
        <f>('5'!AI13/24)*0.454</f>
        <v>87.01666667</v>
      </c>
      <c r="AK13" s="62"/>
      <c r="AL13" s="63">
        <f>('5'!AK13/24)*0.454</f>
        <v>0</v>
      </c>
      <c r="AM13" s="62"/>
      <c r="AN13" s="63">
        <f>('5'!AM13/24)*0.454</f>
        <v>0</v>
      </c>
      <c r="AO13" s="64"/>
      <c r="AP13" s="63">
        <f>('5'!AO13/24)*0.454</f>
        <v>0</v>
      </c>
    </row>
    <row r="14" ht="18.75" customHeight="1">
      <c r="A14" s="69">
        <v>0.583333333333333</v>
      </c>
      <c r="B14" s="76">
        <v>263.0</v>
      </c>
      <c r="C14" s="76">
        <v>13.0</v>
      </c>
      <c r="D14" s="76">
        <v>13.0</v>
      </c>
      <c r="E14" s="76">
        <v>6.0</v>
      </c>
      <c r="F14" s="76">
        <v>61.0</v>
      </c>
      <c r="G14" s="76">
        <v>1.7</v>
      </c>
      <c r="H14" s="76">
        <v>1.6</v>
      </c>
      <c r="I14" s="76">
        <v>0.6</v>
      </c>
      <c r="J14" s="76">
        <v>0.6</v>
      </c>
      <c r="K14" s="76">
        <v>6.9</v>
      </c>
      <c r="L14" s="76">
        <v>6.3</v>
      </c>
      <c r="M14" s="76">
        <v>6.3</v>
      </c>
      <c r="N14" s="76">
        <v>6.0</v>
      </c>
      <c r="O14" s="76">
        <v>3.8</v>
      </c>
      <c r="P14" s="76"/>
      <c r="Q14" s="76"/>
      <c r="R14" s="354">
        <f>'5'!Z19</f>
        <v>1550</v>
      </c>
      <c r="S14" s="76">
        <f>'5'!AB19</f>
        <v>88.56153555</v>
      </c>
      <c r="T14" s="77">
        <f>'5'!Y19</f>
        <v>3233</v>
      </c>
      <c r="U14" s="73" t="str">
        <f>IF('5'!AA19=1,'5'!AR6,'5'!AR7)</f>
        <v>S.A.L</v>
      </c>
      <c r="V14" s="43"/>
      <c r="W14" s="27"/>
      <c r="X14" s="54">
        <v>0.375</v>
      </c>
      <c r="Y14" s="125">
        <v>3248.0</v>
      </c>
      <c r="Z14" s="60">
        <v>1550.0</v>
      </c>
      <c r="AA14" s="56">
        <v>1.0</v>
      </c>
      <c r="AB14" s="58">
        <f>IF('5'!AA14=1,(('5'!Z14*'5'!$AS$6*'5'!$AT$6)/('5'!Y14*0.0036)),IF('5'!AA14=2,(('5'!Z14*'5'!$AS$7*'5'!$AT$7)/('5'!Y14*0.0036))))</f>
        <v>88.15253831</v>
      </c>
      <c r="AC14" s="58"/>
      <c r="AD14" s="59">
        <f>(('5'!AC14*'5'!$Q$10*1000000))/('5'!Y14*3600)</f>
        <v>0</v>
      </c>
      <c r="AE14" s="60"/>
      <c r="AF14" s="61">
        <f>('5'!AE14/24)*0.454</f>
        <v>0</v>
      </c>
      <c r="AG14" s="60"/>
      <c r="AH14" s="61">
        <f>('5'!AG14/24)*0.454</f>
        <v>0</v>
      </c>
      <c r="AI14" s="60">
        <v>4600.0</v>
      </c>
      <c r="AJ14" s="61">
        <f>('5'!AI14/24)*0.454</f>
        <v>87.01666667</v>
      </c>
      <c r="AK14" s="62"/>
      <c r="AL14" s="63">
        <f>('5'!AK14/24)*0.454</f>
        <v>0</v>
      </c>
      <c r="AM14" s="62"/>
      <c r="AN14" s="63">
        <f>('5'!AM14/24)*0.454</f>
        <v>0</v>
      </c>
      <c r="AO14" s="64"/>
      <c r="AP14" s="63">
        <f>('5'!AO14/24)*0.454</f>
        <v>0</v>
      </c>
    </row>
    <row r="15" ht="18.75" customHeight="1">
      <c r="A15" s="69">
        <v>0.666666666666667</v>
      </c>
      <c r="B15" s="76">
        <v>268.0</v>
      </c>
      <c r="C15" s="76">
        <v>14.0</v>
      </c>
      <c r="D15" s="76">
        <v>13.0</v>
      </c>
      <c r="E15" s="76">
        <v>7.0</v>
      </c>
      <c r="F15" s="76">
        <v>58.0</v>
      </c>
      <c r="G15" s="76">
        <v>1.9</v>
      </c>
      <c r="H15" s="76">
        <v>1.5</v>
      </c>
      <c r="I15" s="76">
        <v>0.6</v>
      </c>
      <c r="J15" s="76">
        <v>0.7</v>
      </c>
      <c r="K15" s="76">
        <v>7.0</v>
      </c>
      <c r="L15" s="76">
        <v>6.3</v>
      </c>
      <c r="M15" s="76">
        <v>6.3</v>
      </c>
      <c r="N15" s="76">
        <v>6.0</v>
      </c>
      <c r="O15" s="76">
        <v>3.6</v>
      </c>
      <c r="P15" s="76"/>
      <c r="Q15" s="310"/>
      <c r="R15" s="77">
        <f>'5'!Z21</f>
        <v>1550</v>
      </c>
      <c r="S15" s="76">
        <f>'5'!AB21</f>
        <v>88.47943277</v>
      </c>
      <c r="T15" s="77">
        <f>'5'!Y21</f>
        <v>3236</v>
      </c>
      <c r="U15" s="73" t="str">
        <f>IF('5'!AA21=1,'5'!AR6,'5'!AR7)</f>
        <v>S.A.L</v>
      </c>
      <c r="V15" s="43"/>
      <c r="W15" s="27"/>
      <c r="X15" s="54">
        <v>0.416666666666667</v>
      </c>
      <c r="Y15" s="125">
        <v>3195.0</v>
      </c>
      <c r="Z15" s="60">
        <v>1550.0</v>
      </c>
      <c r="AA15" s="56">
        <v>1.0</v>
      </c>
      <c r="AB15" s="58">
        <f>IF('5'!AA15=1,(('5'!Z15*'5'!$AS$6*'5'!$AT$6)/('5'!Y15*0.0036)),IF('5'!AA15=2,(('5'!Z15*'5'!$AS$7*'5'!$AT$7)/('5'!Y15*0.0036))))</f>
        <v>89.61484959</v>
      </c>
      <c r="AC15" s="58"/>
      <c r="AD15" s="59">
        <f>(('5'!AC15*'5'!$Q$10*1000000))/('5'!Y15*3600)</f>
        <v>0</v>
      </c>
      <c r="AE15" s="60"/>
      <c r="AF15" s="61">
        <f>('5'!AE15/24)*0.454</f>
        <v>0</v>
      </c>
      <c r="AG15" s="60"/>
      <c r="AH15" s="61">
        <f>('5'!AG15/24)*0.454</f>
        <v>0</v>
      </c>
      <c r="AI15" s="60">
        <v>4600.0</v>
      </c>
      <c r="AJ15" s="61">
        <f>('5'!AI15/24)*0.454</f>
        <v>87.01666667</v>
      </c>
      <c r="AK15" s="62"/>
      <c r="AL15" s="63">
        <f>('5'!AK15/24)*0.454</f>
        <v>0</v>
      </c>
      <c r="AM15" s="62"/>
      <c r="AN15" s="63">
        <f>('5'!AM15/24)*0.454</f>
        <v>0</v>
      </c>
      <c r="AO15" s="64"/>
      <c r="AP15" s="63">
        <f>('5'!AO15/24)*0.454</f>
        <v>0</v>
      </c>
    </row>
    <row r="16" ht="18.75" customHeight="1">
      <c r="A16" s="69">
        <v>0.75</v>
      </c>
      <c r="B16" s="76">
        <v>274.0</v>
      </c>
      <c r="C16" s="76">
        <v>14.0</v>
      </c>
      <c r="D16" s="76">
        <v>13.0</v>
      </c>
      <c r="E16" s="76">
        <v>7.0</v>
      </c>
      <c r="F16" s="76">
        <v>60.0</v>
      </c>
      <c r="G16" s="76">
        <v>1.9</v>
      </c>
      <c r="H16" s="76">
        <v>1.4</v>
      </c>
      <c r="I16" s="76">
        <v>0.6</v>
      </c>
      <c r="J16" s="76">
        <v>0.7</v>
      </c>
      <c r="K16" s="76">
        <v>7.0</v>
      </c>
      <c r="L16" s="76">
        <v>6.3</v>
      </c>
      <c r="M16" s="76">
        <v>6.3</v>
      </c>
      <c r="N16" s="76">
        <v>6.0</v>
      </c>
      <c r="O16" s="76">
        <v>3.6</v>
      </c>
      <c r="P16" s="76"/>
      <c r="Q16" s="310"/>
      <c r="R16" s="77">
        <f>'5'!Z23</f>
        <v>1550</v>
      </c>
      <c r="S16" s="76">
        <f>'5'!AB23</f>
        <v>89.55878775</v>
      </c>
      <c r="T16" s="77">
        <f>'5'!Y23</f>
        <v>3197</v>
      </c>
      <c r="U16" s="73" t="str">
        <f>IF('5'!AA23=1,'5'!AR6,'5'!AR7)</f>
        <v>S.A.L</v>
      </c>
      <c r="V16" s="16"/>
      <c r="W16" s="18"/>
      <c r="X16" s="54">
        <v>0.458333333333333</v>
      </c>
      <c r="Y16" s="125">
        <v>3218.0</v>
      </c>
      <c r="Z16" s="60">
        <v>1550.0</v>
      </c>
      <c r="AA16" s="56">
        <v>1.0</v>
      </c>
      <c r="AB16" s="58">
        <f>IF('5'!AA16=1,(('5'!Z16*'5'!$AS$6*'5'!$AT$6)/('5'!Y16*0.0036)),IF('5'!AA16=2,(('5'!Z16*'5'!$AS$7*'5'!$AT$7)/('5'!Y16*0.0036))))</f>
        <v>88.97434569</v>
      </c>
      <c r="AC16" s="58"/>
      <c r="AD16" s="59">
        <f>(('5'!AC16*'5'!$Q$10*1000000))/('5'!Y16*3600)</f>
        <v>0</v>
      </c>
      <c r="AE16" s="60"/>
      <c r="AF16" s="61">
        <f>('5'!AE16/24)*0.454</f>
        <v>0</v>
      </c>
      <c r="AG16" s="60"/>
      <c r="AH16" s="61">
        <f>('5'!AG16/24)*0.454</f>
        <v>0</v>
      </c>
      <c r="AI16" s="60">
        <v>4600.0</v>
      </c>
      <c r="AJ16" s="61">
        <f>('5'!AI16/24)*0.454</f>
        <v>87.01666667</v>
      </c>
      <c r="AK16" s="62"/>
      <c r="AL16" s="63">
        <f>('5'!AK16/24)*0.454</f>
        <v>0</v>
      </c>
      <c r="AM16" s="62"/>
      <c r="AN16" s="63">
        <f>('5'!AM16/24)*0.454</f>
        <v>0</v>
      </c>
      <c r="AO16" s="64"/>
      <c r="AP16" s="63">
        <f>('5'!AO16/24)*0.454</f>
        <v>0</v>
      </c>
    </row>
    <row r="17" ht="18.75" customHeight="1">
      <c r="A17" s="69">
        <v>0.833333333333333</v>
      </c>
      <c r="B17" s="76">
        <v>283.0</v>
      </c>
      <c r="C17" s="76">
        <v>13.0</v>
      </c>
      <c r="D17" s="76">
        <v>12.0</v>
      </c>
      <c r="E17" s="76">
        <v>7.0</v>
      </c>
      <c r="F17" s="76">
        <v>62.0</v>
      </c>
      <c r="G17" s="76">
        <v>2.0</v>
      </c>
      <c r="H17" s="76">
        <v>1.3</v>
      </c>
      <c r="I17" s="76">
        <v>0.6</v>
      </c>
      <c r="J17" s="76">
        <v>0.7</v>
      </c>
      <c r="K17" s="76">
        <v>7.0</v>
      </c>
      <c r="L17" s="76">
        <v>6.3</v>
      </c>
      <c r="M17" s="76">
        <v>6.3</v>
      </c>
      <c r="N17" s="76">
        <v>6.0</v>
      </c>
      <c r="O17" s="76">
        <v>3.8</v>
      </c>
      <c r="P17" s="76"/>
      <c r="Q17" s="310"/>
      <c r="R17" s="77">
        <f>'5'!Z25</f>
        <v>1550</v>
      </c>
      <c r="S17" s="76">
        <f>'5'!AB25</f>
        <v>88.67124325</v>
      </c>
      <c r="T17" s="77">
        <f>'5'!Y25</f>
        <v>3229</v>
      </c>
      <c r="U17" s="73" t="str">
        <f>IF('5'!AA25=1,'5'!AR6,'5'!AR7)</f>
        <v>S.A.L</v>
      </c>
      <c r="V17" s="90" t="str">
        <f>ESCALA!$C$7</f>
        <v/>
      </c>
      <c r="W17" s="89"/>
      <c r="X17" s="54">
        <v>0.5</v>
      </c>
      <c r="Y17" s="125">
        <v>3229.0</v>
      </c>
      <c r="Z17" s="60">
        <v>1550.0</v>
      </c>
      <c r="AA17" s="56">
        <v>1.0</v>
      </c>
      <c r="AB17" s="58">
        <f>IF('5'!AA17=1,(('5'!Z17*'5'!$AS$6*'5'!$AT$6)/('5'!Y17*0.0036)),IF('5'!AA17=2,(('5'!Z17*'5'!$AS$7*'5'!$AT$7)/('5'!Y17*0.0036))))</f>
        <v>88.67124325</v>
      </c>
      <c r="AC17" s="58"/>
      <c r="AD17" s="59">
        <f>(('5'!AC17*'5'!$Q$10*1000000))/('5'!Y17*3600)</f>
        <v>0</v>
      </c>
      <c r="AE17" s="60"/>
      <c r="AF17" s="61">
        <f>('5'!AE17/24)*0.454</f>
        <v>0</v>
      </c>
      <c r="AG17" s="60"/>
      <c r="AH17" s="61">
        <f>('5'!AG17/24)*0.454</f>
        <v>0</v>
      </c>
      <c r="AI17" s="60">
        <v>4600.0</v>
      </c>
      <c r="AJ17" s="61">
        <f>('5'!AI17/24)*0.454</f>
        <v>87.01666667</v>
      </c>
      <c r="AK17" s="62"/>
      <c r="AL17" s="63">
        <f>('5'!AK17/24)*0.454</f>
        <v>0</v>
      </c>
      <c r="AM17" s="62"/>
      <c r="AN17" s="63">
        <f>('5'!AM17/24)*0.454</f>
        <v>0</v>
      </c>
      <c r="AO17" s="64"/>
      <c r="AP17" s="63">
        <f>('5'!AO17/24)*0.454</f>
        <v>0</v>
      </c>
    </row>
    <row r="18" ht="19.5" customHeight="1">
      <c r="A18" s="69">
        <v>0.916666666666667</v>
      </c>
      <c r="B18" s="76">
        <v>290.0</v>
      </c>
      <c r="C18" s="76">
        <v>13.0</v>
      </c>
      <c r="D18" s="76">
        <v>12.0</v>
      </c>
      <c r="E18" s="76">
        <v>7.0</v>
      </c>
      <c r="F18" s="76">
        <v>64.0</v>
      </c>
      <c r="G18" s="76">
        <v>2.0</v>
      </c>
      <c r="H18" s="76">
        <v>1.2</v>
      </c>
      <c r="I18" s="76">
        <v>0.6</v>
      </c>
      <c r="J18" s="76">
        <v>0.7</v>
      </c>
      <c r="K18" s="76">
        <v>7.0</v>
      </c>
      <c r="L18" s="76">
        <v>6.3</v>
      </c>
      <c r="M18" s="76">
        <v>6.3</v>
      </c>
      <c r="N18" s="76">
        <v>6.0</v>
      </c>
      <c r="O18" s="76">
        <v>3.8</v>
      </c>
      <c r="P18" s="76"/>
      <c r="Q18" s="310"/>
      <c r="R18" s="77">
        <f>'5'!Z27</f>
        <v>1550</v>
      </c>
      <c r="S18" s="76">
        <f>'5'!AB27</f>
        <v>89.05736997</v>
      </c>
      <c r="T18" s="77">
        <f>'5'!Y27</f>
        <v>3215</v>
      </c>
      <c r="U18" s="73" t="str">
        <f>IF('5'!AA27=1,'5'!AR6,'5'!AR7)</f>
        <v>S.A.L</v>
      </c>
      <c r="V18" s="16"/>
      <c r="W18" s="18"/>
      <c r="X18" s="54">
        <v>0.541666666666667</v>
      </c>
      <c r="Y18" s="125">
        <v>3241.0</v>
      </c>
      <c r="Z18" s="60">
        <v>1550.0</v>
      </c>
      <c r="AA18" s="56">
        <v>1.0</v>
      </c>
      <c r="AB18" s="58">
        <f>IF('5'!AA18=1,(('5'!Z18*'5'!$AS$6*'5'!$AT$6)/('5'!Y18*0.0036)),IF('5'!AA18=2,(('5'!Z18*'5'!$AS$7*'5'!$AT$7)/('5'!Y18*0.0036))))</f>
        <v>88.34293257</v>
      </c>
      <c r="AC18" s="58"/>
      <c r="AD18" s="59">
        <f>(('5'!AC18*'5'!$Q$10*1000000))/('5'!Y18*3600)</f>
        <v>0</v>
      </c>
      <c r="AE18" s="60"/>
      <c r="AF18" s="61">
        <f>('5'!AE18/24)*0.454</f>
        <v>0</v>
      </c>
      <c r="AG18" s="60"/>
      <c r="AH18" s="61">
        <f>('5'!AG18/24)*0.454</f>
        <v>0</v>
      </c>
      <c r="AI18" s="60">
        <v>4600.0</v>
      </c>
      <c r="AJ18" s="61">
        <f>('5'!AI18/24)*0.454</f>
        <v>87.01666667</v>
      </c>
      <c r="AK18" s="62"/>
      <c r="AL18" s="63">
        <f>('5'!AK18/24)*0.454</f>
        <v>0</v>
      </c>
      <c r="AM18" s="62"/>
      <c r="AN18" s="63">
        <f>('5'!AM18/24)*0.454</f>
        <v>0</v>
      </c>
      <c r="AO18" s="64"/>
      <c r="AP18" s="63">
        <f>('5'!AO18/24)*0.454</f>
        <v>0</v>
      </c>
    </row>
    <row r="19" ht="18.75" customHeight="1">
      <c r="A19" s="51" t="s">
        <v>52</v>
      </c>
      <c r="B19" s="91">
        <f t="array" ref="B19">IF('5'!B7:B18&gt;0.01,AVERAGE('5'!B7:B18),"")</f>
        <v>274.5</v>
      </c>
      <c r="C19" s="92">
        <f t="array" ref="C19">IF('5'!C7:C18&gt;0.01,AVERAGE('5'!C7:C18),"")</f>
        <v>13</v>
      </c>
      <c r="D19" s="92">
        <f t="array" ref="D19">IF('5'!D7:D18&gt;0.01,AVERAGE('5'!D7:D18),"")</f>
        <v>11.75</v>
      </c>
      <c r="E19" s="92">
        <f t="array" ref="E19">IF('5'!E7:E18&gt;0.01,AVERAGE('5'!E7:E18),"")</f>
        <v>6</v>
      </c>
      <c r="F19" s="92">
        <f t="array" ref="F19">IF('5'!F7:F18&gt;0.01,AVERAGE('5'!F7:F18),"")</f>
        <v>62.91666667</v>
      </c>
      <c r="G19" s="92">
        <f t="array" ref="G19">IF('5'!G7:G18&gt;0.01,AVERAGE('5'!G7:G18),"")</f>
        <v>1.875</v>
      </c>
      <c r="H19" s="92">
        <f t="array" ref="H19">IF('5'!H7:H18&gt;0.01,AVERAGE('5'!H7:H18),"")</f>
        <v>1.475</v>
      </c>
      <c r="I19" s="92">
        <f t="array" ref="I19">IF('5'!I7:I18&gt;0.01,AVERAGE('5'!I7:I18),"")</f>
        <v>0.5833333333</v>
      </c>
      <c r="J19" s="92">
        <f t="array" ref="J19">IF('5'!J7:J18&gt;0.01,AVERAGE('5'!J7:J18),"")</f>
        <v>0.675</v>
      </c>
      <c r="K19" s="92">
        <f t="array" ref="K19">IF('5'!K7:K18&gt;0.01,AVERAGE('5'!K7:K18),"")</f>
        <v>6.916666667</v>
      </c>
      <c r="L19" s="92">
        <f t="array" ref="L19">IF('5'!L7:L18&gt;0.01,AVERAGE('5'!L7:L18),"")</f>
        <v>6.3</v>
      </c>
      <c r="M19" s="92">
        <f t="array" ref="M19">IF('5'!M7:M18&gt;0.01,AVERAGE('5'!M7:M18),"")</f>
        <v>6.3</v>
      </c>
      <c r="N19" s="92">
        <f t="array" ref="N19">IF('5'!N7:N18&gt;0.01,AVERAGE('5'!N7:N18),"")</f>
        <v>6</v>
      </c>
      <c r="O19" s="92">
        <f t="array" ref="O19">IF('5'!O7:O18&gt;0.01,AVERAGE('5'!O7:O18),"")</f>
        <v>3.766666667</v>
      </c>
      <c r="P19" s="93" t="str">
        <f t="array" ref="P19">IF('5'!P7:P18&gt;0.01,AVERAGE('5'!P7:P18),"")</f>
        <v/>
      </c>
      <c r="Q19" s="94" t="str">
        <f t="array" ref="Q19">IF('5'!Q7:Q18&gt;0.01,AVERAGE('5'!Q7:Q18),"")</f>
        <v/>
      </c>
      <c r="R19" s="94">
        <f t="array" ref="R19">IF('5'!R7:R18&gt;0.01,AVERAGE('5'!R7:R18),"")</f>
        <v>1550</v>
      </c>
      <c r="S19" s="94">
        <f t="array" ref="S19">IF('5'!S7:S18&gt;0.01,AVERAGE('5'!S7:S18),"")</f>
        <v>87.65898765</v>
      </c>
      <c r="T19" s="95"/>
      <c r="U19" s="96"/>
      <c r="V19" s="97"/>
      <c r="W19" s="97"/>
      <c r="X19" s="54">
        <v>0.583333333333333</v>
      </c>
      <c r="Y19" s="125">
        <v>3233.0</v>
      </c>
      <c r="Z19" s="60">
        <v>1550.0</v>
      </c>
      <c r="AA19" s="56">
        <v>1.0</v>
      </c>
      <c r="AB19" s="58">
        <f>IF('5'!AA19=1,(('5'!Z19*'5'!$AS$6*'5'!$AT$6)/('5'!Y19*0.0036)),IF('5'!AA19=2,(('5'!Z19*'5'!$AS$7*'5'!$AT$7)/('5'!Y19*0.0036))))</f>
        <v>88.56153555</v>
      </c>
      <c r="AC19" s="58"/>
      <c r="AD19" s="59">
        <f>(('5'!AC19*'5'!$Q$10*1000000))/('5'!Y19*3600)</f>
        <v>0</v>
      </c>
      <c r="AE19" s="60"/>
      <c r="AF19" s="61">
        <f>('5'!AE19/24)*0.454</f>
        <v>0</v>
      </c>
      <c r="AG19" s="60"/>
      <c r="AH19" s="61">
        <f>('5'!AG19/24)*0.454</f>
        <v>0</v>
      </c>
      <c r="AI19" s="60">
        <v>4600.0</v>
      </c>
      <c r="AJ19" s="61">
        <f>('5'!AI19/24)*0.454</f>
        <v>87.01666667</v>
      </c>
      <c r="AK19" s="62"/>
      <c r="AL19" s="63">
        <f>('5'!AK19/24)*0.454</f>
        <v>0</v>
      </c>
      <c r="AM19" s="62"/>
      <c r="AN19" s="63">
        <f>('5'!AM19/24)*0.454</f>
        <v>0</v>
      </c>
      <c r="AO19" s="64"/>
      <c r="AP19" s="63">
        <f>('5'!AO19/24)*0.454</f>
        <v>0</v>
      </c>
    </row>
    <row r="20" ht="18.75" customHeight="1">
      <c r="A20" s="51" t="s">
        <v>53</v>
      </c>
      <c r="B20" s="91">
        <f>MAX('5'!B7:B18)</f>
        <v>294</v>
      </c>
      <c r="C20" s="92">
        <f>MAX('5'!C7:C18)</f>
        <v>14</v>
      </c>
      <c r="D20" s="92">
        <f>MAX('5'!D7:D18)</f>
        <v>13</v>
      </c>
      <c r="E20" s="92">
        <f>MAX('5'!E7:E18)</f>
        <v>7</v>
      </c>
      <c r="F20" s="92">
        <f>MAX('5'!F7:F18)</f>
        <v>89</v>
      </c>
      <c r="G20" s="92">
        <f>MAX('5'!G7:G18)</f>
        <v>2</v>
      </c>
      <c r="H20" s="92">
        <f>MAX('5'!H7:H18)</f>
        <v>1.6</v>
      </c>
      <c r="I20" s="92">
        <f>MAX('5'!I7:I18)</f>
        <v>0.6</v>
      </c>
      <c r="J20" s="92">
        <f>MAX('5'!J7:J18)</f>
        <v>0.7</v>
      </c>
      <c r="K20" s="92">
        <f>MAX('5'!K7:K18)</f>
        <v>7</v>
      </c>
      <c r="L20" s="92">
        <f>MAX('5'!L7:L18)</f>
        <v>6.3</v>
      </c>
      <c r="M20" s="92">
        <f>MAX('5'!M7:M18)</f>
        <v>6.3</v>
      </c>
      <c r="N20" s="92">
        <f>MAX('5'!N7:N18)</f>
        <v>6</v>
      </c>
      <c r="O20" s="98">
        <f>MAX('5'!O7:O18)</f>
        <v>3.8</v>
      </c>
      <c r="P20" s="98">
        <f>MAX('5'!P7:P18)</f>
        <v>0</v>
      </c>
      <c r="Q20" s="98">
        <f>MAX('5'!Q7:Q18)</f>
        <v>0</v>
      </c>
      <c r="R20" s="98">
        <f>MAX('5'!R7:R18)</f>
        <v>1550</v>
      </c>
      <c r="S20" s="98">
        <f>MAX('5'!S7:S18)</f>
        <v>89.61484959</v>
      </c>
      <c r="T20" s="99"/>
      <c r="U20" s="21"/>
      <c r="X20" s="54">
        <v>0.625</v>
      </c>
      <c r="Y20" s="125">
        <v>3242.0</v>
      </c>
      <c r="Z20" s="60">
        <v>1550.0</v>
      </c>
      <c r="AA20" s="56">
        <v>1.0</v>
      </c>
      <c r="AB20" s="58">
        <f>IF('5'!AA20=1,(('5'!Z20*'5'!$AS$6*'5'!$AT$6)/('5'!Y20*0.0036)),IF('5'!AA20=2,(('5'!Z20*'5'!$AS$7*'5'!$AT$7)/('5'!Y20*0.0036))))</f>
        <v>88.31568305</v>
      </c>
      <c r="AC20" s="58"/>
      <c r="AD20" s="59">
        <f>(('5'!AC20*'5'!$Q$10*1000000))/('5'!Y20*3600)</f>
        <v>0</v>
      </c>
      <c r="AE20" s="60"/>
      <c r="AF20" s="61">
        <f>('5'!AE20/24)*0.454</f>
        <v>0</v>
      </c>
      <c r="AG20" s="60"/>
      <c r="AH20" s="61">
        <f>('5'!AG20/24)*0.454</f>
        <v>0</v>
      </c>
      <c r="AI20" s="60">
        <v>4600.0</v>
      </c>
      <c r="AJ20" s="61">
        <f>('5'!AI20/24)*0.454</f>
        <v>87.01666667</v>
      </c>
      <c r="AK20" s="62"/>
      <c r="AL20" s="63">
        <f>('5'!AK20/24)*0.454</f>
        <v>0</v>
      </c>
      <c r="AM20" s="62"/>
      <c r="AN20" s="63">
        <f>('5'!AM20/24)*0.454</f>
        <v>0</v>
      </c>
      <c r="AO20" s="64"/>
      <c r="AP20" s="63">
        <f>('5'!AO20/24)*0.454</f>
        <v>0</v>
      </c>
    </row>
    <row r="21" ht="19.5" customHeight="1">
      <c r="A21" s="51" t="s">
        <v>54</v>
      </c>
      <c r="B21" s="91">
        <f>MIN('5'!B7:B18)</f>
        <v>258</v>
      </c>
      <c r="C21" s="92">
        <f>MIN('5'!C7:C18)</f>
        <v>12</v>
      </c>
      <c r="D21" s="92">
        <f>MIN('5'!D7:D18)</f>
        <v>10</v>
      </c>
      <c r="E21" s="92">
        <f>MIN('5'!E7:E18)</f>
        <v>5</v>
      </c>
      <c r="F21" s="92">
        <f>MIN('5'!F7:F18)</f>
        <v>50</v>
      </c>
      <c r="G21" s="100">
        <f>MIN('5'!G7:G18)</f>
        <v>1.7</v>
      </c>
      <c r="H21" s="100">
        <f>MIN('5'!H7:H18)</f>
        <v>1.2</v>
      </c>
      <c r="I21" s="100">
        <f>MIN('5'!I7:I18)</f>
        <v>0.5</v>
      </c>
      <c r="J21" s="100">
        <f>MIN('5'!J7:J18)</f>
        <v>0.6</v>
      </c>
      <c r="K21" s="100">
        <f>MIN('5'!K7:K18)</f>
        <v>6.8</v>
      </c>
      <c r="L21" s="100">
        <f>MIN('5'!L7:L18)</f>
        <v>6.3</v>
      </c>
      <c r="M21" s="100">
        <f>MIN('5'!M7:M18)</f>
        <v>6.3</v>
      </c>
      <c r="N21" s="100">
        <f>MIN('5'!N7:N18)</f>
        <v>6</v>
      </c>
      <c r="O21" s="101">
        <f>MIN('5'!O7:O18)</f>
        <v>3.6</v>
      </c>
      <c r="P21" s="101">
        <f>MIN('5'!P7:P18)</f>
        <v>0</v>
      </c>
      <c r="Q21" s="101">
        <f>MIN('5'!Q7:Q18)</f>
        <v>0</v>
      </c>
      <c r="R21" s="101">
        <f>MIN('5'!R7:R18)</f>
        <v>1550</v>
      </c>
      <c r="S21" s="101">
        <f>MIN('5'!S7:S18)</f>
        <v>84.41021357</v>
      </c>
      <c r="T21" s="99"/>
      <c r="U21" s="21"/>
      <c r="X21" s="54">
        <v>0.666666666666667</v>
      </c>
      <c r="Y21" s="125">
        <v>3236.0</v>
      </c>
      <c r="Z21" s="60">
        <v>1550.0</v>
      </c>
      <c r="AA21" s="56">
        <v>1.0</v>
      </c>
      <c r="AB21" s="58">
        <f>IF('5'!AA21=1,(('5'!Z21*'5'!$AS$6*'5'!$AT$6)/('5'!Y21*0.0036)),IF('5'!AA21=2,(('5'!Z21*'5'!$AS$7*'5'!$AT$7)/('5'!Y21*0.0036))))</f>
        <v>88.47943277</v>
      </c>
      <c r="AC21" s="58"/>
      <c r="AD21" s="59">
        <f>(('5'!AC21*'5'!$Q$10*1000000))/('5'!Y21*3600)</f>
        <v>0</v>
      </c>
      <c r="AE21" s="60"/>
      <c r="AF21" s="61">
        <f>('5'!AE21/24)*0.454</f>
        <v>0</v>
      </c>
      <c r="AG21" s="60"/>
      <c r="AH21" s="61">
        <f>('5'!AG21/24)*0.454</f>
        <v>0</v>
      </c>
      <c r="AI21" s="60">
        <v>4600.0</v>
      </c>
      <c r="AJ21" s="61">
        <f>('5'!AI21/24)*0.454</f>
        <v>87.01666667</v>
      </c>
      <c r="AK21" s="62"/>
      <c r="AL21" s="63">
        <f>('5'!AK21/24)*0.454</f>
        <v>0</v>
      </c>
      <c r="AM21" s="62"/>
      <c r="AN21" s="63">
        <f>('5'!AM21/24)*0.454</f>
        <v>0</v>
      </c>
      <c r="AO21" s="64"/>
      <c r="AP21" s="63">
        <f>('5'!AO21/24)*0.454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3252.0</v>
      </c>
      <c r="Z22" s="60">
        <v>1550.0</v>
      </c>
      <c r="AA22" s="56">
        <v>1.0</v>
      </c>
      <c r="AB22" s="58">
        <f>IF('5'!AA22=1,(('5'!Z22*'5'!$AS$6*'5'!$AT$6)/('5'!Y22*0.0036)),IF('5'!AA22=2,(('5'!Z22*'5'!$AS$7*'5'!$AT$7)/('5'!Y22*0.0036))))</f>
        <v>88.04410961</v>
      </c>
      <c r="AC22" s="58"/>
      <c r="AD22" s="59">
        <f>(('5'!AC22*'5'!$Q$10*1000000))/('5'!Y22*3600)</f>
        <v>0</v>
      </c>
      <c r="AE22" s="60"/>
      <c r="AF22" s="61">
        <f>('5'!AE22/24)*0.454</f>
        <v>0</v>
      </c>
      <c r="AG22" s="60"/>
      <c r="AH22" s="61">
        <f>('5'!AG22/24)*0.454</f>
        <v>0</v>
      </c>
      <c r="AI22" s="60">
        <v>4600.0</v>
      </c>
      <c r="AJ22" s="61">
        <f>('5'!AI22/24)*0.454</f>
        <v>87.01666667</v>
      </c>
      <c r="AK22" s="62"/>
      <c r="AL22" s="63">
        <f>('5'!AK22/24)*0.454</f>
        <v>0</v>
      </c>
      <c r="AM22" s="62"/>
      <c r="AN22" s="63">
        <f>('5'!AM22/24)*0.454</f>
        <v>0</v>
      </c>
      <c r="AO22" s="64"/>
      <c r="AP22" s="63">
        <f>('5'!AO22/24)*0.454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3197.0</v>
      </c>
      <c r="Z23" s="60">
        <v>1550.0</v>
      </c>
      <c r="AA23" s="56">
        <v>1.0</v>
      </c>
      <c r="AB23" s="58">
        <f>IF('5'!AA23=1,(('5'!Z23*'5'!$AS$6*'5'!$AT$6)/('5'!Y23*0.0036)),IF('5'!AA23=2,(('5'!Z23*'5'!$AS$7*'5'!$AT$7)/('5'!Y23*0.0036))))</f>
        <v>89.55878775</v>
      </c>
      <c r="AC23" s="58"/>
      <c r="AD23" s="59">
        <f>(('5'!AC23*'5'!$Q$10*1000000))/('5'!Y23*3600)</f>
        <v>0</v>
      </c>
      <c r="AE23" s="60"/>
      <c r="AF23" s="61">
        <f>('5'!AE23/24)*0.454</f>
        <v>0</v>
      </c>
      <c r="AG23" s="60"/>
      <c r="AH23" s="61">
        <f>('5'!AG23/24)*0.454</f>
        <v>0</v>
      </c>
      <c r="AI23" s="60">
        <v>4600.0</v>
      </c>
      <c r="AJ23" s="61">
        <f>('5'!AI23/24)*0.454</f>
        <v>87.01666667</v>
      </c>
      <c r="AK23" s="62"/>
      <c r="AL23" s="63">
        <f>('5'!AK23/24)*0.454</f>
        <v>0</v>
      </c>
      <c r="AM23" s="62"/>
      <c r="AN23" s="63">
        <f>('5'!AM23/24)*0.454</f>
        <v>0</v>
      </c>
      <c r="AO23" s="64"/>
      <c r="AP23" s="63">
        <f>('5'!AO23/24)*0.454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3236.0</v>
      </c>
      <c r="Z24" s="60">
        <v>1550.0</v>
      </c>
      <c r="AA24" s="56">
        <v>1.0</v>
      </c>
      <c r="AB24" s="57">
        <f>IF('5'!AA24=1,(('5'!Z24*'5'!$AS$6*'5'!$AT$6)/('5'!Y24*0.0036)),IF('5'!AA24=2,(('5'!Z24*'5'!$AS$7*'5'!$AT$7)/('5'!Y24*0.0036))))</f>
        <v>88.47943277</v>
      </c>
      <c r="AC24" s="58"/>
      <c r="AD24" s="59">
        <f>(('5'!AC24*'5'!$Q$10*1000000))/('5'!Y24*3600)</f>
        <v>0</v>
      </c>
      <c r="AE24" s="60"/>
      <c r="AF24" s="61">
        <f>('5'!AE24/24)*0.454</f>
        <v>0</v>
      </c>
      <c r="AG24" s="60"/>
      <c r="AH24" s="61">
        <f>('5'!AG24/24)*0.454</f>
        <v>0</v>
      </c>
      <c r="AI24" s="60">
        <v>4600.0</v>
      </c>
      <c r="AJ24" s="61">
        <f>('5'!AI24/24)*0.454</f>
        <v>87.01666667</v>
      </c>
      <c r="AK24" s="62"/>
      <c r="AL24" s="110">
        <f>('5'!AK24/24)*0.454</f>
        <v>0</v>
      </c>
      <c r="AM24" s="312"/>
      <c r="AN24" s="110">
        <f>('5'!AM24/24)*0.454</f>
        <v>0</v>
      </c>
      <c r="AO24" s="64"/>
      <c r="AP24" s="110">
        <f>('5'!AO24/24)*0.454</f>
        <v>0</v>
      </c>
    </row>
    <row r="25" ht="19.5" customHeight="1">
      <c r="A25" s="111">
        <v>0.416666666666667</v>
      </c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112" t="str">
        <f t="shared" ref="R25:R26" si="1">#DIV/0!</f>
        <v>#DIV/0!</v>
      </c>
      <c r="S25" s="113"/>
      <c r="T25" s="355" t="s">
        <v>0</v>
      </c>
      <c r="U25" s="356">
        <f>ESCALA!$A$7</f>
        <v>43926</v>
      </c>
      <c r="X25" s="54">
        <v>0.833333333333333</v>
      </c>
      <c r="Y25" s="125">
        <v>3229.0</v>
      </c>
      <c r="Z25" s="60">
        <v>1550.0</v>
      </c>
      <c r="AA25" s="56">
        <v>1.0</v>
      </c>
      <c r="AB25" s="58">
        <f>IF('5'!AA25=1,(('5'!Z25*'5'!$AS$6*'5'!$AT$6)/('5'!Y25*0.0036)),IF('5'!AA25=2,(('5'!Z25*'5'!$AS$7*'5'!$AT$7)/('5'!Y25*0.0036))))</f>
        <v>88.67124325</v>
      </c>
      <c r="AC25" s="58"/>
      <c r="AD25" s="59">
        <f>(('5'!AC25*'5'!$Q$10*1000000))/('5'!Y25*3600)</f>
        <v>0</v>
      </c>
      <c r="AE25" s="60"/>
      <c r="AF25" s="61">
        <f>('5'!AE25/24)*0.454</f>
        <v>0</v>
      </c>
      <c r="AG25" s="60"/>
      <c r="AH25" s="61">
        <f>('5'!AG25/24)*0.454</f>
        <v>0</v>
      </c>
      <c r="AI25" s="60">
        <v>4600.0</v>
      </c>
      <c r="AJ25" s="61">
        <f>('5'!AI25/24)*0.454</f>
        <v>87.01666667</v>
      </c>
      <c r="AK25" s="62"/>
      <c r="AL25" s="63">
        <f>('5'!AK25/24)*0.454</f>
        <v>0</v>
      </c>
      <c r="AM25" s="62"/>
      <c r="AN25" s="63">
        <f>('5'!AM25/24)*0.454</f>
        <v>0</v>
      </c>
      <c r="AO25" s="64"/>
      <c r="AP25" s="63">
        <f>('5'!AO25/24)*0.454</f>
        <v>0</v>
      </c>
    </row>
    <row r="26" ht="19.5" customHeight="1">
      <c r="A26" s="111">
        <v>0.666666666666667</v>
      </c>
      <c r="B26" s="313">
        <v>0.72</v>
      </c>
      <c r="C26" s="313">
        <v>0.8</v>
      </c>
      <c r="D26" s="313">
        <v>0.84</v>
      </c>
      <c r="E26" s="315">
        <v>0.78</v>
      </c>
      <c r="F26" s="315">
        <v>0.86</v>
      </c>
      <c r="G26" s="315"/>
      <c r="H26" s="315">
        <v>0.88</v>
      </c>
      <c r="I26" s="315">
        <v>0.91</v>
      </c>
      <c r="J26" s="315"/>
      <c r="K26" s="315">
        <v>0.64</v>
      </c>
      <c r="L26" s="315">
        <v>0.59</v>
      </c>
      <c r="M26" s="315">
        <v>0.65</v>
      </c>
      <c r="N26" s="315">
        <v>0.58</v>
      </c>
      <c r="O26" s="349">
        <v>0.55</v>
      </c>
      <c r="P26" s="350">
        <v>0.54</v>
      </c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3226.0</v>
      </c>
      <c r="Z26" s="60">
        <v>1550.0</v>
      </c>
      <c r="AA26" s="56">
        <v>1.0</v>
      </c>
      <c r="AB26" s="58">
        <f>IF('5'!AA26=1,(('5'!Z26*'5'!$AS$6*'5'!$AT$6)/('5'!Y26*0.0036)),IF('5'!AA26=2,(('5'!Z26*'5'!$AS$7*'5'!$AT$7)/('5'!Y26*0.0036))))</f>
        <v>88.75370256</v>
      </c>
      <c r="AC26" s="58"/>
      <c r="AD26" s="59">
        <f>(('5'!AC26*'5'!$Q$10*1000000))/('5'!Y26*3600)</f>
        <v>0</v>
      </c>
      <c r="AE26" s="60"/>
      <c r="AF26" s="61">
        <f>('5'!AE26/24)*0.454</f>
        <v>0</v>
      </c>
      <c r="AG26" s="60"/>
      <c r="AH26" s="61">
        <f>('5'!AG26/24)*0.454</f>
        <v>0</v>
      </c>
      <c r="AI26" s="60">
        <v>4600.0</v>
      </c>
      <c r="AJ26" s="61">
        <f>('5'!AI26/24)*0.454</f>
        <v>87.01666667</v>
      </c>
      <c r="AK26" s="62"/>
      <c r="AL26" s="63">
        <f>('5'!AK26/24)*0.454</f>
        <v>0</v>
      </c>
      <c r="AM26" s="62"/>
      <c r="AN26" s="63">
        <f>('5'!AM26/24)*0.454</f>
        <v>0</v>
      </c>
      <c r="AO26" s="64"/>
      <c r="AP26" s="63">
        <f>('5'!AO26/24)*0.454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57"/>
      <c r="S27" s="127"/>
      <c r="T27" s="128"/>
      <c r="U27" s="124"/>
      <c r="X27" s="54">
        <v>0.916666666666667</v>
      </c>
      <c r="Y27" s="125">
        <v>3215.0</v>
      </c>
      <c r="Z27" s="60">
        <v>1550.0</v>
      </c>
      <c r="AA27" s="56">
        <v>1.0</v>
      </c>
      <c r="AB27" s="58">
        <f>IF('5'!AA27=1,(('5'!Z27*'5'!$AS$6*'5'!$AT$6)/('5'!Y27*0.0036)),IF('5'!AA27=2,(('5'!Z27*'5'!$AS$7*'5'!$AT$7)/('5'!Y27*0.0036))))</f>
        <v>89.05736997</v>
      </c>
      <c r="AC27" s="58"/>
      <c r="AD27" s="59">
        <f>(('5'!AC27*'5'!$Q$10*1000000))/('5'!Y27*3600)</f>
        <v>0</v>
      </c>
      <c r="AE27" s="60"/>
      <c r="AF27" s="61">
        <f>('5'!AE27/24)*0.454</f>
        <v>0</v>
      </c>
      <c r="AG27" s="60"/>
      <c r="AH27" s="61">
        <f>('5'!AG27/24)*0.454</f>
        <v>0</v>
      </c>
      <c r="AI27" s="60">
        <v>4600.0</v>
      </c>
      <c r="AJ27" s="61">
        <f>('5'!AI27/24)*0.454</f>
        <v>87.01666667</v>
      </c>
      <c r="AK27" s="62"/>
      <c r="AL27" s="63">
        <f>('5'!AK27/24)*0.454</f>
        <v>0</v>
      </c>
      <c r="AM27" s="62"/>
      <c r="AN27" s="63">
        <f>('5'!AM27/24)*0.454</f>
        <v>0</v>
      </c>
      <c r="AO27" s="64"/>
      <c r="AP27" s="63">
        <f>('5'!AO27/24)*0.454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3241.0</v>
      </c>
      <c r="Z28" s="60">
        <v>1550.0</v>
      </c>
      <c r="AA28" s="56">
        <v>1.0</v>
      </c>
      <c r="AB28" s="58">
        <f>IF('5'!AA28=1,(('5'!Z28*'5'!$AS$6*'5'!$AT$6)/('5'!Y28*0.0036)),IF('5'!AA28=2,(('5'!Z28*'5'!$AS$7*'5'!$AT$7)/('5'!Y28*0.0036))))</f>
        <v>88.34293257</v>
      </c>
      <c r="AC28" s="58"/>
      <c r="AD28" s="59">
        <f>(('5'!AC28*'5'!$Q$10*1000000))/('5'!Y28*3600)</f>
        <v>0</v>
      </c>
      <c r="AE28" s="60"/>
      <c r="AF28" s="61">
        <f>('5'!AE28/24)*0.454</f>
        <v>0</v>
      </c>
      <c r="AG28" s="60"/>
      <c r="AH28" s="61">
        <f>('5'!AG28/24)*0.454</f>
        <v>0</v>
      </c>
      <c r="AI28" s="60">
        <v>4400.0</v>
      </c>
      <c r="AJ28" s="61">
        <f>('5'!AI28/24)*0.454</f>
        <v>83.23333333</v>
      </c>
      <c r="AK28" s="62"/>
      <c r="AL28" s="63">
        <f>('5'!AK28/24)*0.454</f>
        <v>0</v>
      </c>
      <c r="AM28" s="62"/>
      <c r="AN28" s="63">
        <f>('5'!AM28/24)*0.454</f>
        <v>0</v>
      </c>
      <c r="AO28" s="64"/>
      <c r="AP28" s="63">
        <f>('5'!AO28/24)*0.454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3257.0</v>
      </c>
      <c r="Z29" s="60">
        <v>1550.0</v>
      </c>
      <c r="AA29" s="56">
        <v>1.0</v>
      </c>
      <c r="AB29" s="58">
        <f>IF('5'!AA29=1,(('5'!Z29*'5'!$AS$6*'5'!$AT$6)/('5'!Y29*0.0036)),IF('5'!AA29=2,(('5'!Z29*'5'!$AS$7*'5'!$AT$7)/('5'!Y29*0.0036))))</f>
        <v>87.90894825</v>
      </c>
      <c r="AC29" s="58"/>
      <c r="AD29" s="59">
        <f>(('5'!AC29*'5'!$Q$10*1000000))/('5'!Y29*3600)</f>
        <v>0</v>
      </c>
      <c r="AE29" s="60"/>
      <c r="AF29" s="61">
        <f>('5'!AE29/24)*0.454</f>
        <v>0</v>
      </c>
      <c r="AG29" s="60"/>
      <c r="AH29" s="61">
        <f>('5'!AG29/24)*0.454</f>
        <v>0</v>
      </c>
      <c r="AI29" s="60">
        <v>4400.0</v>
      </c>
      <c r="AJ29" s="61">
        <f>('5'!AI29/24)*0.454</f>
        <v>83.23333333</v>
      </c>
      <c r="AK29" s="62"/>
      <c r="AL29" s="63">
        <f>('5'!AK29/24)*0.454</f>
        <v>0</v>
      </c>
      <c r="AM29" s="62"/>
      <c r="AN29" s="63">
        <f>('5'!AM29/24)*0.454</f>
        <v>0</v>
      </c>
      <c r="AO29" s="64"/>
      <c r="AP29" s="63">
        <f>('5'!AO29/24)*0.454</f>
        <v>0</v>
      </c>
    </row>
    <row r="30" ht="18.75" customHeight="1">
      <c r="A30" s="43"/>
      <c r="U30" s="27"/>
      <c r="X30" s="130" t="s">
        <v>55</v>
      </c>
      <c r="Y30" s="131">
        <f>SUM('5'!Y6:Y29)*3.6</f>
        <v>281710.8</v>
      </c>
      <c r="Z30" s="132">
        <f>SUM('5'!Z6:Z29)</f>
        <v>37200</v>
      </c>
      <c r="AA30" s="133"/>
      <c r="AB30" s="132"/>
      <c r="AC30" s="133"/>
      <c r="AD30" s="132"/>
      <c r="AE30" s="60"/>
      <c r="AF30" s="61">
        <f>SUM('5'!AF6:AF29)</f>
        <v>0</v>
      </c>
      <c r="AG30" s="60"/>
      <c r="AH30" s="61">
        <f>SUM('5'!AH6:AH29)</f>
        <v>0</v>
      </c>
      <c r="AI30" s="60"/>
      <c r="AJ30" s="61">
        <f>SUM('5'!AJ6:AJ29)</f>
        <v>2103.533333</v>
      </c>
      <c r="AK30" s="62"/>
      <c r="AL30" s="63">
        <f>SUM('5'!AL6:AL29)</f>
        <v>0</v>
      </c>
      <c r="AM30" s="62"/>
      <c r="AN30" s="63">
        <f>SUM('5'!AN6:AN29)</f>
        <v>0</v>
      </c>
      <c r="AO30" s="62"/>
      <c r="AP30" s="63">
        <f>SUM('5'!AP6:AP29)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SUMIF('5'!AA6:AA29,"=1",'5'!Z6:Z29)</f>
        <v>37200</v>
      </c>
      <c r="AA32" s="132">
        <f>'5'!Z32*'5'!AS6</f>
        <v>49476</v>
      </c>
      <c r="AB32" s="139">
        <f>SUMIF('5'!$AA$6:$AA$29,"=1",'5'!$AB$6:$AB$29)/COUNTIF('5'!$AA$6:$AA$29,"=1")</f>
        <v>87.84042164</v>
      </c>
      <c r="AC32" s="140">
        <f>SUMIF('5'!AA6:AA29,"=1",'5'!AC6:AC29)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SUMIF('5'!AA6:AA29,"=2",'5'!Z6:Z29)</f>
        <v>0</v>
      </c>
      <c r="AA33" s="132">
        <f>'5'!Z33*'5'!AS7</f>
        <v>0</v>
      </c>
      <c r="AB33" s="139" t="str">
        <f>SUMIF('5'!$AA$6:$AA$29,"=2",'5'!$AB$6:$AB$29)/COUNTIF('5'!$AA$6:$AA$29,"=2")</f>
        <v>#DIV/0!</v>
      </c>
      <c r="AC33" s="145">
        <f>SUMIF('5'!AA6:AA29,"=2",'5'!AC6:AC29)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AVERAGE('5'!Y6:Y29)</f>
        <v>3260.541667</v>
      </c>
      <c r="Z34" s="56">
        <f>AVERAGE('5'!Z6:Z29)</f>
        <v>1550</v>
      </c>
      <c r="AA34" s="152"/>
      <c r="AB34" s="152"/>
      <c r="AC34" s="153" t="str">
        <f>SUM('5'!AC6:AC29)/COUNTIF('5'!AC6:AC29,"&lt;&gt;0")</f>
        <v>#DIV/0!</v>
      </c>
      <c r="AD34" s="154" t="str">
        <f>SUM('5'!AD6:AD29)/COUNTIF('5'!AD6:AD29,"&lt;&gt;0")</f>
        <v>#DIV/0!</v>
      </c>
      <c r="AE34" s="133"/>
      <c r="AF34" s="153">
        <f>AVERAGE('5'!AF6:AF29)</f>
        <v>0</v>
      </c>
      <c r="AG34" s="153"/>
      <c r="AH34" s="153">
        <f>AVERAGE('5'!AH6:AH29)</f>
        <v>0</v>
      </c>
      <c r="AI34" s="153"/>
      <c r="AJ34" s="153">
        <f>'5'!AJ30/24</f>
        <v>87.64722222</v>
      </c>
      <c r="AK34" s="153"/>
      <c r="AL34" s="153">
        <f>AVERAGE('5'!AL6:AL29)</f>
        <v>0</v>
      </c>
      <c r="AM34" s="153"/>
      <c r="AN34" s="153">
        <f>AVERAGE('5'!AN6:AN29)</f>
        <v>0</v>
      </c>
      <c r="AO34" s="153"/>
      <c r="AP34" s="153">
        <f>AVERAGE('5'!AP6:AP29)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58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359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54.2</v>
      </c>
      <c r="D37" s="76">
        <v>22.1</v>
      </c>
      <c r="E37" s="76">
        <v>18.1</v>
      </c>
      <c r="F37" s="76">
        <v>1.4</v>
      </c>
      <c r="G37" s="76">
        <v>0.2</v>
      </c>
      <c r="H37" s="76">
        <v>0.1</v>
      </c>
      <c r="I37" s="360">
        <v>0.15</v>
      </c>
      <c r="J37" s="360">
        <v>0.06</v>
      </c>
      <c r="K37" s="360">
        <v>0.03</v>
      </c>
      <c r="L37" s="52">
        <v>0.1</v>
      </c>
      <c r="M37" s="106"/>
      <c r="N37" s="157"/>
      <c r="O37" s="51"/>
      <c r="P37" s="51"/>
      <c r="Q37" s="51"/>
      <c r="R37" s="51"/>
      <c r="S37" s="51"/>
      <c r="T37" s="51"/>
      <c r="U37" s="337" t="str">
        <f>'5'!V12</f>
        <v/>
      </c>
      <c r="X37" s="169" t="s">
        <v>75</v>
      </c>
      <c r="Y37" s="128"/>
      <c r="Z37" s="170">
        <f>COUNTA('5'!Z6:Z29)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SUM('5'!AF30+'5'!AH30)*1.0561</f>
        <v>0</v>
      </c>
      <c r="AL38" s="178" t="s">
        <v>78</v>
      </c>
      <c r="AM38" s="179">
        <f>SUM('5'!AL30+'5'!AN30)*1.0561</f>
        <v>0</v>
      </c>
      <c r="AO38" s="178" t="s">
        <v>78</v>
      </c>
      <c r="AP38" s="180">
        <f>'5'!AJ30</f>
        <v>2103.533333</v>
      </c>
      <c r="AQ38" s="178" t="s">
        <v>78</v>
      </c>
      <c r="AR38" s="179">
        <f>'5'!AP30*1.0561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('5'!AK38/'5'!Y30)*1000</f>
        <v>0</v>
      </c>
      <c r="AL39" s="327" t="s">
        <v>86</v>
      </c>
      <c r="AM39" s="328">
        <f>('5'!AM38/'5'!Y30)*1000</f>
        <v>0</v>
      </c>
      <c r="AO39" s="325" t="s">
        <v>86</v>
      </c>
      <c r="AP39" s="326">
        <f>('5'!AP38/'5'!Y30)*1000</f>
        <v>7.466995704</v>
      </c>
      <c r="AQ39" s="327" t="s">
        <v>86</v>
      </c>
      <c r="AR39" s="328">
        <f>('5'!AR38/'5'!Y30)*1000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SUM('5'!AK38,'5'!AM38)</f>
        <v>0</v>
      </c>
      <c r="AM40" s="128"/>
      <c r="AO40" s="210" t="s">
        <v>90</v>
      </c>
      <c r="AP40" s="128"/>
      <c r="AQ40" s="211">
        <f>SUM('5'!AP38,'5'!AR38)</f>
        <v>2103.533333</v>
      </c>
      <c r="AR40" s="128"/>
    </row>
    <row r="41" ht="16.5" customHeight="1">
      <c r="A41" s="212">
        <f>COUNTA('5'!E7:E18)</f>
        <v>12</v>
      </c>
      <c r="B41" s="213">
        <f>COUNTA('5'!I7:I18)</f>
        <v>12</v>
      </c>
      <c r="C41" s="214">
        <f>COUNTA('5'!J7:J18)</f>
        <v>12</v>
      </c>
      <c r="D41" s="80"/>
      <c r="E41" s="214">
        <f>COUNTIF('5'!E7:E18,"&gt;15")</f>
        <v>0</v>
      </c>
      <c r="F41" s="80"/>
      <c r="G41" s="214">
        <f>COUNTIF('5'!J7:J18,"&gt;1")</f>
        <v>0</v>
      </c>
      <c r="H41" s="80"/>
      <c r="I41" s="215"/>
      <c r="J41" s="214">
        <f>'5'!A41-'5'!E41</f>
        <v>12</v>
      </c>
      <c r="K41" s="80"/>
      <c r="L41" s="214">
        <f>'5'!C41-'5'!G41</f>
        <v>12</v>
      </c>
      <c r="M41" s="80"/>
      <c r="N41" s="215"/>
      <c r="O41" s="216">
        <f>COUNTIF('5'!J7:J18,"&lt;=0,5")</f>
        <v>0</v>
      </c>
      <c r="P41" s="217"/>
      <c r="Q41" s="218"/>
      <c r="R41" s="219"/>
      <c r="S41" s="220">
        <f>COUNTIF('5'!J7:J18,"&lt;=1,0")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SUM(('5'!AK38+'5'!AM38)/'5'!Y30)*1000</f>
        <v>0</v>
      </c>
      <c r="AM41" s="128"/>
      <c r="AO41" s="210" t="s">
        <v>91</v>
      </c>
      <c r="AP41" s="128"/>
      <c r="AQ41" s="223">
        <f>SUM(('5'!AP38+'5'!AR38)/'5'!Y30)*1000</f>
        <v>7.466995704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341">
        <f>SUM('5'!Y45,'5'!AA45,'5'!AC45,'5'!AE45)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COUNTIF('5'!I7:I18,"&lt;=5,0")</f>
        <v>12</v>
      </c>
      <c r="I45" s="127"/>
      <c r="J45" s="128"/>
      <c r="K45" s="215"/>
      <c r="L45" s="208">
        <f>COUNTA('5'!L37)</f>
        <v>1</v>
      </c>
      <c r="M45" s="128"/>
      <c r="O45" s="248"/>
      <c r="P45" s="249"/>
      <c r="Q45" s="250">
        <f>'5'!S41-'5'!O41</f>
        <v>12</v>
      </c>
      <c r="R45" s="251"/>
      <c r="S45" s="252"/>
      <c r="T45" s="253"/>
      <c r="X45" s="133" t="s">
        <v>104</v>
      </c>
      <c r="Y45" s="254">
        <f>'5'!Y44*275.3</f>
        <v>0</v>
      </c>
      <c r="Z45" s="133" t="s">
        <v>104</v>
      </c>
      <c r="AA45" s="254">
        <f>262.4*'5'!AA44</f>
        <v>0</v>
      </c>
      <c r="AB45" s="133" t="s">
        <v>104</v>
      </c>
      <c r="AC45" s="254">
        <f>'5'!AC44*277.7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75" customHeight="1">
      <c r="F46" s="257"/>
      <c r="X46" s="196" t="s">
        <v>105</v>
      </c>
      <c r="Y46" s="258">
        <f>'5'!AS6</f>
        <v>1.33</v>
      </c>
      <c r="Z46" s="196" t="s">
        <v>105</v>
      </c>
      <c r="AA46" s="258">
        <f>'5'!Y46</f>
        <v>1.33</v>
      </c>
      <c r="AB46" s="196" t="s">
        <v>105</v>
      </c>
      <c r="AC46" s="258">
        <f>'5'!Y46</f>
        <v>1.33</v>
      </c>
      <c r="AD46" s="196" t="s">
        <v>105</v>
      </c>
      <c r="AE46" s="259">
        <f>'5'!Y46</f>
        <v>1.33</v>
      </c>
      <c r="AF46" s="260" t="s">
        <v>106</v>
      </c>
      <c r="AG46" s="341">
        <f>SUM('5'!Y47,'5'!AA47,'5'!AC47,'5'!AE47)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'5'!Y45*'5'!Y46</f>
        <v>0</v>
      </c>
      <c r="Z47" s="133" t="s">
        <v>108</v>
      </c>
      <c r="AA47" s="254">
        <f>'5'!AA45*'5'!AA46</f>
        <v>0</v>
      </c>
      <c r="AB47" s="133" t="s">
        <v>108</v>
      </c>
      <c r="AC47" s="254">
        <f>'5'!AC45*'5'!AC46</f>
        <v>0</v>
      </c>
      <c r="AD47" s="133" t="s">
        <v>108</v>
      </c>
      <c r="AE47" s="254">
        <f>'5'!AE45*'5'!AE46</f>
        <v>0</v>
      </c>
      <c r="AF47" s="46"/>
      <c r="AG47" s="46"/>
      <c r="AI47" s="133" t="s">
        <v>104</v>
      </c>
      <c r="AJ47" s="254">
        <f>'5'!AJ46*275.3</f>
        <v>0</v>
      </c>
      <c r="AK47" s="133" t="s">
        <v>104</v>
      </c>
      <c r="AL47" s="254">
        <f>262.4*'5'!AL46</f>
        <v>0</v>
      </c>
      <c r="AM47" s="133" t="s">
        <v>104</v>
      </c>
      <c r="AN47" s="254">
        <f>'5'!AN46*277.7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'5'!Y46</f>
        <v>1.33</v>
      </c>
      <c r="AK48" s="265" t="s">
        <v>105</v>
      </c>
      <c r="AL48" s="258">
        <f>'5'!AJ48</f>
        <v>1.33</v>
      </c>
      <c r="AM48" s="265" t="s">
        <v>105</v>
      </c>
      <c r="AN48" s="258">
        <f>'5'!AJ48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'5'!AJ47*'5'!AJ48</f>
        <v>0</v>
      </c>
      <c r="AK49" s="133" t="s">
        <v>108</v>
      </c>
      <c r="AL49" s="254">
        <f>'5'!AL47*'5'!AL48</f>
        <v>0</v>
      </c>
      <c r="AM49" s="133" t="s">
        <v>108</v>
      </c>
      <c r="AN49" s="254">
        <f>'5'!AN47*'5'!AN48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COUNTA('5'!O7:O18)</f>
        <v>12</v>
      </c>
      <c r="P51" s="128"/>
      <c r="R51" s="247">
        <f>COUNTIF('5'!O7:O18,"&gt;=0,5")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SUM('5'!Y53,'5'!AA53,'5'!AC53,'5'!AE53)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'5'!Y52*275.3</f>
        <v>0</v>
      </c>
      <c r="Z53" s="133" t="s">
        <v>104</v>
      </c>
      <c r="AA53" s="254">
        <f>262.4*'5'!AA52</f>
        <v>0</v>
      </c>
      <c r="AB53" s="133" t="s">
        <v>104</v>
      </c>
      <c r="AC53" s="254">
        <f>'5'!AC52*277.7</f>
        <v>0</v>
      </c>
      <c r="AD53" s="133" t="s">
        <v>104</v>
      </c>
      <c r="AE53" s="274">
        <v>0.0</v>
      </c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'5'!AS7</f>
        <v>1.377</v>
      </c>
      <c r="Z54" s="196" t="s">
        <v>105</v>
      </c>
      <c r="AA54" s="258">
        <f>'5'!Y54</f>
        <v>1.377</v>
      </c>
      <c r="AB54" s="196" t="s">
        <v>105</v>
      </c>
      <c r="AC54" s="258">
        <f>'5'!Y54</f>
        <v>1.377</v>
      </c>
      <c r="AD54" s="196" t="s">
        <v>105</v>
      </c>
      <c r="AE54" s="259">
        <f>'5'!Y54</f>
        <v>1.377</v>
      </c>
      <c r="AF54" s="260" t="s">
        <v>106</v>
      </c>
      <c r="AG54" s="261">
        <f>SUM('5'!Y55,'5'!AA55,'5'!AC55,'5'!AE55)</f>
        <v>0</v>
      </c>
      <c r="AI54" s="133" t="s">
        <v>104</v>
      </c>
      <c r="AJ54" s="254">
        <f>'5'!AJ53*275.3</f>
        <v>0</v>
      </c>
      <c r="AK54" s="133" t="s">
        <v>104</v>
      </c>
      <c r="AL54" s="254">
        <f>262.4*'5'!AL53</f>
        <v>0</v>
      </c>
      <c r="AM54" s="133" t="s">
        <v>104</v>
      </c>
      <c r="AN54" s="276">
        <f>'5'!AN53*277.7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'5'!Y53*'5'!Y54</f>
        <v>0</v>
      </c>
      <c r="Z55" s="133" t="s">
        <v>108</v>
      </c>
      <c r="AA55" s="254">
        <f>'5'!AA53*'5'!AA54</f>
        <v>0</v>
      </c>
      <c r="AB55" s="133" t="s">
        <v>108</v>
      </c>
      <c r="AC55" s="254">
        <f>'5'!AC53*'5'!AC54</f>
        <v>0</v>
      </c>
      <c r="AD55" s="133" t="s">
        <v>108</v>
      </c>
      <c r="AE55" s="254">
        <f>'5'!AE53*'5'!AE54</f>
        <v>0</v>
      </c>
      <c r="AF55" s="46"/>
      <c r="AG55" s="46"/>
      <c r="AI55" s="196" t="s">
        <v>105</v>
      </c>
      <c r="AJ55" s="258">
        <f>'5'!Y54</f>
        <v>1.377</v>
      </c>
      <c r="AK55" s="196" t="s">
        <v>105</v>
      </c>
      <c r="AL55" s="258">
        <f>'5'!AJ55</f>
        <v>1.377</v>
      </c>
      <c r="AM55" s="196" t="s">
        <v>105</v>
      </c>
      <c r="AN55" s="258">
        <f>'5'!AJ55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'5'!AJ54*'5'!AJ55</f>
        <v>0</v>
      </c>
      <c r="AK56" s="133" t="s">
        <v>108</v>
      </c>
      <c r="AL56" s="254">
        <f>'5'!AL54*'5'!AL55</f>
        <v>0</v>
      </c>
      <c r="AM56" s="133" t="s">
        <v>108</v>
      </c>
      <c r="AN56" s="254">
        <f>'5'!AN54*'5'!AN55</f>
        <v>0</v>
      </c>
      <c r="AO56" s="16"/>
      <c r="AP56" s="17"/>
      <c r="AQ56" s="17"/>
      <c r="AR56" s="18"/>
    </row>
    <row r="57" ht="15.75" customHeight="1">
      <c r="O57" s="169">
        <f>COUNTA('5'!N7:N18)</f>
        <v>12</v>
      </c>
      <c r="P57" s="128"/>
      <c r="R57" s="277">
        <f>COUNTIF('5'!N7:N18,"&gt;=6")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'5'!AJ56+'5'!AL56+'5'!AN56</f>
        <v>0</v>
      </c>
      <c r="AM61" s="80"/>
      <c r="AN61" s="286" t="s">
        <v>121</v>
      </c>
      <c r="AO61" s="79"/>
      <c r="AP61" s="80"/>
      <c r="AQ61" s="287">
        <f>'5'!AJ49+'5'!AL49+'5'!AN49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'5'!AA32</f>
        <v>49476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/>
      <c r="AE63" s="97"/>
      <c r="AI63" s="286" t="s">
        <v>125</v>
      </c>
      <c r="AJ63" s="79"/>
      <c r="AK63" s="80"/>
      <c r="AL63" s="287">
        <f>'5'!AL61-'5'!AL62</f>
        <v>0</v>
      </c>
      <c r="AM63" s="80"/>
      <c r="AN63" s="286" t="s">
        <v>125</v>
      </c>
      <c r="AO63" s="79"/>
      <c r="AP63" s="80"/>
      <c r="AQ63" s="287">
        <f>'5'!AQ61-'5'!AQ62</f>
        <v>-49476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'4'!$Y$68</f>
        <v>-9010.788835</v>
      </c>
      <c r="Z65" s="43"/>
      <c r="AA65" s="27"/>
      <c r="AB65" s="299" t="s">
        <v>126</v>
      </c>
      <c r="AC65" s="330">
        <f>'4'!$AC$68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>
        <f>SUM('5'!AK38,'5'!AP38)</f>
        <v>2103.533333</v>
      </c>
      <c r="Z67" s="43"/>
      <c r="AA67" s="27"/>
      <c r="AB67" s="296" t="s">
        <v>124</v>
      </c>
      <c r="AC67" s="254">
        <f>SUM('5'!AM38,'5'!AR38)</f>
        <v>0</v>
      </c>
    </row>
    <row r="68" ht="15.75" customHeight="1">
      <c r="X68" s="294" t="s">
        <v>128</v>
      </c>
      <c r="Y68" s="301">
        <f>SUM('5'!Y63,'5'!Y65)-'5'!Y67</f>
        <v>-11114.32217</v>
      </c>
      <c r="Z68" s="16"/>
      <c r="AA68" s="18"/>
      <c r="AB68" s="296" t="s">
        <v>128</v>
      </c>
      <c r="AC68" s="302">
        <f>SUM('5'!AC63,'5'!AC65)-'5'!AC67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1" width="6.14"/>
    <col customWidth="1" min="22" max="24" width="8.57"/>
    <col customWidth="1" min="25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3221.0</v>
      </c>
      <c r="Z6" s="308">
        <v>1550.0</v>
      </c>
      <c r="AA6" s="56">
        <v>1.0</v>
      </c>
      <c r="AB6" s="58">
        <f>IF('6'!AA11=1,(('6'!Z11*'6'!$AS$6*'6'!$AT$6)/('6'!Y11*0.0036)),IF('6'!AA11=2,(('6'!Z11*'6'!$AS$7*'6'!$AT$7)/('6'!Y11*0.0036))))</f>
        <v>84.09555486</v>
      </c>
      <c r="AC6" s="58"/>
      <c r="AD6" s="59">
        <f>(('6'!AC6*'6'!$Q$10*1000000))/('6'!Y6*3600)</f>
        <v>0</v>
      </c>
      <c r="AE6" s="60"/>
      <c r="AF6" s="61">
        <f>('6'!AE6/24)*0.454</f>
        <v>0</v>
      </c>
      <c r="AG6" s="60"/>
      <c r="AH6" s="61">
        <f>('6'!AG6/24)*0.454</f>
        <v>0</v>
      </c>
      <c r="AI6" s="60">
        <v>4400.0</v>
      </c>
      <c r="AJ6" s="61">
        <f>('6'!AI6/24)*0.454</f>
        <v>83.23333333</v>
      </c>
      <c r="AK6" s="64"/>
      <c r="AL6" s="63">
        <f>('6'!AK6/24)*0.454</f>
        <v>0</v>
      </c>
      <c r="AM6" s="62"/>
      <c r="AN6" s="63">
        <f>('6'!AM6/24)*0.454</f>
        <v>0</v>
      </c>
      <c r="AO6" s="64"/>
      <c r="AP6" s="63">
        <f>('6'!AO6/24)*0.454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308">
        <v>286.0</v>
      </c>
      <c r="C7" s="76">
        <v>12.0</v>
      </c>
      <c r="D7" s="76">
        <v>12.0</v>
      </c>
      <c r="E7" s="76">
        <v>6.0</v>
      </c>
      <c r="F7" s="76">
        <v>62.0</v>
      </c>
      <c r="G7" s="76">
        <v>1.8</v>
      </c>
      <c r="H7" s="76">
        <v>1.1</v>
      </c>
      <c r="I7" s="76">
        <v>0.6</v>
      </c>
      <c r="J7" s="76">
        <v>0.6</v>
      </c>
      <c r="K7" s="76">
        <v>7.0</v>
      </c>
      <c r="L7" s="76">
        <v>6.3</v>
      </c>
      <c r="M7" s="76">
        <v>6.3</v>
      </c>
      <c r="N7" s="76">
        <v>6.0</v>
      </c>
      <c r="O7" s="76">
        <v>3.8</v>
      </c>
      <c r="P7" s="76"/>
      <c r="Q7" s="310"/>
      <c r="R7" s="77">
        <f>'5'!$Z$29</f>
        <v>1550</v>
      </c>
      <c r="S7" s="309">
        <f>'5'!$AB$29</f>
        <v>87.90894825</v>
      </c>
      <c r="T7" s="77">
        <f>'5'!$Y$29</f>
        <v>3257</v>
      </c>
      <c r="U7" s="73" t="str">
        <f>IF('6'!AA6=1,'6'!AR6,'6'!AR7)</f>
        <v>S.A.L</v>
      </c>
      <c r="V7" s="74" t="str">
        <f>ESCALA!$B$7</f>
        <v/>
      </c>
      <c r="W7" s="12"/>
      <c r="X7" s="54">
        <v>0.0833333333333333</v>
      </c>
      <c r="Y7" s="125">
        <v>3233.0</v>
      </c>
      <c r="Z7" s="308">
        <v>1550.0</v>
      </c>
      <c r="AA7" s="56">
        <v>1.0</v>
      </c>
      <c r="AB7" s="58">
        <f>IF('6'!AA12=1,(('6'!Z12*'6'!$AS$6*'6'!$AT$6)/('6'!Y12*0.0036)),IF('6'!AA12=2,(('6'!Z12*'6'!$AS$7*'6'!$AT$7)/('6'!Y12*0.0036))))</f>
        <v>84.43783483</v>
      </c>
      <c r="AC7" s="58"/>
      <c r="AD7" s="59">
        <f>(('6'!AC7*'6'!$Q$10*1000000))/('6'!Y7*3600)</f>
        <v>0</v>
      </c>
      <c r="AE7" s="60"/>
      <c r="AF7" s="61">
        <f>('6'!AE7/24)*0.454</f>
        <v>0</v>
      </c>
      <c r="AG7" s="60"/>
      <c r="AH7" s="61">
        <f>('6'!AG7/24)*0.454</f>
        <v>0</v>
      </c>
      <c r="AI7" s="60">
        <v>4400.0</v>
      </c>
      <c r="AJ7" s="61">
        <f>('6'!AI7/24)*0.454</f>
        <v>83.23333333</v>
      </c>
      <c r="AK7" s="64"/>
      <c r="AL7" s="63">
        <f>('6'!AK7/24)*0.454</f>
        <v>0</v>
      </c>
      <c r="AM7" s="62"/>
      <c r="AN7" s="63">
        <f>('6'!AM7/24)*0.454</f>
        <v>0</v>
      </c>
      <c r="AO7" s="64"/>
      <c r="AP7" s="63">
        <f>('6'!AO7/24)*0.454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308">
        <v>281.0</v>
      </c>
      <c r="C8" s="76">
        <v>12.0</v>
      </c>
      <c r="D8" s="76">
        <v>11.0</v>
      </c>
      <c r="E8" s="76">
        <v>6.0</v>
      </c>
      <c r="F8" s="76">
        <v>57.0</v>
      </c>
      <c r="G8" s="76">
        <v>1.6</v>
      </c>
      <c r="H8" s="76">
        <v>1.1</v>
      </c>
      <c r="I8" s="76">
        <v>0.6</v>
      </c>
      <c r="J8" s="76">
        <v>0.6</v>
      </c>
      <c r="K8" s="76">
        <v>7.0</v>
      </c>
      <c r="L8" s="76">
        <v>6.3</v>
      </c>
      <c r="M8" s="76">
        <v>6.3</v>
      </c>
      <c r="N8" s="76">
        <v>6.0</v>
      </c>
      <c r="O8" s="76">
        <v>3.6</v>
      </c>
      <c r="P8" s="76"/>
      <c r="Q8" s="310"/>
      <c r="R8" s="75">
        <f>'6'!Z7</f>
        <v>1550</v>
      </c>
      <c r="S8" s="76">
        <f>'6'!AB7</f>
        <v>84.43783483</v>
      </c>
      <c r="T8" s="77">
        <f>'6'!Y7</f>
        <v>3233</v>
      </c>
      <c r="U8" s="73" t="str">
        <f>IF('6'!AA7=1,'6'!AR6,'6'!AR7)</f>
        <v>S.A.L</v>
      </c>
      <c r="V8" s="43"/>
      <c r="W8" s="27"/>
      <c r="X8" s="54">
        <v>0.125</v>
      </c>
      <c r="Y8" s="125">
        <v>3208.0</v>
      </c>
      <c r="Z8" s="308">
        <v>1550.0</v>
      </c>
      <c r="AA8" s="56">
        <v>1.0</v>
      </c>
      <c r="AB8" s="58">
        <f>IF('6'!AA13=1,(('6'!Z13*'6'!$AS$6*'6'!$AT$6)/('6'!Y13*0.0036)),IF('6'!AA13=2,(('6'!Z13*'6'!$AS$7*'6'!$AT$7)/('6'!Y13*0.0036))))</f>
        <v>84.40533772</v>
      </c>
      <c r="AC8" s="58"/>
      <c r="AD8" s="59">
        <f>(('6'!AC8*'6'!$Q$10*1000000))/('6'!Y8*3600)</f>
        <v>0</v>
      </c>
      <c r="AE8" s="60"/>
      <c r="AF8" s="61">
        <f>('6'!AE8/24)*0.454</f>
        <v>0</v>
      </c>
      <c r="AG8" s="60"/>
      <c r="AH8" s="61">
        <f>('6'!AG8/24)*0.454</f>
        <v>0</v>
      </c>
      <c r="AI8" s="60">
        <v>4400.0</v>
      </c>
      <c r="AJ8" s="61">
        <f>('6'!AI8/24)*0.454</f>
        <v>83.23333333</v>
      </c>
      <c r="AK8" s="64"/>
      <c r="AL8" s="63">
        <f>('6'!AK8/24)*0.454</f>
        <v>0</v>
      </c>
      <c r="AM8" s="62"/>
      <c r="AN8" s="63">
        <f>('6'!AM8/24)*0.454</f>
        <v>0</v>
      </c>
      <c r="AO8" s="64"/>
      <c r="AP8" s="63">
        <f>('6'!AO8/24)*0.454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308">
        <v>275.0</v>
      </c>
      <c r="C9" s="76">
        <v>11.0</v>
      </c>
      <c r="D9" s="76">
        <v>10.0</v>
      </c>
      <c r="E9" s="76">
        <v>5.0</v>
      </c>
      <c r="F9" s="76">
        <v>54.0</v>
      </c>
      <c r="G9" s="76">
        <v>1.3</v>
      </c>
      <c r="H9" s="76">
        <v>1.0</v>
      </c>
      <c r="I9" s="76">
        <v>0.5</v>
      </c>
      <c r="J9" s="76">
        <v>0.5</v>
      </c>
      <c r="K9" s="76">
        <v>7.0</v>
      </c>
      <c r="L9" s="76">
        <v>6.3</v>
      </c>
      <c r="M9" s="76">
        <v>6.3</v>
      </c>
      <c r="N9" s="76">
        <v>6.0</v>
      </c>
      <c r="O9" s="76">
        <v>3.5</v>
      </c>
      <c r="P9" s="76"/>
      <c r="Q9" s="310"/>
      <c r="R9" s="77">
        <f>'6'!Z9</f>
        <v>1460</v>
      </c>
      <c r="S9" s="76">
        <f>'6'!AB9</f>
        <v>84.92975734</v>
      </c>
      <c r="T9" s="77">
        <f>'6'!Y9</f>
        <v>3245</v>
      </c>
      <c r="U9" s="73" t="str">
        <f>IF('6'!AA9=1,'6'!AR6,'6'!AR7)</f>
        <v>S.A.L</v>
      </c>
      <c r="V9" s="43"/>
      <c r="W9" s="27"/>
      <c r="X9" s="54">
        <v>0.166666666666667</v>
      </c>
      <c r="Y9" s="125">
        <v>3245.0</v>
      </c>
      <c r="Z9" s="308">
        <v>1460.0</v>
      </c>
      <c r="AA9" s="56">
        <v>1.0</v>
      </c>
      <c r="AB9" s="58">
        <f>IF('6'!AA14=1,(('6'!Z14*'6'!$AS$6*'6'!$AT$6)/('6'!Y14*0.0036)),IF('6'!AA14=2,(('6'!Z14*'6'!$AS$7*'6'!$AT$7)/('6'!Y14*0.0036))))</f>
        <v>84.92975734</v>
      </c>
      <c r="AC9" s="58"/>
      <c r="AD9" s="59">
        <f>(('6'!AC9*'6'!$Q$10*1000000))/('6'!Y9*3600)</f>
        <v>0</v>
      </c>
      <c r="AE9" s="60"/>
      <c r="AF9" s="61">
        <f>('6'!AE9/24)*0.454</f>
        <v>0</v>
      </c>
      <c r="AG9" s="60"/>
      <c r="AH9" s="61">
        <f>('6'!AG9/24)*0.454</f>
        <v>0</v>
      </c>
      <c r="AI9" s="60">
        <v>4400.0</v>
      </c>
      <c r="AJ9" s="61">
        <f>('6'!AI9/24)*0.454</f>
        <v>83.23333333</v>
      </c>
      <c r="AK9" s="64"/>
      <c r="AL9" s="63">
        <f>('6'!AK9/24)*0.454</f>
        <v>0</v>
      </c>
      <c r="AM9" s="62"/>
      <c r="AN9" s="63">
        <f>('6'!AM9/24)*0.454</f>
        <v>0</v>
      </c>
      <c r="AO9" s="64"/>
      <c r="AP9" s="63">
        <f>('6'!AO9/24)*0.454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308">
        <v>270.0</v>
      </c>
      <c r="C10" s="76">
        <v>11.0</v>
      </c>
      <c r="D10" s="76">
        <v>10.0</v>
      </c>
      <c r="E10" s="76">
        <v>4.0</v>
      </c>
      <c r="F10" s="76">
        <v>50.0</v>
      </c>
      <c r="G10" s="76">
        <v>1.2</v>
      </c>
      <c r="H10" s="76">
        <v>1.0</v>
      </c>
      <c r="I10" s="76">
        <v>0.5</v>
      </c>
      <c r="J10" s="76">
        <v>0.5</v>
      </c>
      <c r="K10" s="76">
        <v>7.0</v>
      </c>
      <c r="L10" s="76">
        <v>6.3</v>
      </c>
      <c r="M10" s="76">
        <v>6.3</v>
      </c>
      <c r="N10" s="76">
        <v>6.0</v>
      </c>
      <c r="O10" s="76">
        <v>3.2</v>
      </c>
      <c r="P10" s="76"/>
      <c r="Q10" s="310"/>
      <c r="R10" s="77">
        <f>'6'!Z11</f>
        <v>1460</v>
      </c>
      <c r="S10" s="76">
        <f>'6'!AB11</f>
        <v>84.09555486</v>
      </c>
      <c r="T10" s="77">
        <f>'6'!Y11</f>
        <v>3207</v>
      </c>
      <c r="U10" s="73" t="str">
        <f>IF('6'!AA11=1,'6'!AR6,'6'!AR7)</f>
        <v>S.A.L</v>
      </c>
      <c r="V10" s="43"/>
      <c r="W10" s="27"/>
      <c r="X10" s="54">
        <v>0.208333333333333</v>
      </c>
      <c r="Y10" s="125">
        <v>3253.0</v>
      </c>
      <c r="Z10" s="308">
        <v>1460.0</v>
      </c>
      <c r="AA10" s="56">
        <v>1.0</v>
      </c>
      <c r="AB10" s="58">
        <f>IF('6'!AA15=1,(('6'!Z15*'6'!$AS$6*'6'!$AT$6)/('6'!Y15*0.0036)),IF('6'!AA15=2,(('6'!Z15*'6'!$AS$7*'6'!$AT$7)/('6'!Y15*0.0036))))</f>
        <v>84.22331759</v>
      </c>
      <c r="AC10" s="58"/>
      <c r="AD10" s="59">
        <f>(('6'!AC10*'6'!$Q$10*1000000))/('6'!Y10*3600)</f>
        <v>0</v>
      </c>
      <c r="AE10" s="60"/>
      <c r="AF10" s="61">
        <f>('6'!AE10/24)*0.454</f>
        <v>0</v>
      </c>
      <c r="AG10" s="60"/>
      <c r="AH10" s="61">
        <f>('6'!AG10/24)*0.454</f>
        <v>0</v>
      </c>
      <c r="AI10" s="60">
        <v>4400.0</v>
      </c>
      <c r="AJ10" s="61">
        <f>('6'!AI10/24)*0.454</f>
        <v>83.23333333</v>
      </c>
      <c r="AK10" s="64"/>
      <c r="AL10" s="63">
        <f>('6'!AK10/24)*0.454</f>
        <v>0</v>
      </c>
      <c r="AM10" s="62"/>
      <c r="AN10" s="63">
        <f>('6'!AM10/24)*0.454</f>
        <v>0</v>
      </c>
      <c r="AO10" s="64"/>
      <c r="AP10" s="63">
        <f>('6'!AO10/24)*0.454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308">
        <v>230.0</v>
      </c>
      <c r="C11" s="76">
        <v>12.1</v>
      </c>
      <c r="D11" s="76">
        <v>10.6</v>
      </c>
      <c r="E11" s="76">
        <v>4.2</v>
      </c>
      <c r="F11" s="76">
        <v>49.6</v>
      </c>
      <c r="G11" s="76">
        <v>1.3</v>
      </c>
      <c r="H11" s="76">
        <v>1.3</v>
      </c>
      <c r="I11" s="76">
        <v>0.5</v>
      </c>
      <c r="J11" s="76">
        <v>0.5</v>
      </c>
      <c r="K11" s="76">
        <v>7.1</v>
      </c>
      <c r="L11" s="76">
        <v>6.4</v>
      </c>
      <c r="M11" s="76">
        <v>6.4</v>
      </c>
      <c r="N11" s="76">
        <v>6.1</v>
      </c>
      <c r="O11" s="76">
        <v>2.8</v>
      </c>
      <c r="P11" s="76"/>
      <c r="Q11" s="310"/>
      <c r="R11" s="77">
        <f>'6'!Z13</f>
        <v>1480</v>
      </c>
      <c r="S11" s="76">
        <f>'6'!AB13</f>
        <v>84.40533772</v>
      </c>
      <c r="T11" s="77">
        <f>'6'!Y13</f>
        <v>3239</v>
      </c>
      <c r="U11" s="73" t="str">
        <f>IF('6'!AA13=1,'6'!AR6,'6'!AR7)</f>
        <v>S.A.L</v>
      </c>
      <c r="V11" s="16"/>
      <c r="W11" s="18"/>
      <c r="X11" s="54">
        <v>0.25</v>
      </c>
      <c r="Y11" s="125">
        <v>3207.0</v>
      </c>
      <c r="Z11" s="308">
        <v>1460.0</v>
      </c>
      <c r="AA11" s="56">
        <v>1.0</v>
      </c>
      <c r="AB11" s="58">
        <f>IF('6'!AA11=1,(('6'!Z11*'6'!$AS$6*'6'!$AT$6)/('6'!Y11*0.0036)),IF('6'!AA11=2,(('6'!Z11*'6'!$AS$7*'6'!$AT$7)/('6'!Y11*0.0036))))</f>
        <v>84.09555486</v>
      </c>
      <c r="AC11" s="58"/>
      <c r="AD11" s="59">
        <f>(('6'!AC11*'6'!$Q$10*1000000))/('6'!Y11*3600)</f>
        <v>0</v>
      </c>
      <c r="AE11" s="60"/>
      <c r="AF11" s="61">
        <f>('6'!AE11/24)*0.454</f>
        <v>0</v>
      </c>
      <c r="AG11" s="60"/>
      <c r="AH11" s="61">
        <f>('6'!AG11/24)*0.454</f>
        <v>0</v>
      </c>
      <c r="AI11" s="60">
        <v>4400.0</v>
      </c>
      <c r="AJ11" s="61">
        <f>('6'!AI11/24)*0.454</f>
        <v>83.23333333</v>
      </c>
      <c r="AK11" s="64"/>
      <c r="AL11" s="63">
        <f>('6'!AK11/24)*0.454</f>
        <v>0</v>
      </c>
      <c r="AM11" s="62"/>
      <c r="AN11" s="63">
        <f>('6'!AM11/24)*0.454</f>
        <v>0</v>
      </c>
      <c r="AO11" s="64"/>
      <c r="AP11" s="63">
        <f>('6'!AO11/24)*0.454</f>
        <v>0</v>
      </c>
    </row>
    <row r="12" ht="18.75" customHeight="1">
      <c r="A12" s="69">
        <v>0.416666666666667</v>
      </c>
      <c r="B12" s="308">
        <v>183.0</v>
      </c>
      <c r="C12" s="76">
        <v>12.9</v>
      </c>
      <c r="D12" s="76">
        <v>11.3</v>
      </c>
      <c r="E12" s="76">
        <v>4.3</v>
      </c>
      <c r="F12" s="76">
        <v>47.6</v>
      </c>
      <c r="G12" s="76">
        <v>1.4</v>
      </c>
      <c r="H12" s="76">
        <v>1.5</v>
      </c>
      <c r="I12" s="76">
        <v>0.5</v>
      </c>
      <c r="J12" s="76">
        <v>0.6</v>
      </c>
      <c r="K12" s="76">
        <v>7.1</v>
      </c>
      <c r="L12" s="76">
        <v>6.5</v>
      </c>
      <c r="M12" s="76">
        <v>6.5</v>
      </c>
      <c r="N12" s="76">
        <v>6.1</v>
      </c>
      <c r="O12" s="76">
        <v>2.6</v>
      </c>
      <c r="P12" s="76"/>
      <c r="Q12" s="310"/>
      <c r="R12" s="77">
        <f>'6'!Z15</f>
        <v>1480</v>
      </c>
      <c r="S12" s="76">
        <f>'6'!AB15</f>
        <v>84.22331759</v>
      </c>
      <c r="T12" s="77">
        <f>'6'!Y15</f>
        <v>3246</v>
      </c>
      <c r="U12" s="73" t="str">
        <f>IF('6'!AA15=1,'6'!AR6,'6'!AR7)</f>
        <v>S.A.L</v>
      </c>
      <c r="V12" s="88" t="str">
        <f>ESCALA!$B$8</f>
        <v/>
      </c>
      <c r="W12" s="89"/>
      <c r="X12" s="54">
        <v>0.291666666666667</v>
      </c>
      <c r="Y12" s="125">
        <v>3194.0</v>
      </c>
      <c r="Z12" s="308">
        <v>1460.0</v>
      </c>
      <c r="AA12" s="56">
        <v>1.0</v>
      </c>
      <c r="AB12" s="58">
        <f>IF('6'!AA12=1,(('6'!Z12*'6'!$AS$6*'6'!$AT$6)/('6'!Y12*0.0036)),IF('6'!AA12=2,(('6'!Z12*'6'!$AS$7*'6'!$AT$7)/('6'!Y12*0.0036))))</f>
        <v>84.43783483</v>
      </c>
      <c r="AD12" s="59">
        <f>(('6'!AC15*'6'!$Q$10*1000000))/('6'!Y12*3600)</f>
        <v>0</v>
      </c>
      <c r="AE12" s="60"/>
      <c r="AF12" s="61">
        <f>('6'!AE12/24)*0.454</f>
        <v>0</v>
      </c>
      <c r="AG12" s="60"/>
      <c r="AH12" s="61">
        <f>('6'!AG12/24)*0.454</f>
        <v>0</v>
      </c>
      <c r="AI12" s="60">
        <v>4400.0</v>
      </c>
      <c r="AJ12" s="61">
        <f>('6'!AI12/24)*0.454</f>
        <v>83.23333333</v>
      </c>
      <c r="AK12" s="64"/>
      <c r="AL12" s="63">
        <f>('6'!AK12/24)*0.454</f>
        <v>0</v>
      </c>
      <c r="AM12" s="62"/>
      <c r="AN12" s="63">
        <f>('6'!AM12/24)*0.454</f>
        <v>0</v>
      </c>
      <c r="AO12" s="64"/>
      <c r="AP12" s="63">
        <f>('6'!AO12/24)*0.454</f>
        <v>0</v>
      </c>
    </row>
    <row r="13" ht="18.75" customHeight="1">
      <c r="A13" s="69">
        <v>0.5</v>
      </c>
      <c r="B13" s="308">
        <v>124.0</v>
      </c>
      <c r="C13" s="76">
        <v>13.5</v>
      </c>
      <c r="D13" s="76">
        <v>11.9</v>
      </c>
      <c r="E13" s="76">
        <v>4.5</v>
      </c>
      <c r="F13" s="76">
        <v>46.4</v>
      </c>
      <c r="G13" s="76">
        <v>1.5</v>
      </c>
      <c r="H13" s="76">
        <v>1.7</v>
      </c>
      <c r="I13" s="76">
        <v>0.5</v>
      </c>
      <c r="J13" s="76">
        <v>0.6</v>
      </c>
      <c r="K13" s="76">
        <v>7.1</v>
      </c>
      <c r="L13" s="76">
        <v>6.5</v>
      </c>
      <c r="M13" s="76">
        <v>6.5</v>
      </c>
      <c r="N13" s="76">
        <v>6.1</v>
      </c>
      <c r="O13" s="76">
        <v>2.2</v>
      </c>
      <c r="P13" s="76"/>
      <c r="Q13" s="310"/>
      <c r="R13" s="77">
        <f>'6'!Z17</f>
        <v>1480</v>
      </c>
      <c r="S13" s="76">
        <f>'6'!AB17</f>
        <v>84.06792401</v>
      </c>
      <c r="T13" s="77">
        <f>'6'!Y17</f>
        <v>3252</v>
      </c>
      <c r="U13" s="73" t="str">
        <f>IF('6'!AA17=1,'6'!AR6,'6'!AR7)</f>
        <v>S.A.L</v>
      </c>
      <c r="V13" s="43"/>
      <c r="W13" s="27"/>
      <c r="X13" s="54">
        <v>0.333333333333333</v>
      </c>
      <c r="Y13" s="125">
        <v>3239.0</v>
      </c>
      <c r="Z13" s="308">
        <v>1480.0</v>
      </c>
      <c r="AA13" s="56">
        <v>1.0</v>
      </c>
      <c r="AB13" s="58">
        <f>IF('6'!AA13=1,(('6'!Z13*'6'!$AS$6*'6'!$AT$6)/('6'!Y13*0.0036)),IF('6'!AA13=2,(('6'!Z13*'6'!$AS$7*'6'!$AT$7)/('6'!Y13*0.0036))))</f>
        <v>84.40533772</v>
      </c>
      <c r="AD13" s="59">
        <f>(('6'!AC16*'6'!$Q$10*1000000))/('6'!Y13*3600)</f>
        <v>0</v>
      </c>
      <c r="AE13" s="60"/>
      <c r="AF13" s="61">
        <f>('6'!AE13/24)*0.454</f>
        <v>0</v>
      </c>
      <c r="AG13" s="60"/>
      <c r="AH13" s="61">
        <f>('6'!AG13/24)*0.454</f>
        <v>0</v>
      </c>
      <c r="AI13" s="60">
        <v>4400.0</v>
      </c>
      <c r="AJ13" s="61">
        <f>('6'!AI13/24)*0.454</f>
        <v>83.23333333</v>
      </c>
      <c r="AK13" s="64"/>
      <c r="AL13" s="63">
        <f>('6'!AK13/24)*0.454</f>
        <v>0</v>
      </c>
      <c r="AM13" s="62"/>
      <c r="AN13" s="63">
        <f>('6'!AM13/24)*0.454</f>
        <v>0</v>
      </c>
      <c r="AO13" s="64"/>
      <c r="AP13" s="63">
        <f>('6'!AO13/24)*0.454</f>
        <v>0</v>
      </c>
    </row>
    <row r="14" ht="18.75" customHeight="1">
      <c r="A14" s="69">
        <v>0.583333333333333</v>
      </c>
      <c r="B14" s="308">
        <v>126.0</v>
      </c>
      <c r="C14" s="76">
        <v>13.0</v>
      </c>
      <c r="D14" s="76">
        <v>12.3</v>
      </c>
      <c r="E14" s="76">
        <v>4.0</v>
      </c>
      <c r="F14" s="76">
        <v>47.6</v>
      </c>
      <c r="G14" s="76">
        <v>1.5</v>
      </c>
      <c r="H14" s="76">
        <v>1.6</v>
      </c>
      <c r="I14" s="76">
        <v>0.6</v>
      </c>
      <c r="J14" s="76">
        <v>0.7</v>
      </c>
      <c r="K14" s="76">
        <v>7.1</v>
      </c>
      <c r="L14" s="76">
        <v>6.5</v>
      </c>
      <c r="M14" s="76">
        <v>6.4</v>
      </c>
      <c r="N14" s="76">
        <v>6.1</v>
      </c>
      <c r="O14" s="76">
        <v>2.8</v>
      </c>
      <c r="P14" s="76"/>
      <c r="Q14" s="310"/>
      <c r="R14" s="77">
        <f>'6'!Z19</f>
        <v>1480</v>
      </c>
      <c r="S14" s="76">
        <f>'6'!AB19</f>
        <v>85.08835633</v>
      </c>
      <c r="T14" s="77">
        <f>'6'!Y19</f>
        <v>3213</v>
      </c>
      <c r="U14" s="73" t="str">
        <f>IF('6'!AA19=1,'6'!AR6,'6'!AR7)</f>
        <v>S.A.L</v>
      </c>
      <c r="V14" s="43"/>
      <c r="W14" s="27"/>
      <c r="X14" s="54">
        <v>0.375</v>
      </c>
      <c r="Y14" s="125">
        <v>3219.0</v>
      </c>
      <c r="Z14" s="308">
        <v>1480.0</v>
      </c>
      <c r="AA14" s="56">
        <v>1.0</v>
      </c>
      <c r="AB14" s="58">
        <f>IF('6'!AA14=1,(('6'!Z14*'6'!$AS$6*'6'!$AT$6)/('6'!Y14*0.0036)),IF('6'!AA14=2,(('6'!Z14*'6'!$AS$7*'6'!$AT$7)/('6'!Y14*0.0036))))</f>
        <v>84.92975734</v>
      </c>
      <c r="AC14" s="58"/>
      <c r="AD14" s="59">
        <f>(('6'!AC14*'6'!$Q$10*1000000))/('6'!Y14*3600)</f>
        <v>0</v>
      </c>
      <c r="AE14" s="60"/>
      <c r="AF14" s="61">
        <f>('6'!AE14/24)*0.454</f>
        <v>0</v>
      </c>
      <c r="AG14" s="60"/>
      <c r="AH14" s="61">
        <f>('6'!AG14/24)*0.454</f>
        <v>0</v>
      </c>
      <c r="AI14" s="60">
        <v>4400.0</v>
      </c>
      <c r="AJ14" s="61">
        <f>('6'!AI14/24)*0.454</f>
        <v>83.23333333</v>
      </c>
      <c r="AK14" s="64"/>
      <c r="AL14" s="63">
        <f>('6'!AK14/24)*0.454</f>
        <v>0</v>
      </c>
      <c r="AM14" s="62"/>
      <c r="AN14" s="63">
        <f>('6'!AM14/24)*0.454</f>
        <v>0</v>
      </c>
      <c r="AO14" s="64"/>
      <c r="AP14" s="63">
        <f>('6'!AO14/24)*0.454</f>
        <v>0</v>
      </c>
    </row>
    <row r="15" ht="18.75" customHeight="1">
      <c r="A15" s="69">
        <v>0.666666666666667</v>
      </c>
      <c r="B15" s="308">
        <v>183.0</v>
      </c>
      <c r="C15" s="76">
        <v>12.0</v>
      </c>
      <c r="D15" s="76">
        <v>13.8</v>
      </c>
      <c r="E15" s="76">
        <v>3.1</v>
      </c>
      <c r="F15" s="76">
        <v>49.2</v>
      </c>
      <c r="G15" s="76">
        <v>1.6</v>
      </c>
      <c r="H15" s="76">
        <v>1.6</v>
      </c>
      <c r="I15" s="76">
        <v>0.6</v>
      </c>
      <c r="J15" s="76">
        <v>0.7</v>
      </c>
      <c r="K15" s="76">
        <v>7.1</v>
      </c>
      <c r="L15" s="76">
        <v>6.5</v>
      </c>
      <c r="M15" s="76">
        <v>6.4</v>
      </c>
      <c r="N15" s="76">
        <v>6.1</v>
      </c>
      <c r="O15" s="76">
        <v>3.0</v>
      </c>
      <c r="P15" s="76"/>
      <c r="Q15" s="310"/>
      <c r="R15" s="77">
        <f>'6'!Z21</f>
        <v>1480</v>
      </c>
      <c r="S15" s="76">
        <f>'6'!AB21</f>
        <v>84.87702232</v>
      </c>
      <c r="T15" s="77">
        <f>'6'!Y21</f>
        <v>3221</v>
      </c>
      <c r="U15" s="73" t="str">
        <f>IF('6'!AA21=1,'6'!AR6,'6'!AR7)</f>
        <v>S.A.L</v>
      </c>
      <c r="V15" s="43"/>
      <c r="W15" s="27"/>
      <c r="X15" s="54">
        <v>0.416666666666667</v>
      </c>
      <c r="Y15" s="125">
        <v>3246.0</v>
      </c>
      <c r="Z15" s="308">
        <v>1480.0</v>
      </c>
      <c r="AA15" s="56">
        <v>1.0</v>
      </c>
      <c r="AB15" s="58">
        <f>IF('6'!AA15=1,(('6'!Z15*'6'!$AS$6*'6'!$AT$6)/('6'!Y15*0.0036)),IF('6'!AA15=2,(('6'!Z15*'6'!$AS$7*'6'!$AT$7)/('6'!Y15*0.0036))))</f>
        <v>84.22331759</v>
      </c>
      <c r="AC15" s="58"/>
      <c r="AD15" s="59">
        <f>(('6'!AC15*'6'!$Q$10*1000000))/('6'!Y15*3600)</f>
        <v>0</v>
      </c>
      <c r="AE15" s="60"/>
      <c r="AF15" s="61">
        <f>('6'!AE15/24)*0.454</f>
        <v>0</v>
      </c>
      <c r="AG15" s="60"/>
      <c r="AH15" s="61">
        <f>('6'!AG15/24)*0.454</f>
        <v>0</v>
      </c>
      <c r="AI15" s="60">
        <v>4400.0</v>
      </c>
      <c r="AJ15" s="61">
        <f>('6'!AI15/24)*0.454</f>
        <v>83.23333333</v>
      </c>
      <c r="AK15" s="64"/>
      <c r="AL15" s="63">
        <f>('6'!AK15/24)*0.454</f>
        <v>0</v>
      </c>
      <c r="AM15" s="62"/>
      <c r="AN15" s="63">
        <f>('6'!AM15/24)*0.454</f>
        <v>0</v>
      </c>
      <c r="AO15" s="64"/>
      <c r="AP15" s="63">
        <f>('6'!AO15/24)*0.454</f>
        <v>0</v>
      </c>
    </row>
    <row r="16" ht="18.75" customHeight="1">
      <c r="A16" s="69">
        <v>0.75</v>
      </c>
      <c r="B16" s="308">
        <v>192.0</v>
      </c>
      <c r="C16" s="76">
        <v>12.1</v>
      </c>
      <c r="D16" s="76">
        <v>12.9</v>
      </c>
      <c r="E16" s="76">
        <v>5.6</v>
      </c>
      <c r="F16" s="76">
        <v>49.6</v>
      </c>
      <c r="G16" s="76">
        <v>1.3</v>
      </c>
      <c r="H16" s="76">
        <v>1.4</v>
      </c>
      <c r="I16" s="76">
        <v>0.6</v>
      </c>
      <c r="J16" s="76">
        <v>0.6</v>
      </c>
      <c r="K16" s="76">
        <v>7.0</v>
      </c>
      <c r="L16" s="76">
        <v>6.3</v>
      </c>
      <c r="M16" s="76">
        <v>6.3</v>
      </c>
      <c r="N16" s="76">
        <v>6.1</v>
      </c>
      <c r="O16" s="76">
        <v>3.4</v>
      </c>
      <c r="P16" s="76"/>
      <c r="Q16" s="310"/>
      <c r="R16" s="77">
        <f>'6'!Z23</f>
        <v>1480</v>
      </c>
      <c r="S16" s="76">
        <f>'6'!AB23</f>
        <v>84.30123</v>
      </c>
      <c r="T16" s="77">
        <f>'6'!Y23</f>
        <v>3243</v>
      </c>
      <c r="U16" s="73" t="str">
        <f>IF('6'!AA23=1,'6'!AR6,'6'!AR7)</f>
        <v>S.A.L</v>
      </c>
      <c r="V16" s="16"/>
      <c r="W16" s="18"/>
      <c r="X16" s="54">
        <v>0.458333333333333</v>
      </c>
      <c r="Y16" s="125">
        <v>3278.0</v>
      </c>
      <c r="Z16" s="308">
        <v>1480.0</v>
      </c>
      <c r="AA16" s="56">
        <v>1.0</v>
      </c>
      <c r="AB16" s="58">
        <f>IF('6'!AA16=1,(('6'!Z16*'6'!$AS$6*'6'!$AT$6)/('6'!Y16*0.0036)),IF('6'!AA16=2,(('6'!Z16*'6'!$AS$7*'6'!$AT$7)/('6'!Y16*0.0036))))</f>
        <v>83.40112535</v>
      </c>
      <c r="AC16" s="58"/>
      <c r="AD16" s="59">
        <f>(('6'!AC16*'6'!$Q$10*1000000))/('6'!Y16*3600)</f>
        <v>0</v>
      </c>
      <c r="AE16" s="60"/>
      <c r="AF16" s="61">
        <f>('6'!AE16/24)*0.454</f>
        <v>0</v>
      </c>
      <c r="AG16" s="60"/>
      <c r="AH16" s="61">
        <f>('6'!AG16/24)*0.454</f>
        <v>0</v>
      </c>
      <c r="AI16" s="60">
        <v>4400.0</v>
      </c>
      <c r="AJ16" s="61">
        <f>('6'!AI16/24)*0.454</f>
        <v>83.23333333</v>
      </c>
      <c r="AK16" s="64"/>
      <c r="AL16" s="63">
        <f>('6'!AK16/24)*0.454</f>
        <v>0</v>
      </c>
      <c r="AM16" s="62"/>
      <c r="AN16" s="63">
        <f>('6'!AM16/24)*0.454</f>
        <v>0</v>
      </c>
      <c r="AO16" s="64"/>
      <c r="AP16" s="63">
        <f>('6'!AO16/24)*0.454</f>
        <v>0</v>
      </c>
    </row>
    <row r="17" ht="18.75" customHeight="1">
      <c r="A17" s="69">
        <v>0.833333333333333</v>
      </c>
      <c r="B17" s="308">
        <v>245.0</v>
      </c>
      <c r="C17" s="76">
        <v>12.3</v>
      </c>
      <c r="D17" s="76">
        <v>12.4</v>
      </c>
      <c r="E17" s="76">
        <v>6.8</v>
      </c>
      <c r="F17" s="76">
        <v>49.8</v>
      </c>
      <c r="G17" s="76">
        <v>1.3</v>
      </c>
      <c r="H17" s="76">
        <v>1.1</v>
      </c>
      <c r="I17" s="76">
        <v>0.5</v>
      </c>
      <c r="J17" s="76">
        <v>0.6</v>
      </c>
      <c r="K17" s="76">
        <v>6.8</v>
      </c>
      <c r="L17" s="76">
        <v>6.2</v>
      </c>
      <c r="M17" s="76">
        <v>6.3</v>
      </c>
      <c r="N17" s="76">
        <v>6.1</v>
      </c>
      <c r="O17" s="76">
        <v>3.6</v>
      </c>
      <c r="P17" s="76"/>
      <c r="Q17" s="310"/>
      <c r="R17" s="77">
        <f>'6'!Z25</f>
        <v>1480</v>
      </c>
      <c r="S17" s="76">
        <f>'6'!AB25</f>
        <v>85.06188204</v>
      </c>
      <c r="T17" s="77">
        <f>'6'!Y25</f>
        <v>3214</v>
      </c>
      <c r="U17" s="73" t="str">
        <f>IF('6'!AA24=1,'6'!AR6,'6'!AR7)</f>
        <v>S.A.L</v>
      </c>
      <c r="V17" s="90" t="str">
        <f>ESCALA!$C$8</f>
        <v/>
      </c>
      <c r="W17" s="89"/>
      <c r="X17" s="54">
        <v>0.5</v>
      </c>
      <c r="Y17" s="125">
        <v>3252.0</v>
      </c>
      <c r="Z17" s="308">
        <v>1480.0</v>
      </c>
      <c r="AA17" s="56">
        <v>1.0</v>
      </c>
      <c r="AB17" s="58">
        <f>IF('6'!AA17=1,(('6'!Z17*'6'!$AS$6*'6'!$AT$6)/('6'!Y17*0.0036)),IF('6'!AA17=2,(('6'!Z17*'6'!$AS$7*'6'!$AT$7)/('6'!Y17*0.0036))))</f>
        <v>84.06792401</v>
      </c>
      <c r="AC17" s="58"/>
      <c r="AD17" s="59">
        <f>(('6'!AC17*'6'!$Q$10*1000000))/('6'!Y17*3600)</f>
        <v>0</v>
      </c>
      <c r="AE17" s="60"/>
      <c r="AF17" s="61">
        <f>('6'!AE17/24)*0.454</f>
        <v>0</v>
      </c>
      <c r="AG17" s="60"/>
      <c r="AH17" s="61">
        <f>('6'!AG17/24)*0.454</f>
        <v>0</v>
      </c>
      <c r="AI17" s="60">
        <v>4400.0</v>
      </c>
      <c r="AJ17" s="61">
        <f>('6'!AI17/24)*0.454</f>
        <v>83.23333333</v>
      </c>
      <c r="AK17" s="64"/>
      <c r="AL17" s="63">
        <f>('6'!AK17/24)*0.454</f>
        <v>0</v>
      </c>
      <c r="AM17" s="62"/>
      <c r="AN17" s="63">
        <f>('6'!AM17/24)*0.454</f>
        <v>0</v>
      </c>
      <c r="AO17" s="64"/>
      <c r="AP17" s="63">
        <f>('6'!AO17/24)*0.454</f>
        <v>0</v>
      </c>
    </row>
    <row r="18" ht="19.5" customHeight="1">
      <c r="A18" s="69">
        <v>0.916666666666667</v>
      </c>
      <c r="B18" s="308">
        <v>223.0</v>
      </c>
      <c r="C18" s="76">
        <v>12.6</v>
      </c>
      <c r="D18" s="76">
        <v>12.8</v>
      </c>
      <c r="E18" s="76">
        <v>6.7</v>
      </c>
      <c r="F18" s="76">
        <v>49.6</v>
      </c>
      <c r="G18" s="76">
        <v>1.3</v>
      </c>
      <c r="H18" s="76">
        <v>1.1</v>
      </c>
      <c r="I18" s="76">
        <v>0.6</v>
      </c>
      <c r="J18" s="76">
        <v>0.6</v>
      </c>
      <c r="K18" s="76">
        <v>6.8</v>
      </c>
      <c r="L18" s="76">
        <v>6.2</v>
      </c>
      <c r="M18" s="76">
        <v>6.3</v>
      </c>
      <c r="N18" s="76">
        <v>6.1</v>
      </c>
      <c r="O18" s="76">
        <v>3.6</v>
      </c>
      <c r="P18" s="76"/>
      <c r="Q18" s="310"/>
      <c r="R18" s="77">
        <f>'6'!Z27</f>
        <v>1480</v>
      </c>
      <c r="S18" s="76">
        <f>'6'!AB27</f>
        <v>84.0162535</v>
      </c>
      <c r="T18" s="77">
        <f>'6'!Y27</f>
        <v>3254</v>
      </c>
      <c r="U18" s="73" t="str">
        <f>IF('6'!AA27=1,'6'!AR6,'6'!AR7)</f>
        <v>S.A.L</v>
      </c>
      <c r="V18" s="16"/>
      <c r="W18" s="18"/>
      <c r="X18" s="54">
        <v>0.541666666666667</v>
      </c>
      <c r="Y18" s="125">
        <v>3233.0</v>
      </c>
      <c r="Z18" s="308">
        <v>1480.0</v>
      </c>
      <c r="AA18" s="56">
        <v>1.0</v>
      </c>
      <c r="AB18" s="58">
        <f>IF('6'!AA18=1,(('6'!Z18*'6'!$AS$6*'6'!$AT$6)/('6'!Y18*0.0036)),IF('6'!AA18=2,(('6'!Z18*'6'!$AS$7*'6'!$AT$7)/('6'!Y18*0.0036))))</f>
        <v>84.56198233</v>
      </c>
      <c r="AC18" s="58"/>
      <c r="AD18" s="59">
        <f>(('6'!AC18*'6'!$Q$10*1000000))/('6'!Y17*3600)</f>
        <v>0</v>
      </c>
      <c r="AE18" s="60"/>
      <c r="AF18" s="61">
        <f>('6'!AE18/24)*0.454</f>
        <v>0</v>
      </c>
      <c r="AG18" s="60"/>
      <c r="AH18" s="61">
        <f>('6'!AG18/24)*0.454</f>
        <v>0</v>
      </c>
      <c r="AI18" s="60">
        <v>5000.0</v>
      </c>
      <c r="AJ18" s="61">
        <f>('6'!AI18/24)*0.454</f>
        <v>94.58333333</v>
      </c>
      <c r="AK18" s="64"/>
      <c r="AL18" s="63">
        <f>('6'!AK18/24)*0.454</f>
        <v>0</v>
      </c>
      <c r="AM18" s="62"/>
      <c r="AN18" s="63">
        <f>('6'!AM18/24)*0.454</f>
        <v>0</v>
      </c>
      <c r="AO18" s="64"/>
      <c r="AP18" s="63">
        <f>('6'!AO18/24)*0.454</f>
        <v>0</v>
      </c>
    </row>
    <row r="19" ht="18.75" customHeight="1">
      <c r="A19" s="51" t="s">
        <v>52</v>
      </c>
      <c r="B19" s="91">
        <f t="array" ref="B19">IF('6'!B7:B18&gt;0.01,AVERAGE('6'!B7:B18),"")</f>
        <v>218.1666667</v>
      </c>
      <c r="C19" s="91">
        <f t="array" ref="C19">IF('6'!C7:C18&gt;0.01,AVERAGE('6'!C7:C18),"")</f>
        <v>12.20833333</v>
      </c>
      <c r="D19" s="91">
        <f t="array" ref="D19">IF('6'!D7:D18&gt;0.01,AVERAGE('6'!D7:D18),"")</f>
        <v>11.75</v>
      </c>
      <c r="E19" s="92">
        <f t="array" ref="E19">IF('6'!E7:E18&gt;0.01,AVERAGE('6'!E7:E18),"")</f>
        <v>5.016666667</v>
      </c>
      <c r="F19" s="92">
        <f t="array" ref="F19">IF('6'!F7:F18&gt;0.01,AVERAGE('6'!F7:F18),"")</f>
        <v>51.03333333</v>
      </c>
      <c r="G19" s="92">
        <f t="array" ref="G19">IF('6'!G7:G18&gt;0.01,AVERAGE('6'!G7:G18),"")</f>
        <v>1.425</v>
      </c>
      <c r="H19" s="92">
        <f t="array" ref="H19">IF('6'!H7:H18&gt;0.01,AVERAGE('6'!H7:H18),"")</f>
        <v>1.291666667</v>
      </c>
      <c r="I19" s="92">
        <f t="array" ref="I19">IF('6'!I7:I18&gt;0.01,AVERAGE('6'!I7:I18),"")</f>
        <v>0.55</v>
      </c>
      <c r="J19" s="92">
        <f t="array" ref="J19">IF('6'!J7:J18&gt;0.01,AVERAGE('6'!J7:J18),"")</f>
        <v>0.5916666667</v>
      </c>
      <c r="K19" s="92">
        <f t="array" ref="K19">IF('6'!K7:K18&gt;0.01,AVERAGE('6'!K7:K18),"")</f>
        <v>7.008333333</v>
      </c>
      <c r="L19" s="92">
        <f t="array" ref="L19">IF('6'!L7:L18&gt;0.01,AVERAGE('6'!L7:L18),"")</f>
        <v>6.358333333</v>
      </c>
      <c r="M19" s="92">
        <f t="array" ref="M19">IF('6'!M7:M18&gt;0.01,AVERAGE('6'!M7:M18),"")</f>
        <v>6.358333333</v>
      </c>
      <c r="N19" s="92">
        <f t="array" ref="N19">IF('6'!N7:N18&gt;0.01,AVERAGE('6'!N7:N18),"")</f>
        <v>6.066666667</v>
      </c>
      <c r="O19" s="92">
        <f t="array" ref="O19">IF('6'!O7:O18&gt;0.01,AVERAGE('6'!O7:O18),"")</f>
        <v>3.175</v>
      </c>
      <c r="P19" s="93" t="str">
        <f t="array" ref="P19">IF('6'!P7:P18&gt;0.01,AVERAGE('6'!P7:P18),"")</f>
        <v/>
      </c>
      <c r="Q19" s="94" t="str">
        <f t="array" ref="Q19">IF('6'!Q7:Q18&gt;0.01,AVERAGE('6'!Q7:Q18),"")</f>
        <v/>
      </c>
      <c r="R19" s="94">
        <f t="array" ref="R19">IF('6'!R7:R18&gt;0.01,AVERAGE('6'!R7:R18),"")</f>
        <v>1488.333333</v>
      </c>
      <c r="S19" s="94">
        <f t="array" ref="S19">IF('6'!S7:S18&gt;0.01,AVERAGE('6'!S7:S18),"")</f>
        <v>84.78445157</v>
      </c>
      <c r="T19" s="95"/>
      <c r="U19" s="96"/>
      <c r="V19" s="97"/>
      <c r="W19" s="97"/>
      <c r="X19" s="54">
        <v>0.583333333333333</v>
      </c>
      <c r="Y19" s="125">
        <v>3213.0</v>
      </c>
      <c r="Z19" s="308">
        <v>1480.0</v>
      </c>
      <c r="AA19" s="56">
        <v>1.0</v>
      </c>
      <c r="AB19" s="58">
        <f>IF('6'!AA19=1,(('6'!Z19*'6'!$AS$6*'6'!$AT$6)/('6'!Y19*0.0036)),IF('6'!AA19=2,(('6'!Z19*'6'!$AS$7*'6'!$AT$7)/('6'!Y19*0.0036))))</f>
        <v>85.08835633</v>
      </c>
      <c r="AC19" s="58"/>
      <c r="AD19" s="59">
        <f>(('6'!AC19*'6'!$Q$10*1000000))/('6'!Y19*3600)</f>
        <v>0</v>
      </c>
      <c r="AE19" s="60"/>
      <c r="AF19" s="61">
        <f>('6'!AE19/24)*0.454</f>
        <v>0</v>
      </c>
      <c r="AG19" s="60"/>
      <c r="AH19" s="61">
        <f>('6'!AG19/24)*0.454</f>
        <v>0</v>
      </c>
      <c r="AI19" s="60">
        <v>5000.0</v>
      </c>
      <c r="AJ19" s="61">
        <f>('6'!AI19/24)*0.454</f>
        <v>94.58333333</v>
      </c>
      <c r="AK19" s="64"/>
      <c r="AL19" s="63">
        <f>('6'!AK19/24)*0.454</f>
        <v>0</v>
      </c>
      <c r="AM19" s="62"/>
      <c r="AN19" s="63">
        <f>('6'!AM19/24)*0.454</f>
        <v>0</v>
      </c>
      <c r="AO19" s="64"/>
      <c r="AP19" s="63">
        <f>('6'!AO19/24)*0.454</f>
        <v>0</v>
      </c>
    </row>
    <row r="20" ht="18.75" customHeight="1">
      <c r="A20" s="51" t="s">
        <v>53</v>
      </c>
      <c r="B20" s="91">
        <f>MAX('6'!B7:B18)</f>
        <v>286</v>
      </c>
      <c r="C20" s="91">
        <f>MAX('6'!C7:C18)</f>
        <v>13.5</v>
      </c>
      <c r="D20" s="92">
        <f>MAX('6'!D7:D18)</f>
        <v>13.8</v>
      </c>
      <c r="E20" s="92">
        <f>MAX('6'!E7:E18)</f>
        <v>6.8</v>
      </c>
      <c r="F20" s="92">
        <f>MAX('6'!F7:F18)</f>
        <v>62</v>
      </c>
      <c r="G20" s="92">
        <f>MAX('6'!G7:G18)</f>
        <v>1.8</v>
      </c>
      <c r="H20" s="92">
        <f>MAX('6'!H7:H18)</f>
        <v>1.7</v>
      </c>
      <c r="I20" s="92">
        <f>MAX('6'!I7:I18)</f>
        <v>0.6</v>
      </c>
      <c r="J20" s="92">
        <f>MAX('6'!J7:J18)</f>
        <v>0.7</v>
      </c>
      <c r="K20" s="92">
        <f>MAX('6'!K7:K18)</f>
        <v>7.1</v>
      </c>
      <c r="L20" s="92">
        <f>MAX('6'!L7:L18)</f>
        <v>6.5</v>
      </c>
      <c r="M20" s="92">
        <f>MAX('6'!M7:M18)</f>
        <v>6.5</v>
      </c>
      <c r="N20" s="92">
        <f>MAX('6'!N7:N18)</f>
        <v>6.1</v>
      </c>
      <c r="O20" s="98">
        <f>MAX('6'!O7:O18)</f>
        <v>3.8</v>
      </c>
      <c r="P20" s="98">
        <f>MAX('6'!P7:P18)</f>
        <v>0</v>
      </c>
      <c r="Q20" s="98">
        <f>MAX('6'!Q7:Q18)</f>
        <v>0</v>
      </c>
      <c r="R20" s="98">
        <f>MAX('6'!R7:R18)</f>
        <v>1550</v>
      </c>
      <c r="S20" s="98">
        <f>MAX('6'!S7:S18)</f>
        <v>87.90894825</v>
      </c>
      <c r="T20" s="99"/>
      <c r="U20" s="21"/>
      <c r="X20" s="54">
        <v>0.625</v>
      </c>
      <c r="Y20" s="125">
        <v>3261.0</v>
      </c>
      <c r="Z20" s="308">
        <v>1480.0</v>
      </c>
      <c r="AA20" s="56">
        <v>1.0</v>
      </c>
      <c r="AB20" s="58">
        <f>IF('6'!AA20=1,(('6'!Z20*'6'!$AS$6*'6'!$AT$6)/('6'!Y20*0.0036)),IF('6'!AA20=2,(('6'!Z20*'6'!$AS$7*'6'!$AT$7)/('6'!Y20*0.0036))))</f>
        <v>83.83590582</v>
      </c>
      <c r="AC20" s="58"/>
      <c r="AD20" s="59">
        <f>(('6'!AC20*'6'!$Q$10*1000000))/('6'!Y20*3600)</f>
        <v>0</v>
      </c>
      <c r="AE20" s="60"/>
      <c r="AF20" s="61">
        <f>('6'!AE20/24)*0.454</f>
        <v>0</v>
      </c>
      <c r="AG20" s="60"/>
      <c r="AH20" s="61">
        <f>('6'!AG20/24)*0.454</f>
        <v>0</v>
      </c>
      <c r="AI20" s="60">
        <v>5000.0</v>
      </c>
      <c r="AJ20" s="61">
        <f>('6'!AI20/24)*0.454</f>
        <v>94.58333333</v>
      </c>
      <c r="AK20" s="64"/>
      <c r="AL20" s="63">
        <f>('6'!AK20/24)*0.454</f>
        <v>0</v>
      </c>
      <c r="AM20" s="62"/>
      <c r="AN20" s="63">
        <f>('6'!AM20/24)*0.454</f>
        <v>0</v>
      </c>
      <c r="AO20" s="64"/>
      <c r="AP20" s="63">
        <f>('6'!AO20/24)*0.454</f>
        <v>0</v>
      </c>
    </row>
    <row r="21" ht="19.5" customHeight="1">
      <c r="A21" s="51" t="s">
        <v>54</v>
      </c>
      <c r="B21" s="91">
        <f>MIN('6'!B7:B18)</f>
        <v>124</v>
      </c>
      <c r="C21" s="92">
        <f>MIN('6'!C7:C18)</f>
        <v>11</v>
      </c>
      <c r="D21" s="92">
        <f>MIN('6'!D7:D18)</f>
        <v>10</v>
      </c>
      <c r="E21" s="92">
        <f>MIN('6'!E7:E18)</f>
        <v>3.1</v>
      </c>
      <c r="F21" s="92">
        <f>MIN('6'!F7:F18)</f>
        <v>46.4</v>
      </c>
      <c r="G21" s="100">
        <f>MIN('6'!G7:G18)</f>
        <v>1.2</v>
      </c>
      <c r="H21" s="100">
        <f>MIN('6'!H7:H18)</f>
        <v>1</v>
      </c>
      <c r="I21" s="100">
        <f>MIN('6'!I7:I18)</f>
        <v>0.5</v>
      </c>
      <c r="J21" s="100">
        <f>MIN('6'!J7:J18)</f>
        <v>0.5</v>
      </c>
      <c r="K21" s="100">
        <f>MIN('6'!K7:K18)</f>
        <v>6.8</v>
      </c>
      <c r="L21" s="100">
        <f>MIN('6'!L7:L18)</f>
        <v>6.2</v>
      </c>
      <c r="M21" s="100">
        <f>MIN('6'!M7:M18)</f>
        <v>6.3</v>
      </c>
      <c r="N21" s="100">
        <f>MIN('6'!N7:N18)</f>
        <v>6</v>
      </c>
      <c r="O21" s="101">
        <f>MIN('6'!O7:O18)</f>
        <v>2.2</v>
      </c>
      <c r="P21" s="101">
        <f>MIN('6'!P7:P18)</f>
        <v>0</v>
      </c>
      <c r="Q21" s="101">
        <f>MIN('6'!Q7:Q18)</f>
        <v>0</v>
      </c>
      <c r="R21" s="101">
        <f>MIN('6'!R7:R18)</f>
        <v>1460</v>
      </c>
      <c r="S21" s="101">
        <f>MIN('6'!S7:S18)</f>
        <v>84.0162535</v>
      </c>
      <c r="T21" s="99"/>
      <c r="U21" s="21"/>
      <c r="X21" s="54">
        <v>0.666666666666667</v>
      </c>
      <c r="Y21" s="125">
        <v>3221.0</v>
      </c>
      <c r="Z21" s="308">
        <v>1480.0</v>
      </c>
      <c r="AA21" s="56">
        <v>1.0</v>
      </c>
      <c r="AB21" s="58">
        <f>IF('6'!AA21=1,(('6'!Z21*'6'!$AS$6*'6'!$AT$6)/('6'!Y21*0.0036)),IF('6'!AA21=2,(('6'!Z21*'6'!$AS$7*'6'!$AT$7)/('6'!Y21*0.0036))))</f>
        <v>84.87702232</v>
      </c>
      <c r="AC21" s="58"/>
      <c r="AD21" s="59">
        <f>(('6'!AC21*'6'!$Q$10*1000000))/('6'!Y21*3600)</f>
        <v>0</v>
      </c>
      <c r="AE21" s="60"/>
      <c r="AF21" s="61">
        <f>('6'!AE21/24)*0.454</f>
        <v>0</v>
      </c>
      <c r="AG21" s="60"/>
      <c r="AH21" s="61">
        <f>('6'!AG21/24)*0.454</f>
        <v>0</v>
      </c>
      <c r="AI21" s="60">
        <v>5000.0</v>
      </c>
      <c r="AJ21" s="61">
        <f>('6'!AI21/24)*0.454</f>
        <v>94.58333333</v>
      </c>
      <c r="AK21" s="64"/>
      <c r="AL21" s="63">
        <f>('6'!AK21/24)*0.454</f>
        <v>0</v>
      </c>
      <c r="AM21" s="62"/>
      <c r="AN21" s="63">
        <f>('6'!AM21/24)*0.454</f>
        <v>0</v>
      </c>
      <c r="AO21" s="64"/>
      <c r="AP21" s="63">
        <f>('6'!AO21/24)*0.454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3242.0</v>
      </c>
      <c r="Z22" s="308">
        <v>1480.0</v>
      </c>
      <c r="AA22" s="56">
        <v>1.0</v>
      </c>
      <c r="AB22" s="58">
        <f>IF('6'!AA22=1,(('6'!Z22*'6'!$AS$6*'6'!$AT$6)/('6'!Y22*0.0036)),IF('6'!AA22=2,(('6'!Z22*'6'!$AS$7*'6'!$AT$7)/('6'!Y22*0.0036))))</f>
        <v>84.32723285</v>
      </c>
      <c r="AC22" s="58"/>
      <c r="AD22" s="59">
        <f>(('6'!AC22*'6'!$Q$10*1000000))/('6'!Y22*3600)</f>
        <v>0</v>
      </c>
      <c r="AE22" s="60"/>
      <c r="AF22" s="61">
        <f>('6'!AE22/24)*0.454</f>
        <v>0</v>
      </c>
      <c r="AG22" s="60"/>
      <c r="AH22" s="61">
        <f>('6'!AG22/24)*0.454</f>
        <v>0</v>
      </c>
      <c r="AI22" s="60">
        <v>5000.0</v>
      </c>
      <c r="AJ22" s="61">
        <f>('6'!AI22/24)*0.454</f>
        <v>94.58333333</v>
      </c>
      <c r="AK22" s="64"/>
      <c r="AL22" s="63">
        <f>('6'!AK22/24)*0.454</f>
        <v>0</v>
      </c>
      <c r="AM22" s="62"/>
      <c r="AN22" s="63">
        <f>('6'!AM22/24)*0.454</f>
        <v>0</v>
      </c>
      <c r="AO22" s="64"/>
      <c r="AP22" s="63">
        <f>('6'!AO22/24)*0.454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3243.0</v>
      </c>
      <c r="Z23" s="308">
        <v>1480.0</v>
      </c>
      <c r="AA23" s="56">
        <v>1.0</v>
      </c>
      <c r="AB23" s="58">
        <f>IF('6'!AA23=1,(('6'!Z23*'6'!$AS$6*'6'!$AT$6)/('6'!Y23*0.0036)),IF('6'!AA23=2,(('6'!Z23*'6'!$AS$7*'6'!$AT$7)/('6'!Y23*0.0036))))</f>
        <v>84.30123</v>
      </c>
      <c r="AC23" s="58"/>
      <c r="AD23" s="59">
        <f>(('6'!AC23*'6'!$Q$10*1000000))/('6'!Y23*3600)</f>
        <v>0</v>
      </c>
      <c r="AE23" s="60"/>
      <c r="AF23" s="61">
        <f>('6'!AE23/24)*0.454</f>
        <v>0</v>
      </c>
      <c r="AG23" s="60"/>
      <c r="AH23" s="61">
        <f>('6'!AG23/24)*0.454</f>
        <v>0</v>
      </c>
      <c r="AI23" s="60">
        <v>5000.0</v>
      </c>
      <c r="AJ23" s="61">
        <f>('6'!AI23/24)*0.454</f>
        <v>94.58333333</v>
      </c>
      <c r="AK23" s="64"/>
      <c r="AL23" s="63">
        <f>('6'!AK23/24)*0.454</f>
        <v>0</v>
      </c>
      <c r="AM23" s="62"/>
      <c r="AN23" s="63">
        <f>('6'!AM23/24)*0.454</f>
        <v>0</v>
      </c>
      <c r="AO23" s="64"/>
      <c r="AP23" s="63">
        <f>('6'!AO23/24)*0.454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3243.0</v>
      </c>
      <c r="Z24" s="308">
        <v>1480.0</v>
      </c>
      <c r="AA24" s="56">
        <v>1.0</v>
      </c>
      <c r="AB24" s="58">
        <f>IF('6'!AA24=1,(('6'!Z24*'6'!$AS$6*'6'!$AT$6)/('6'!Y24*0.0036)),IF('6'!AA24=2,(('6'!Z24*'6'!$AS$7*'6'!$AT$7)/('6'!Y24*0.0036))))</f>
        <v>84.30123</v>
      </c>
      <c r="AC24" s="58"/>
      <c r="AD24" s="59">
        <f>(('6'!AC24*'6'!$Q$10*1000000))/('6'!Y24*3600)</f>
        <v>0</v>
      </c>
      <c r="AE24" s="60"/>
      <c r="AF24" s="61">
        <f>('6'!AE24/24)*0.454</f>
        <v>0</v>
      </c>
      <c r="AG24" s="60"/>
      <c r="AH24" s="61">
        <f>('6'!AG24/24)*0.454</f>
        <v>0</v>
      </c>
      <c r="AI24" s="60">
        <v>5000.0</v>
      </c>
      <c r="AJ24" s="61">
        <f>('6'!AI24/24)*0.454</f>
        <v>94.58333333</v>
      </c>
      <c r="AK24" s="64"/>
      <c r="AL24" s="110">
        <f>('6'!AK24/24)*0.454</f>
        <v>0</v>
      </c>
      <c r="AM24" s="312"/>
      <c r="AN24" s="110">
        <f>('6'!AM24/24)*0.454</f>
        <v>0</v>
      </c>
      <c r="AO24" s="64"/>
      <c r="AP24" s="110">
        <f>('6'!AO24/24)*0.454</f>
        <v>0</v>
      </c>
    </row>
    <row r="25" ht="19.5" customHeight="1">
      <c r="A25" s="111">
        <v>0.416666666666667</v>
      </c>
      <c r="B25" s="313">
        <v>0.4</v>
      </c>
      <c r="C25" s="313">
        <v>0.69</v>
      </c>
      <c r="D25" s="313">
        <v>0.54</v>
      </c>
      <c r="E25" s="313">
        <v>0.83</v>
      </c>
      <c r="F25" s="313">
        <v>0.58</v>
      </c>
      <c r="G25" s="313" t="s">
        <v>131</v>
      </c>
      <c r="H25" s="313">
        <v>0.7</v>
      </c>
      <c r="I25" s="313">
        <v>0.54</v>
      </c>
      <c r="J25" s="313" t="s">
        <v>131</v>
      </c>
      <c r="K25" s="313">
        <v>0.51</v>
      </c>
      <c r="L25" s="313">
        <v>0.39</v>
      </c>
      <c r="M25" s="313">
        <v>0.69</v>
      </c>
      <c r="N25" s="313">
        <v>0.6</v>
      </c>
      <c r="O25" s="313">
        <v>0.6</v>
      </c>
      <c r="P25" s="313">
        <v>0.82</v>
      </c>
      <c r="Q25" s="313">
        <v>0.53</v>
      </c>
      <c r="R25" s="112" t="str">
        <f t="shared" ref="R25:R26" si="1">#DIV/0!</f>
        <v>#DIV/0!</v>
      </c>
      <c r="S25" s="113"/>
      <c r="T25" s="314" t="s">
        <v>0</v>
      </c>
      <c r="U25" s="361">
        <f>ESCALA!$A$8</f>
        <v>43927</v>
      </c>
      <c r="X25" s="54">
        <v>0.833333333333333</v>
      </c>
      <c r="Y25" s="125">
        <v>3214.0</v>
      </c>
      <c r="Z25" s="308">
        <v>1480.0</v>
      </c>
      <c r="AA25" s="56">
        <v>1.0</v>
      </c>
      <c r="AB25" s="58">
        <f>IF('6'!AA25=1,(('6'!Z25*'6'!$AS$6*'6'!$AT$6)/('6'!Y25*0.0036)),IF('6'!AA25=2,(('6'!Z25*'6'!$AS$7*'6'!$AT$7)/('6'!Y25*0.0036))))</f>
        <v>85.06188204</v>
      </c>
      <c r="AC25" s="58"/>
      <c r="AD25" s="59">
        <f>(('6'!AC25*'6'!$Q$10*1000000))/('6'!Y25*3600)</f>
        <v>0</v>
      </c>
      <c r="AE25" s="60"/>
      <c r="AF25" s="61">
        <f>('6'!AE25/24)*0.454</f>
        <v>0</v>
      </c>
      <c r="AG25" s="60"/>
      <c r="AH25" s="61">
        <f>('6'!AG25/24)*0.454</f>
        <v>0</v>
      </c>
      <c r="AI25" s="60">
        <v>5000.0</v>
      </c>
      <c r="AJ25" s="61">
        <f>('6'!AI25/24)*0.454</f>
        <v>94.58333333</v>
      </c>
      <c r="AK25" s="64"/>
      <c r="AL25" s="63">
        <f>('6'!AK25/24)*0.454</f>
        <v>0</v>
      </c>
      <c r="AM25" s="62"/>
      <c r="AN25" s="63">
        <f>('6'!AM25/24)*0.454</f>
        <v>0</v>
      </c>
      <c r="AO25" s="64"/>
      <c r="AP25" s="63">
        <f>('6'!AO25/24)*0.454</f>
        <v>0</v>
      </c>
    </row>
    <row r="26" ht="19.5" customHeight="1">
      <c r="A26" s="111">
        <v>0.666666666666667</v>
      </c>
      <c r="B26" s="313"/>
      <c r="C26" s="313"/>
      <c r="D26" s="313"/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112" t="str">
        <f t="shared" si="1"/>
        <v>#DIV/0!</v>
      </c>
      <c r="S26" s="116"/>
      <c r="T26" s="117"/>
      <c r="U26" s="118"/>
      <c r="X26" s="54">
        <v>0.875</v>
      </c>
      <c r="Y26" s="125">
        <v>3245.0</v>
      </c>
      <c r="Z26" s="308">
        <v>1480.0</v>
      </c>
      <c r="AA26" s="56">
        <v>1.0</v>
      </c>
      <c r="AB26" s="58">
        <f>IF('6'!AA26=1,(('6'!Z26*'6'!$AS$6*'6'!$AT$6)/('6'!Y26*0.0036)),IF('6'!AA26=2,(('6'!Z26*'6'!$AS$7*'6'!$AT$7)/('6'!Y26*0.0036))))</f>
        <v>84.24927238</v>
      </c>
      <c r="AC26" s="58"/>
      <c r="AD26" s="59">
        <f>(('6'!AC26*'6'!$Q$10*1000000))/('6'!Y26*3600)</f>
        <v>0</v>
      </c>
      <c r="AE26" s="60"/>
      <c r="AF26" s="61">
        <f>('6'!AE26/24)*0.454</f>
        <v>0</v>
      </c>
      <c r="AG26" s="60"/>
      <c r="AH26" s="61">
        <f>('6'!AG26/24)*0.454</f>
        <v>0</v>
      </c>
      <c r="AI26" s="60">
        <v>5000.0</v>
      </c>
      <c r="AJ26" s="61">
        <f>('6'!AI26/24)*0.454</f>
        <v>94.58333333</v>
      </c>
      <c r="AK26" s="64"/>
      <c r="AL26" s="63">
        <f>('6'!AK26/24)*0.454</f>
        <v>0</v>
      </c>
      <c r="AM26" s="62"/>
      <c r="AN26" s="63">
        <f>('6'!AM26/24)*0.454</f>
        <v>0</v>
      </c>
      <c r="AO26" s="64"/>
      <c r="AP26" s="63">
        <f>('6'!AO26/24)*0.454</f>
        <v>0</v>
      </c>
    </row>
    <row r="27" ht="19.5" customHeight="1">
      <c r="A27" s="119" t="s">
        <v>52</v>
      </c>
      <c r="B27" s="120"/>
      <c r="C27" s="120" t="str">
        <f t="shared" ref="C27:Q27" si="2">#DIV/0!</f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3254.0</v>
      </c>
      <c r="Z27" s="308">
        <v>1480.0</v>
      </c>
      <c r="AA27" s="56">
        <v>1.0</v>
      </c>
      <c r="AB27" s="58">
        <f>IF('6'!AA27=1,(('6'!Z27*'6'!$AS$6*'6'!$AT$6)/('6'!Y27*0.0036)),IF('6'!AA27=2,(('6'!Z27*'6'!$AS$7*'6'!$AT$7)/('6'!Y27*0.0036))))</f>
        <v>84.0162535</v>
      </c>
      <c r="AC27" s="58"/>
      <c r="AD27" s="59">
        <f>(('6'!AC27*'6'!$Q$10*1000000))/('6'!Y27*3600)</f>
        <v>0</v>
      </c>
      <c r="AE27" s="60"/>
      <c r="AF27" s="61">
        <f>('6'!AE27/24)*0.454</f>
        <v>0</v>
      </c>
      <c r="AG27" s="60"/>
      <c r="AH27" s="61">
        <f>('6'!AG27/24)*0.454</f>
        <v>0</v>
      </c>
      <c r="AI27" s="60">
        <v>5000.0</v>
      </c>
      <c r="AJ27" s="61">
        <f>('6'!AI27/24)*0.454</f>
        <v>94.58333333</v>
      </c>
      <c r="AK27" s="64"/>
      <c r="AL27" s="63">
        <f>('6'!AK27/24)*0.454</f>
        <v>0</v>
      </c>
      <c r="AM27" s="62"/>
      <c r="AN27" s="63">
        <f>('6'!AM27/24)*0.454</f>
        <v>0</v>
      </c>
      <c r="AO27" s="64"/>
      <c r="AP27" s="63">
        <f>('6'!AO27/24)*0.454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3242.0</v>
      </c>
      <c r="Z28" s="308">
        <v>1480.0</v>
      </c>
      <c r="AA28" s="56">
        <v>1.0</v>
      </c>
      <c r="AB28" s="58">
        <f>IF('6'!AA28=1,(('6'!Z28*'6'!$AS$6*'6'!$AT$6)/('6'!Y28*0.0036)),IF('6'!AA28=2,(('6'!Z28*'6'!$AS$7*'6'!$AT$7)/('6'!Y28*0.0036))))</f>
        <v>84.32723285</v>
      </c>
      <c r="AC28" s="58"/>
      <c r="AD28" s="59">
        <f>(('6'!AC28*'6'!$Q$10*1000000))/('6'!Y28*3600)</f>
        <v>0</v>
      </c>
      <c r="AE28" s="60"/>
      <c r="AF28" s="61">
        <f>('6'!AE28/24)*0.454</f>
        <v>0</v>
      </c>
      <c r="AG28" s="60"/>
      <c r="AH28" s="61">
        <f>('6'!AG28/24)*0.454</f>
        <v>0</v>
      </c>
      <c r="AI28" s="60">
        <v>5000.0</v>
      </c>
      <c r="AJ28" s="61">
        <f>('6'!AI28/24)*0.454</f>
        <v>94.58333333</v>
      </c>
      <c r="AK28" s="64"/>
      <c r="AL28" s="63">
        <f>('6'!AK28/24)*0.454</f>
        <v>0</v>
      </c>
      <c r="AM28" s="62"/>
      <c r="AN28" s="63">
        <f>('6'!AM28/24)*0.454</f>
        <v>0</v>
      </c>
      <c r="AO28" s="64"/>
      <c r="AP28" s="63">
        <f>('6'!AO28/24)*0.454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3228.0</v>
      </c>
      <c r="Z29" s="308">
        <v>1480.0</v>
      </c>
      <c r="AA29" s="56">
        <v>1.0</v>
      </c>
      <c r="AB29" s="58">
        <f>IF('6'!AA29=1,(('6'!Z29*'6'!$AS$6*'6'!$AT$6)/('6'!Y29*0.0036)),IF('6'!AA29=2,(('6'!Z29*'6'!$AS$7*'6'!$AT$7)/('6'!Y29*0.0036))))</f>
        <v>84.69296434</v>
      </c>
      <c r="AC29" s="58"/>
      <c r="AD29" s="59">
        <f>(('6'!AC29*'6'!$Q$10*1000000))/('6'!Y29*3600)</f>
        <v>0</v>
      </c>
      <c r="AE29" s="60"/>
      <c r="AF29" s="61">
        <f>('6'!AE29/24)*0.454</f>
        <v>0</v>
      </c>
      <c r="AG29" s="60"/>
      <c r="AH29" s="61">
        <f>('6'!AG29/24)*0.454</f>
        <v>0</v>
      </c>
      <c r="AI29" s="60">
        <v>5000.0</v>
      </c>
      <c r="AJ29" s="61">
        <f>('6'!AI29/24)*0.454</f>
        <v>94.58333333</v>
      </c>
      <c r="AK29" s="64"/>
      <c r="AL29" s="63">
        <f>('6'!AK29/24)*0.454</f>
        <v>0</v>
      </c>
      <c r="AM29" s="62"/>
      <c r="AN29" s="63">
        <f>('6'!AM29/24)*0.454</f>
        <v>0</v>
      </c>
      <c r="AO29" s="64"/>
      <c r="AP29" s="63">
        <f>('6'!AO29/24)*0.454</f>
        <v>0</v>
      </c>
    </row>
    <row r="30" ht="18.75" customHeight="1">
      <c r="A30" s="43"/>
      <c r="U30" s="27"/>
      <c r="X30" s="130" t="s">
        <v>55</v>
      </c>
      <c r="Y30" s="362">
        <f>SUM('6'!Y6:Y29)*3.6</f>
        <v>279482.4</v>
      </c>
      <c r="Z30" s="132">
        <f>SUM('6'!Z6:Z29)</f>
        <v>35650</v>
      </c>
      <c r="AA30" s="133"/>
      <c r="AB30" s="132"/>
      <c r="AC30" s="133"/>
      <c r="AD30" s="132"/>
      <c r="AE30" s="60"/>
      <c r="AF30" s="61">
        <f>SUM('6'!AF6:AF29)</f>
        <v>0</v>
      </c>
      <c r="AG30" s="60"/>
      <c r="AH30" s="61">
        <f>SUM('6'!AH6:AH29)</f>
        <v>0</v>
      </c>
      <c r="AI30" s="60"/>
      <c r="AJ30" s="61">
        <f>SUM('6'!AJ6:AJ29)</f>
        <v>2133.8</v>
      </c>
      <c r="AK30" s="62"/>
      <c r="AL30" s="63">
        <f>SUM('6'!AL6:AL29)</f>
        <v>0</v>
      </c>
      <c r="AM30" s="62"/>
      <c r="AN30" s="63">
        <f>SUM('6'!AN6:AN29)</f>
        <v>0</v>
      </c>
      <c r="AO30" s="62"/>
      <c r="AP30" s="63">
        <f>SUM('6'!AP6:AP29)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SUMIF('6'!AA6:AA29,"=1",'6'!Z6:Z29)</f>
        <v>35650</v>
      </c>
      <c r="AA32" s="132">
        <f>'6'!Z32*'6'!AS6</f>
        <v>47414.5</v>
      </c>
      <c r="AB32" s="139">
        <f>SUMIF('6'!$AA$6:$AA$29,"=1",'6'!$AB$6:$AB$29)/COUNTIF('6'!$AA$6:$AA$29,"=1")</f>
        <v>84.38721745</v>
      </c>
      <c r="AC32" s="140">
        <f>SUMIF('6'!AA6:AA29,"=1",'6'!AC6:AC29)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SUMIF('6'!AA6:AA29,"=2",'6'!Z6:Z29)</f>
        <v>0</v>
      </c>
      <c r="AA33" s="132">
        <f>'6'!Z33*'6'!AS7</f>
        <v>0</v>
      </c>
      <c r="AB33" s="139" t="str">
        <f>SUMIF('6'!$AA$6:$AA$29,"=2",'6'!$AB$6:$AB$29)/COUNTIF('6'!$AA$6:$AA$29,"=2")</f>
        <v>#DIV/0!</v>
      </c>
      <c r="AC33" s="145">
        <f>SUMIF('6'!AA6:AA29,"=2",'6'!AC6:AC29)</f>
        <v>0</v>
      </c>
      <c r="AD33" s="145"/>
      <c r="AE33" s="146"/>
      <c r="AF33" s="147"/>
      <c r="AG33" s="146"/>
      <c r="AH33" s="147"/>
      <c r="AI33" s="146"/>
      <c r="AJ33" s="363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AVERAGE('6'!Y6:Y29)</f>
        <v>3234.75</v>
      </c>
      <c r="Z34" s="56">
        <f>AVERAGE('6'!Z6:Z29)</f>
        <v>1485.416667</v>
      </c>
      <c r="AA34" s="152"/>
      <c r="AB34" s="152"/>
      <c r="AC34" s="153" t="str">
        <f>SUM('6'!AC6:AC29)/COUNTIF('6'!AC6:AC29,"&lt;&gt;0")</f>
        <v>#DIV/0!</v>
      </c>
      <c r="AD34" s="154" t="str">
        <f>SUM('6'!AD6:AD29)/COUNTIF('6'!AD6:AD29,"&lt;&gt;0")</f>
        <v>#DIV/0!</v>
      </c>
      <c r="AE34" s="133"/>
      <c r="AF34" s="153">
        <f>AVERAGE('6'!AF6:AF29)</f>
        <v>0</v>
      </c>
      <c r="AG34" s="153"/>
      <c r="AH34" s="153">
        <f>AVERAGE('6'!AH6:AH29)</f>
        <v>0</v>
      </c>
      <c r="AI34" s="153"/>
      <c r="AJ34" s="153">
        <f>'6'!AJ30/24</f>
        <v>88.90833333</v>
      </c>
      <c r="AK34" s="153"/>
      <c r="AL34" s="153">
        <f>AVERAGE('6'!AL6:AL29)</f>
        <v>0</v>
      </c>
      <c r="AM34" s="153"/>
      <c r="AN34" s="153">
        <f>AVERAGE('6'!AN6:AN29)</f>
        <v>0</v>
      </c>
      <c r="AO34" s="153"/>
      <c r="AP34" s="153">
        <f>AVERAGE('6'!AP6:AP29)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>
        <v>6.0</v>
      </c>
      <c r="Z36" s="164"/>
      <c r="AA36" s="165" t="s">
        <v>74</v>
      </c>
      <c r="AB36" s="163">
        <v>5.0</v>
      </c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78.3</v>
      </c>
      <c r="D37" s="76">
        <v>28.1</v>
      </c>
      <c r="E37" s="76">
        <v>26.1</v>
      </c>
      <c r="F37" s="76">
        <v>1.4</v>
      </c>
      <c r="G37" s="76">
        <v>0.0</v>
      </c>
      <c r="H37" s="76">
        <v>0.2</v>
      </c>
      <c r="I37" s="60">
        <v>0.06</v>
      </c>
      <c r="J37" s="60">
        <v>0.0</v>
      </c>
      <c r="K37" s="60">
        <v>0.0</v>
      </c>
      <c r="L37" s="52" t="s">
        <v>136</v>
      </c>
      <c r="M37" s="106"/>
      <c r="N37" s="157"/>
      <c r="O37" s="51"/>
      <c r="P37" s="51"/>
      <c r="Q37" s="51"/>
      <c r="R37" s="51"/>
      <c r="S37" s="51"/>
      <c r="T37" s="51"/>
      <c r="U37" s="365" t="str">
        <f>'6'!V12</f>
        <v/>
      </c>
      <c r="X37" s="169" t="s">
        <v>75</v>
      </c>
      <c r="Y37" s="128"/>
      <c r="Z37" s="170">
        <f>COUNTA('6'!Z6:Z29)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366"/>
      <c r="AB38" s="171"/>
      <c r="AJ38" s="178" t="s">
        <v>78</v>
      </c>
      <c r="AK38" s="180">
        <f>SUM('6'!AF30+'6'!AH30)</f>
        <v>0</v>
      </c>
      <c r="AL38" s="178" t="s">
        <v>78</v>
      </c>
      <c r="AM38" s="179">
        <f>SUM('6'!AL30+'6'!AN30)</f>
        <v>0</v>
      </c>
      <c r="AO38" s="178" t="s">
        <v>78</v>
      </c>
      <c r="AP38" s="180">
        <f>'6'!AJ30</f>
        <v>2133.8</v>
      </c>
      <c r="AQ38" s="178" t="s">
        <v>78</v>
      </c>
      <c r="AR38" s="179">
        <f>'6'!AP30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('6'!AK38/'6'!Y30)*1000</f>
        <v>0</v>
      </c>
      <c r="AL39" s="327" t="s">
        <v>86</v>
      </c>
      <c r="AM39" s="328">
        <f>('6'!AM38/'6'!Y30)*1000</f>
        <v>0</v>
      </c>
      <c r="AO39" s="325" t="s">
        <v>86</v>
      </c>
      <c r="AP39" s="326">
        <f>('6'!AP38/'6'!Y30)*1000</f>
        <v>7.63482781</v>
      </c>
      <c r="AQ39" s="327" t="s">
        <v>86</v>
      </c>
      <c r="AR39" s="328">
        <f>('6'!AR38/'6'!Y30)*1000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SUM('6'!AK38,'6'!AM38)</f>
        <v>0</v>
      </c>
      <c r="AM40" s="128"/>
      <c r="AO40" s="210" t="s">
        <v>90</v>
      </c>
      <c r="AP40" s="128"/>
      <c r="AQ40" s="211">
        <f>SUM('6'!AP38,'6'!AR38)</f>
        <v>2133.8</v>
      </c>
      <c r="AR40" s="128"/>
    </row>
    <row r="41" ht="16.5" customHeight="1">
      <c r="A41" s="212">
        <f>COUNTA('6'!E7:E18)</f>
        <v>12</v>
      </c>
      <c r="B41" s="213">
        <f>COUNTA('6'!I7:I18)</f>
        <v>12</v>
      </c>
      <c r="C41" s="214">
        <f>COUNTA('6'!J7:J18)</f>
        <v>12</v>
      </c>
      <c r="D41" s="80"/>
      <c r="E41" s="214">
        <f>COUNTIF('6'!E7:E18,"&gt;15")</f>
        <v>0</v>
      </c>
      <c r="F41" s="80"/>
      <c r="G41" s="214">
        <f>COUNTIF('6'!J7:J18,"&gt;1")</f>
        <v>0</v>
      </c>
      <c r="H41" s="80"/>
      <c r="I41" s="215"/>
      <c r="J41" s="214">
        <f>'6'!A41-'6'!E41</f>
        <v>12</v>
      </c>
      <c r="K41" s="80"/>
      <c r="L41" s="214">
        <f>'6'!C41-'6'!G41</f>
        <v>12</v>
      </c>
      <c r="M41" s="80"/>
      <c r="N41" s="215"/>
      <c r="O41" s="216">
        <f>COUNTIF('6'!J7:J18,"&lt;=0,5")</f>
        <v>3</v>
      </c>
      <c r="P41" s="217"/>
      <c r="Q41" s="218"/>
      <c r="R41" s="219"/>
      <c r="S41" s="220">
        <f>COUNTIF('6'!J7:J18,"&lt;=1,0")</f>
        <v>12</v>
      </c>
      <c r="T41" s="221"/>
      <c r="U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SUM(('6'!AK38+'6'!AM38)/'6'!Y30)*1000</f>
        <v>0</v>
      </c>
      <c r="AM41" s="128"/>
      <c r="AO41" s="210" t="s">
        <v>91</v>
      </c>
      <c r="AP41" s="128"/>
      <c r="AQ41" s="223">
        <f>SUM(('6'!AP38+'6'!AR38)/'6'!Y30)*1000</f>
        <v>7.63482781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>
        <v>60.0</v>
      </c>
      <c r="Z44" s="68" t="s">
        <v>101</v>
      </c>
      <c r="AA44" s="241">
        <v>160.0</v>
      </c>
      <c r="AB44" s="68" t="s">
        <v>101</v>
      </c>
      <c r="AC44" s="241"/>
      <c r="AD44" s="242"/>
      <c r="AE44" s="243"/>
      <c r="AF44" s="244" t="s">
        <v>102</v>
      </c>
      <c r="AG44" s="245">
        <f>SUM('6'!Y45,'6'!AA45,'6'!AC45,'6'!AE45)</f>
        <v>212502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COUNTIF('6'!I7:I18,"&lt;=5,0")</f>
        <v>12</v>
      </c>
      <c r="I45" s="127"/>
      <c r="J45" s="128"/>
      <c r="K45" s="215"/>
      <c r="L45" s="208">
        <f>COUNTA('6'!L37)</f>
        <v>1</v>
      </c>
      <c r="M45" s="128"/>
      <c r="O45" s="248"/>
      <c r="P45" s="249"/>
      <c r="Q45" s="250">
        <f>'6'!S41-'6'!O41</f>
        <v>9</v>
      </c>
      <c r="R45" s="251"/>
      <c r="S45" s="252"/>
      <c r="T45" s="253"/>
      <c r="X45" s="133" t="s">
        <v>104</v>
      </c>
      <c r="Y45" s="254">
        <f>'6'!Y44*275.3</f>
        <v>16518</v>
      </c>
      <c r="Z45" s="133" t="s">
        <v>104</v>
      </c>
      <c r="AA45" s="254">
        <f>262.4*'6'!AA44</f>
        <v>41984</v>
      </c>
      <c r="AB45" s="133" t="s">
        <v>104</v>
      </c>
      <c r="AC45" s="254">
        <f>'6'!AC44*277.7</f>
        <v>0</v>
      </c>
      <c r="AD45" s="133" t="s">
        <v>104</v>
      </c>
      <c r="AE45" s="255">
        <v>154000.0</v>
      </c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75" customHeight="1">
      <c r="F46" s="257"/>
      <c r="X46" s="196" t="s">
        <v>105</v>
      </c>
      <c r="Y46" s="258">
        <f>'6'!AS6</f>
        <v>1.33</v>
      </c>
      <c r="Z46" s="196" t="s">
        <v>105</v>
      </c>
      <c r="AA46" s="258">
        <f>'6'!Y46</f>
        <v>1.33</v>
      </c>
      <c r="AB46" s="196" t="s">
        <v>105</v>
      </c>
      <c r="AC46" s="258">
        <f>'6'!Y46</f>
        <v>1.33</v>
      </c>
      <c r="AD46" s="196" t="s">
        <v>105</v>
      </c>
      <c r="AE46" s="259">
        <f>'6'!Y46</f>
        <v>1.33</v>
      </c>
      <c r="AF46" s="260" t="s">
        <v>106</v>
      </c>
      <c r="AG46" s="261">
        <f>SUM('6'!Y47,'6'!AA47,'6'!AC47,'6'!AE47)</f>
        <v>282627.66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'6'!Y45*'6'!Y46</f>
        <v>21968.94</v>
      </c>
      <c r="Z47" s="133" t="s">
        <v>108</v>
      </c>
      <c r="AA47" s="254">
        <f>'6'!AA45*'6'!AA46</f>
        <v>55838.72</v>
      </c>
      <c r="AB47" s="133" t="s">
        <v>108</v>
      </c>
      <c r="AC47" s="254">
        <f>'6'!AC45*'6'!AC46</f>
        <v>0</v>
      </c>
      <c r="AD47" s="133" t="s">
        <v>108</v>
      </c>
      <c r="AE47" s="254">
        <f>'6'!AE45*'6'!AE46</f>
        <v>204820</v>
      </c>
      <c r="AF47" s="46"/>
      <c r="AG47" s="46"/>
      <c r="AI47" s="133" t="s">
        <v>104</v>
      </c>
      <c r="AJ47" s="254">
        <f>'6'!AJ46*275.3</f>
        <v>0</v>
      </c>
      <c r="AK47" s="133" t="s">
        <v>104</v>
      </c>
      <c r="AL47" s="254">
        <f>262.4*'6'!AL46</f>
        <v>0</v>
      </c>
      <c r="AM47" s="133" t="s">
        <v>104</v>
      </c>
      <c r="AN47" s="254">
        <f>'6'!AN46*277.7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'6'!Y46</f>
        <v>1.33</v>
      </c>
      <c r="AK48" s="265" t="s">
        <v>105</v>
      </c>
      <c r="AL48" s="258">
        <f>'6'!AJ48</f>
        <v>1.33</v>
      </c>
      <c r="AM48" s="265" t="s">
        <v>105</v>
      </c>
      <c r="AN48" s="258">
        <f>'6'!AJ48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'6'!AJ47*'6'!AJ48</f>
        <v>0</v>
      </c>
      <c r="AK49" s="133" t="s">
        <v>108</v>
      </c>
      <c r="AL49" s="254">
        <f>'6'!AL47*'6'!AL48</f>
        <v>0</v>
      </c>
      <c r="AM49" s="133" t="s">
        <v>108</v>
      </c>
      <c r="AN49" s="254">
        <f>'6'!AN47*'6'!AN48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COUNTA('6'!O7:O18)</f>
        <v>12</v>
      </c>
      <c r="P51" s="128"/>
      <c r="R51" s="247">
        <f>COUNTIF('6'!O7:O18,"&gt;=0,5")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SUM('6'!Y53,'6'!AA53,'6'!AC53,'6'!AE53)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'6'!Y52*275.3</f>
        <v>0</v>
      </c>
      <c r="Z53" s="133" t="s">
        <v>104</v>
      </c>
      <c r="AA53" s="254">
        <f>262.4*'6'!AA52</f>
        <v>0</v>
      </c>
      <c r="AB53" s="133" t="s">
        <v>104</v>
      </c>
      <c r="AC53" s="254">
        <f>'6'!AC52*277.7</f>
        <v>0</v>
      </c>
      <c r="AD53" s="133" t="s">
        <v>104</v>
      </c>
      <c r="AE53" s="133">
        <v>0.0</v>
      </c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'6'!AS7</f>
        <v>1.377</v>
      </c>
      <c r="Z54" s="196" t="s">
        <v>105</v>
      </c>
      <c r="AA54" s="258">
        <f>'6'!Y54</f>
        <v>1.377</v>
      </c>
      <c r="AB54" s="196" t="s">
        <v>105</v>
      </c>
      <c r="AC54" s="258">
        <f>'6'!Y54</f>
        <v>1.377</v>
      </c>
      <c r="AD54" s="196" t="s">
        <v>105</v>
      </c>
      <c r="AE54" s="259">
        <f>'6'!Y54</f>
        <v>1.377</v>
      </c>
      <c r="AF54" s="260" t="s">
        <v>106</v>
      </c>
      <c r="AG54" s="261">
        <f>SUM('6'!Y55,'6'!AA55,'6'!AC55,'6'!AE55)</f>
        <v>0</v>
      </c>
      <c r="AI54" s="133" t="s">
        <v>104</v>
      </c>
      <c r="AJ54" s="254">
        <f>'6'!AJ53*275.3</f>
        <v>0</v>
      </c>
      <c r="AK54" s="133" t="s">
        <v>104</v>
      </c>
      <c r="AL54" s="254">
        <f>262.4*'6'!AL53</f>
        <v>0</v>
      </c>
      <c r="AM54" s="133" t="s">
        <v>104</v>
      </c>
      <c r="AN54" s="276">
        <f>'6'!AN53*277.7</f>
        <v>0</v>
      </c>
      <c r="AO54" s="43"/>
      <c r="AR54" s="27"/>
    </row>
    <row r="55" ht="18.75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'6'!Y53*'6'!Y54</f>
        <v>0</v>
      </c>
      <c r="Z55" s="133" t="s">
        <v>108</v>
      </c>
      <c r="AA55" s="254">
        <f>'6'!AA53*'6'!AA54</f>
        <v>0</v>
      </c>
      <c r="AB55" s="133" t="s">
        <v>108</v>
      </c>
      <c r="AC55" s="254">
        <f>'6'!AC53*'6'!AC54</f>
        <v>0</v>
      </c>
      <c r="AD55" s="133" t="s">
        <v>108</v>
      </c>
      <c r="AE55" s="254">
        <f>'6'!AE53*'6'!AE54</f>
        <v>0</v>
      </c>
      <c r="AF55" s="46"/>
      <c r="AG55" s="46"/>
      <c r="AI55" s="196" t="s">
        <v>105</v>
      </c>
      <c r="AJ55" s="258">
        <f>'6'!Y54</f>
        <v>1.377</v>
      </c>
      <c r="AK55" s="196" t="s">
        <v>105</v>
      </c>
      <c r="AL55" s="258">
        <f>'6'!AJ55</f>
        <v>1.377</v>
      </c>
      <c r="AM55" s="196" t="s">
        <v>105</v>
      </c>
      <c r="AN55" s="258">
        <f>'6'!AJ55</f>
        <v>1.377</v>
      </c>
      <c r="AO55" s="43"/>
      <c r="AR55" s="27"/>
    </row>
    <row r="56" ht="16.5" customHeight="1">
      <c r="O56" s="16"/>
      <c r="P56" s="18"/>
      <c r="R56" s="16"/>
      <c r="S56" s="17"/>
      <c r="T56" s="18"/>
      <c r="AI56" s="133" t="s">
        <v>108</v>
      </c>
      <c r="AJ56" s="254">
        <f>'6'!AJ54*'6'!AJ55</f>
        <v>0</v>
      </c>
      <c r="AK56" s="133" t="s">
        <v>108</v>
      </c>
      <c r="AL56" s="254">
        <f>'6'!AL54*'6'!AL55</f>
        <v>0</v>
      </c>
      <c r="AM56" s="133" t="s">
        <v>108</v>
      </c>
      <c r="AN56" s="254">
        <f>'6'!AN54*'6'!AN55</f>
        <v>0</v>
      </c>
      <c r="AO56" s="16"/>
      <c r="AP56" s="17"/>
      <c r="AQ56" s="17"/>
      <c r="AR56" s="18"/>
    </row>
    <row r="57" ht="15.75" customHeight="1">
      <c r="O57" s="169">
        <f>COUNTA('6'!N7:N18)</f>
        <v>12</v>
      </c>
      <c r="P57" s="128"/>
      <c r="R57" s="277">
        <f>COUNTIF('6'!N7:N18,"&gt;=6")</f>
        <v>12</v>
      </c>
      <c r="S57" s="127"/>
      <c r="T57" s="128"/>
      <c r="AE57" s="97"/>
    </row>
    <row r="58" ht="16.5" customHeight="1">
      <c r="X58" s="278" t="s">
        <v>116</v>
      </c>
      <c r="Y58" s="127"/>
      <c r="Z58" s="127"/>
      <c r="AA58" s="127"/>
      <c r="AB58" s="127"/>
      <c r="AC58" s="128"/>
    </row>
    <row r="59" ht="16.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6.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6.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'6'!AJ56+'6'!AL56+'6'!AN56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47414.5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'6'!AL61-'6'!AL62</f>
        <v>0</v>
      </c>
      <c r="AM63" s="80"/>
      <c r="AN63" s="286" t="s">
        <v>125</v>
      </c>
      <c r="AO63" s="79"/>
      <c r="AP63" s="80"/>
      <c r="AQ63" s="287">
        <f>AQ61-AQ62</f>
        <v>-47414.5</v>
      </c>
      <c r="AR63" s="80"/>
    </row>
    <row r="64" ht="15.0" customHeight="1">
      <c r="X64" s="294"/>
      <c r="Y64" s="295"/>
      <c r="Z64" s="43"/>
      <c r="AA64" s="27"/>
      <c r="AB64" s="367"/>
      <c r="AC64" s="125">
        <v>0.0</v>
      </c>
    </row>
    <row r="65" ht="39.0" customHeight="1">
      <c r="X65" s="297" t="s">
        <v>126</v>
      </c>
      <c r="Y65" s="298">
        <f>'5'!$Y$68</f>
        <v>-11114.32217</v>
      </c>
      <c r="Z65" s="43"/>
      <c r="AA65" s="27"/>
      <c r="AB65" s="299" t="s">
        <v>126</v>
      </c>
      <c r="AC65" s="330">
        <f>'5'!$AC$68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>
        <f>SUM('6'!AK38,'6'!AP38)</f>
        <v>2133.8</v>
      </c>
      <c r="Z67" s="43"/>
      <c r="AA67" s="27"/>
      <c r="AB67" s="296" t="s">
        <v>124</v>
      </c>
      <c r="AC67" s="254">
        <f>SUM('6'!AM38,'6'!AR38)</f>
        <v>0</v>
      </c>
    </row>
    <row r="68" ht="15.75" customHeight="1">
      <c r="X68" s="294" t="s">
        <v>128</v>
      </c>
      <c r="Y68" s="301">
        <f>SUM('6'!Y63,'6'!Y65)-'6'!Y67</f>
        <v>-13248.12217</v>
      </c>
      <c r="Z68" s="16"/>
      <c r="AA68" s="18"/>
      <c r="AB68" s="296" t="s">
        <v>128</v>
      </c>
      <c r="AC68" s="302">
        <f>SUM('6'!AC63,'6'!AC65)-'6'!AC67-'6'!AC64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0" width="8.71"/>
    <col customWidth="1" min="21" max="24" width="8.57"/>
    <col customWidth="1" min="25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68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69" t="s">
        <v>13</v>
      </c>
      <c r="U4" s="332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3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3221.0</v>
      </c>
      <c r="Z6" s="308">
        <v>1480.0</v>
      </c>
      <c r="AA6" s="56">
        <v>1.0</v>
      </c>
      <c r="AB6" s="58">
        <f>IF('6'!AA11=1,(('6'!Z11*'6'!$AS$6*'6'!$AT$6)/('6'!Y11*0.0036)),IF('6'!AA11=2,(('6'!Z11*'6'!$AS$7*'6'!$AT$7)/('6'!Y11*0.0036))))</f>
        <v>84.09555486</v>
      </c>
      <c r="AC6" s="58"/>
      <c r="AD6" s="59"/>
      <c r="AE6" s="60"/>
      <c r="AF6" s="61">
        <f>('7'!AE6/24)*0.454</f>
        <v>0</v>
      </c>
      <c r="AG6" s="60"/>
      <c r="AH6" s="61">
        <f>('7'!AG6/24)*0.454</f>
        <v>0</v>
      </c>
      <c r="AI6" s="60">
        <v>5000.0</v>
      </c>
      <c r="AJ6" s="61">
        <f>('7'!AI6/24)*0.454</f>
        <v>94.58333333</v>
      </c>
      <c r="AK6" s="62"/>
      <c r="AL6" s="63">
        <f>('7'!AK6/24)*0.454</f>
        <v>0</v>
      </c>
      <c r="AM6" s="62"/>
      <c r="AN6" s="63">
        <f>('7'!AM6/24)*0.454</f>
        <v>0</v>
      </c>
      <c r="AO6" s="62"/>
      <c r="AP6" s="63">
        <f>('7'!AO6/24)*0.454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5.0" customHeight="1">
      <c r="A7" s="69">
        <v>0.0</v>
      </c>
      <c r="B7" s="76">
        <v>220.0</v>
      </c>
      <c r="C7" s="76">
        <v>12.6</v>
      </c>
      <c r="D7" s="76">
        <v>12.3</v>
      </c>
      <c r="E7" s="76">
        <v>6.8</v>
      </c>
      <c r="F7" s="76">
        <v>49.3</v>
      </c>
      <c r="G7" s="76">
        <v>1.3</v>
      </c>
      <c r="H7" s="76">
        <v>1.1</v>
      </c>
      <c r="I7" s="76">
        <v>0.6</v>
      </c>
      <c r="J7" s="76">
        <v>0.6</v>
      </c>
      <c r="K7" s="76">
        <v>6.8</v>
      </c>
      <c r="L7" s="76">
        <v>6.2</v>
      </c>
      <c r="M7" s="76">
        <v>6.3</v>
      </c>
      <c r="N7" s="76">
        <v>6.1</v>
      </c>
      <c r="O7" s="76">
        <v>3.6</v>
      </c>
      <c r="P7" s="76"/>
      <c r="Q7" s="310"/>
      <c r="R7" s="77">
        <f>'6'!$Z$29</f>
        <v>1480</v>
      </c>
      <c r="S7" s="309">
        <f>'6'!$AB$29</f>
        <v>84.69296434</v>
      </c>
      <c r="T7" s="77">
        <f>'6'!$Y$29</f>
        <v>3228</v>
      </c>
      <c r="U7" s="73" t="str">
        <f>IF('7'!AA6=1,'7'!AR6,'7'!AR7)</f>
        <v>S.A.L</v>
      </c>
      <c r="V7" s="90" t="str">
        <f>ESCALA!$C$8</f>
        <v/>
      </c>
      <c r="W7" s="89"/>
      <c r="X7" s="54">
        <v>0.0833333333333333</v>
      </c>
      <c r="Y7" s="125">
        <v>3213.0</v>
      </c>
      <c r="Z7" s="308">
        <v>1480.0</v>
      </c>
      <c r="AA7" s="56">
        <v>1.0</v>
      </c>
      <c r="AB7" s="58">
        <f>IF('6'!AA12=1,(('6'!Z12*'6'!$AS$6*'6'!$AT$6)/('6'!Y12*0.0036)),IF('6'!AA12=2,(('6'!Z12*'6'!$AS$7*'6'!$AT$7)/('6'!Y12*0.0036))))</f>
        <v>84.43783483</v>
      </c>
      <c r="AC7" s="58"/>
      <c r="AD7" s="59"/>
      <c r="AE7" s="60"/>
      <c r="AF7" s="61">
        <f>('7'!AE7/24)*0.454</f>
        <v>0</v>
      </c>
      <c r="AG7" s="60"/>
      <c r="AH7" s="61">
        <f>('7'!AG7/24)*0.454</f>
        <v>0</v>
      </c>
      <c r="AI7" s="60">
        <v>5000.0</v>
      </c>
      <c r="AJ7" s="61">
        <f>('7'!AI7/24)*0.454</f>
        <v>94.58333333</v>
      </c>
      <c r="AK7" s="62"/>
      <c r="AL7" s="63">
        <f>('7'!AK7/24)*0.454</f>
        <v>0</v>
      </c>
      <c r="AM7" s="62"/>
      <c r="AN7" s="63">
        <f>('7'!AM7/24)*0.454</f>
        <v>0</v>
      </c>
      <c r="AO7" s="62"/>
      <c r="AP7" s="63">
        <f>('7'!AO7/24)*0.454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5.0" customHeight="1">
      <c r="A8" s="69">
        <v>0.0833333333333333</v>
      </c>
      <c r="B8" s="76">
        <v>236.0</v>
      </c>
      <c r="C8" s="76">
        <v>12.8</v>
      </c>
      <c r="D8" s="76">
        <v>12.0</v>
      </c>
      <c r="E8" s="76">
        <v>6.9</v>
      </c>
      <c r="F8" s="76">
        <v>40.6</v>
      </c>
      <c r="G8" s="76">
        <v>1.3</v>
      </c>
      <c r="H8" s="76">
        <v>1.1</v>
      </c>
      <c r="I8" s="76">
        <v>0.7</v>
      </c>
      <c r="J8" s="76">
        <v>0.6</v>
      </c>
      <c r="K8" s="76">
        <v>6.8</v>
      </c>
      <c r="L8" s="76">
        <v>6.2</v>
      </c>
      <c r="M8" s="76">
        <v>6.3</v>
      </c>
      <c r="N8" s="76">
        <v>6.1</v>
      </c>
      <c r="O8" s="76">
        <v>3.6</v>
      </c>
      <c r="P8" s="76"/>
      <c r="Q8" s="310"/>
      <c r="R8" s="75">
        <f>Z7</f>
        <v>1480</v>
      </c>
      <c r="S8" s="76">
        <f>AB7</f>
        <v>84.43783483</v>
      </c>
      <c r="T8" s="77">
        <f>Y7</f>
        <v>3213</v>
      </c>
      <c r="U8" s="73" t="str">
        <f>IF('7'!AA7=1,'7'!AR6,'7'!AR7)</f>
        <v>S.A.L</v>
      </c>
      <c r="V8" s="43"/>
      <c r="W8" s="27"/>
      <c r="X8" s="54">
        <v>0.125</v>
      </c>
      <c r="Y8" s="125">
        <v>3240.0</v>
      </c>
      <c r="Z8" s="308">
        <v>1480.0</v>
      </c>
      <c r="AA8" s="56">
        <v>1.0</v>
      </c>
      <c r="AB8" s="58">
        <f>IF('6'!AA13=1,(('6'!Z13*'6'!$AS$6*'6'!$AT$6)/('6'!Y13*0.0036)),IF('6'!AA13=2,(('6'!Z13*'6'!$AS$7*'6'!$AT$7)/('6'!Y13*0.0036))))</f>
        <v>84.40533772</v>
      </c>
      <c r="AC8" s="58"/>
      <c r="AD8" s="59"/>
      <c r="AE8" s="60"/>
      <c r="AF8" s="61">
        <f>('7'!AE8/24)*0.454</f>
        <v>0</v>
      </c>
      <c r="AG8" s="60"/>
      <c r="AH8" s="61">
        <f>('7'!AG8/24)*0.454</f>
        <v>0</v>
      </c>
      <c r="AI8" s="60">
        <v>5000.0</v>
      </c>
      <c r="AJ8" s="61">
        <f>('7'!AI8/24)*0.454</f>
        <v>94.58333333</v>
      </c>
      <c r="AK8" s="62"/>
      <c r="AL8" s="63">
        <f>('7'!AK8/24)*0.454</f>
        <v>0</v>
      </c>
      <c r="AM8" s="62"/>
      <c r="AN8" s="63">
        <f>('7'!AM8/24)*0.454</f>
        <v>0</v>
      </c>
      <c r="AO8" s="62"/>
      <c r="AP8" s="63">
        <f>('7'!AO8/24)*0.454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232.0</v>
      </c>
      <c r="C9" s="76">
        <v>12.6</v>
      </c>
      <c r="D9" s="76">
        <v>11.9</v>
      </c>
      <c r="E9" s="76">
        <v>6.9</v>
      </c>
      <c r="F9" s="76">
        <v>36.9</v>
      </c>
      <c r="G9" s="76">
        <v>1.2</v>
      </c>
      <c r="H9" s="76">
        <v>1.0</v>
      </c>
      <c r="I9" s="76">
        <v>0.6</v>
      </c>
      <c r="J9" s="76">
        <v>0.7</v>
      </c>
      <c r="K9" s="76">
        <v>6.8</v>
      </c>
      <c r="L9" s="76">
        <v>6.3</v>
      </c>
      <c r="M9" s="76">
        <v>6.4</v>
      </c>
      <c r="N9" s="76">
        <v>6.2</v>
      </c>
      <c r="O9" s="76">
        <v>3.6</v>
      </c>
      <c r="P9" s="76"/>
      <c r="Q9" s="310"/>
      <c r="R9" s="77">
        <f>Z9</f>
        <v>1480</v>
      </c>
      <c r="S9" s="76">
        <f>AB9</f>
        <v>84.92975734</v>
      </c>
      <c r="T9" s="77">
        <f>Y9</f>
        <v>3254</v>
      </c>
      <c r="U9" s="73" t="str">
        <f>IF('7'!AA9=1,'7'!AR6,'7'!AR7)</f>
        <v>S.A.L</v>
      </c>
      <c r="V9" s="43"/>
      <c r="W9" s="27"/>
      <c r="X9" s="54">
        <v>0.166666666666667</v>
      </c>
      <c r="Y9" s="125">
        <v>3254.0</v>
      </c>
      <c r="Z9" s="308">
        <v>1480.0</v>
      </c>
      <c r="AA9" s="56">
        <v>1.0</v>
      </c>
      <c r="AB9" s="58">
        <f>IF('6'!AA14=1,(('6'!Z14*'6'!$AS$6*'6'!$AT$6)/('6'!Y14*0.0036)),IF('6'!AA14=2,(('6'!Z14*'6'!$AS$7*'6'!$AT$7)/('6'!Y14*0.0036))))</f>
        <v>84.92975734</v>
      </c>
      <c r="AC9" s="58"/>
      <c r="AD9" s="59"/>
      <c r="AE9" s="60"/>
      <c r="AF9" s="61">
        <f>('7'!AE9/24)*0.454</f>
        <v>0</v>
      </c>
      <c r="AG9" s="60"/>
      <c r="AH9" s="61">
        <f>('7'!AG9/24)*0.454</f>
        <v>0</v>
      </c>
      <c r="AI9" s="60">
        <v>5000.0</v>
      </c>
      <c r="AJ9" s="61">
        <f>('7'!AI9/24)*0.454</f>
        <v>94.58333333</v>
      </c>
      <c r="AK9" s="62"/>
      <c r="AL9" s="63">
        <f>('7'!AK9/24)*0.454</f>
        <v>0</v>
      </c>
      <c r="AM9" s="62"/>
      <c r="AN9" s="63">
        <f>('7'!AM9/24)*0.454</f>
        <v>0</v>
      </c>
      <c r="AO9" s="62"/>
      <c r="AP9" s="63">
        <f>('7'!AO9/24)*0.454</f>
        <v>0</v>
      </c>
      <c r="AQ9" s="81" t="s">
        <v>37</v>
      </c>
      <c r="AR9" s="79"/>
      <c r="AS9" s="80"/>
      <c r="AT9" s="82" t="s">
        <v>39</v>
      </c>
    </row>
    <row r="10" ht="15.0" customHeight="1">
      <c r="A10" s="69">
        <v>0.25</v>
      </c>
      <c r="B10" s="76">
        <v>230.0</v>
      </c>
      <c r="C10" s="76">
        <v>12.4</v>
      </c>
      <c r="D10" s="76">
        <v>11.5</v>
      </c>
      <c r="E10" s="76">
        <v>6.9</v>
      </c>
      <c r="F10" s="76">
        <v>31.7</v>
      </c>
      <c r="G10" s="76">
        <v>1.0</v>
      </c>
      <c r="H10" s="76">
        <v>0.9</v>
      </c>
      <c r="I10" s="76">
        <v>0.6</v>
      </c>
      <c r="J10" s="76">
        <v>0.7</v>
      </c>
      <c r="K10" s="76">
        <v>6.8</v>
      </c>
      <c r="L10" s="76">
        <v>6.5</v>
      </c>
      <c r="M10" s="76">
        <v>6.5</v>
      </c>
      <c r="N10" s="76">
        <v>6.2</v>
      </c>
      <c r="O10" s="76">
        <v>3.6</v>
      </c>
      <c r="P10" s="76"/>
      <c r="Q10" s="310"/>
      <c r="R10" s="77">
        <f>Z11</f>
        <v>1480</v>
      </c>
      <c r="S10" s="76">
        <f>AB11</f>
        <v>84.09555486</v>
      </c>
      <c r="T10" s="77">
        <f>Y11</f>
        <v>3257</v>
      </c>
      <c r="U10" s="73" t="str">
        <f>IF('7'!AA11=1,'7'!AR6,'7'!AR7)</f>
        <v>S.A.L</v>
      </c>
      <c r="V10" s="43"/>
      <c r="W10" s="27"/>
      <c r="X10" s="54">
        <v>0.208333333333333</v>
      </c>
      <c r="Y10" s="125">
        <v>3204.0</v>
      </c>
      <c r="Z10" s="308">
        <v>1480.0</v>
      </c>
      <c r="AA10" s="56">
        <v>1.0</v>
      </c>
      <c r="AB10" s="58">
        <f>IF('6'!AA15=1,(('6'!Z15*'6'!$AS$6*'6'!$AT$6)/('6'!Y15*0.0036)),IF('6'!AA15=2,(('6'!Z15*'6'!$AS$7*'6'!$AT$7)/('6'!Y15*0.0036))))</f>
        <v>84.22331759</v>
      </c>
      <c r="AC10" s="58"/>
      <c r="AD10" s="59"/>
      <c r="AE10" s="60"/>
      <c r="AF10" s="61">
        <f>('7'!AE10/24)*0.454</f>
        <v>0</v>
      </c>
      <c r="AG10" s="60"/>
      <c r="AH10" s="61">
        <f>('7'!AG10/24)*0.454</f>
        <v>0</v>
      </c>
      <c r="AI10" s="60">
        <v>5000.0</v>
      </c>
      <c r="AJ10" s="61">
        <f>('7'!AI10/24)*0.454</f>
        <v>94.58333333</v>
      </c>
      <c r="AK10" s="62"/>
      <c r="AL10" s="63">
        <f>('7'!AK10/24)*0.454</f>
        <v>0</v>
      </c>
      <c r="AM10" s="62"/>
      <c r="AN10" s="63">
        <f>('7'!AM10/24)*0.454</f>
        <v>0</v>
      </c>
      <c r="AO10" s="62"/>
      <c r="AP10" s="63">
        <f>('7'!AO10/24)*0.454</f>
        <v>0</v>
      </c>
      <c r="AQ10" s="84" t="s">
        <v>51</v>
      </c>
      <c r="AR10" s="79"/>
      <c r="AS10" s="80"/>
      <c r="AT10" s="85">
        <v>0.002</v>
      </c>
    </row>
    <row r="11" ht="15.0" customHeight="1">
      <c r="A11" s="69">
        <v>0.333333333333333</v>
      </c>
      <c r="B11" s="76">
        <v>238.0</v>
      </c>
      <c r="C11" s="76">
        <v>13.0</v>
      </c>
      <c r="D11" s="76">
        <v>12.0</v>
      </c>
      <c r="E11" s="76">
        <v>8.0</v>
      </c>
      <c r="F11" s="76">
        <v>33.0</v>
      </c>
      <c r="G11" s="76">
        <v>0.9</v>
      </c>
      <c r="H11" s="76">
        <v>0.9</v>
      </c>
      <c r="I11" s="76">
        <v>0.6</v>
      </c>
      <c r="J11" s="76">
        <v>0.6</v>
      </c>
      <c r="K11" s="76">
        <v>6.8</v>
      </c>
      <c r="L11" s="76">
        <v>6.5</v>
      </c>
      <c r="M11" s="76">
        <v>6.5</v>
      </c>
      <c r="N11" s="76">
        <v>6.2</v>
      </c>
      <c r="O11" s="76">
        <v>3.6</v>
      </c>
      <c r="P11" s="76"/>
      <c r="Q11" s="310"/>
      <c r="R11" s="77">
        <f>Z13</f>
        <v>1480</v>
      </c>
      <c r="S11" s="76">
        <f>AB13</f>
        <v>84.40533772</v>
      </c>
      <c r="T11" s="77">
        <f>Y13</f>
        <v>3375</v>
      </c>
      <c r="U11" s="73" t="str">
        <f>IF('7'!AA13=1,'7'!AR6,'7'!AR7)</f>
        <v>S.A.L</v>
      </c>
      <c r="V11" s="16"/>
      <c r="W11" s="18"/>
      <c r="X11" s="54">
        <v>0.25</v>
      </c>
      <c r="Y11" s="125">
        <v>3257.0</v>
      </c>
      <c r="Z11" s="308">
        <v>1480.0</v>
      </c>
      <c r="AA11" s="56">
        <v>1.0</v>
      </c>
      <c r="AB11" s="58">
        <f>IF('6'!AA11=1,(('6'!Z11*'6'!$AS$6*'6'!$AT$6)/('6'!Y11*0.0036)),IF('6'!AA11=2,(('6'!Z11*'6'!$AS$7*'6'!$AT$7)/('6'!Y11*0.0036))))</f>
        <v>84.09555486</v>
      </c>
      <c r="AC11" s="58"/>
      <c r="AD11" s="59"/>
      <c r="AE11" s="60"/>
      <c r="AF11" s="61">
        <f>('7'!AE11/24)*0.454</f>
        <v>0</v>
      </c>
      <c r="AG11" s="60"/>
      <c r="AH11" s="61">
        <f>('7'!AG11/24)*0.454</f>
        <v>0</v>
      </c>
      <c r="AI11" s="60">
        <v>5000.0</v>
      </c>
      <c r="AJ11" s="61">
        <f>('7'!AI11/24)*0.454</f>
        <v>94.58333333</v>
      </c>
      <c r="AK11" s="62"/>
      <c r="AL11" s="63">
        <f>('7'!AK11/24)*0.454</f>
        <v>0</v>
      </c>
      <c r="AM11" s="62"/>
      <c r="AN11" s="63">
        <f>('7'!AM11/24)*0.454</f>
        <v>0</v>
      </c>
      <c r="AO11" s="62"/>
      <c r="AP11" s="63">
        <f>('7'!AO11/24)*0.454</f>
        <v>0</v>
      </c>
    </row>
    <row r="12" ht="15.0" customHeight="1">
      <c r="A12" s="69">
        <v>0.416666666666667</v>
      </c>
      <c r="B12" s="76">
        <v>243.0</v>
      </c>
      <c r="C12" s="76">
        <v>17.0</v>
      </c>
      <c r="D12" s="76">
        <v>19.0</v>
      </c>
      <c r="E12" s="76">
        <v>8.0</v>
      </c>
      <c r="F12" s="76">
        <v>32.0</v>
      </c>
      <c r="G12" s="76">
        <v>1.3</v>
      </c>
      <c r="H12" s="76">
        <v>1.6</v>
      </c>
      <c r="I12" s="76">
        <v>0.6</v>
      </c>
      <c r="J12" s="76">
        <v>0.8</v>
      </c>
      <c r="K12" s="76">
        <v>6.8</v>
      </c>
      <c r="L12" s="76">
        <v>6.5</v>
      </c>
      <c r="M12" s="76">
        <v>6.5</v>
      </c>
      <c r="N12" s="76">
        <v>6.2</v>
      </c>
      <c r="O12" s="76">
        <v>3.6</v>
      </c>
      <c r="P12" s="76"/>
      <c r="Q12" s="310"/>
      <c r="R12" s="77">
        <f>Z15</f>
        <v>1480</v>
      </c>
      <c r="S12" s="76">
        <f>AB15</f>
        <v>84.22331759</v>
      </c>
      <c r="T12" s="77">
        <f>Y15</f>
        <v>3357</v>
      </c>
      <c r="U12" s="73" t="str">
        <f>IF('7'!AA15=1,'7'!AR6,'7'!AR7)</f>
        <v>S.A.L</v>
      </c>
      <c r="V12" s="90" t="str">
        <f>ESCALA!$B$9</f>
        <v/>
      </c>
      <c r="W12" s="89"/>
      <c r="X12" s="54">
        <v>0.291666666666667</v>
      </c>
      <c r="Y12" s="125">
        <v>3442.0</v>
      </c>
      <c r="Z12" s="308">
        <v>1480.0</v>
      </c>
      <c r="AA12" s="56">
        <v>1.0</v>
      </c>
      <c r="AB12" s="58">
        <f>IF('6'!AA12=1,(('6'!Z12*'6'!$AS$6*'6'!$AT$6)/('6'!Y12*0.0036)),IF('6'!AA12=2,(('6'!Z12*'6'!$AS$7*'6'!$AT$7)/('6'!Y12*0.0036))))</f>
        <v>84.43783483</v>
      </c>
      <c r="AC12" s="58"/>
      <c r="AD12" s="59"/>
      <c r="AE12" s="60"/>
      <c r="AF12" s="61">
        <f>('7'!AE12/24)*0.454</f>
        <v>0</v>
      </c>
      <c r="AG12" s="60"/>
      <c r="AH12" s="61">
        <f>('7'!AG12/24)*0.454</f>
        <v>0</v>
      </c>
      <c r="AI12" s="60">
        <v>5000.0</v>
      </c>
      <c r="AJ12" s="61">
        <f>('7'!AI12/24)*0.454</f>
        <v>94.58333333</v>
      </c>
      <c r="AK12" s="62"/>
      <c r="AL12" s="63">
        <f>('7'!AK12/24)*0.454</f>
        <v>0</v>
      </c>
      <c r="AM12" s="62"/>
      <c r="AN12" s="63">
        <f>('7'!AM12/24)*0.454</f>
        <v>0</v>
      </c>
      <c r="AO12" s="62"/>
      <c r="AP12" s="63">
        <f>('7'!AO12/24)*0.454</f>
        <v>0</v>
      </c>
    </row>
    <row r="13" ht="15.0" customHeight="1">
      <c r="A13" s="69">
        <v>0.5</v>
      </c>
      <c r="B13" s="76">
        <v>240.0</v>
      </c>
      <c r="C13" s="76">
        <v>18.0</v>
      </c>
      <c r="D13" s="76">
        <v>20.0</v>
      </c>
      <c r="E13" s="76">
        <v>8.0</v>
      </c>
      <c r="F13" s="76">
        <v>32.0</v>
      </c>
      <c r="G13" s="76">
        <v>1.4</v>
      </c>
      <c r="H13" s="76">
        <v>1.7</v>
      </c>
      <c r="I13" s="76">
        <v>0.6</v>
      </c>
      <c r="J13" s="76">
        <v>0.8</v>
      </c>
      <c r="K13" s="76">
        <v>6.8</v>
      </c>
      <c r="L13" s="76">
        <v>6.5</v>
      </c>
      <c r="M13" s="76">
        <v>6.5</v>
      </c>
      <c r="N13" s="76">
        <v>6.2</v>
      </c>
      <c r="O13" s="76">
        <v>3.6</v>
      </c>
      <c r="P13" s="76"/>
      <c r="Q13" s="310"/>
      <c r="R13" s="77">
        <f>Z17</f>
        <v>1480</v>
      </c>
      <c r="S13" s="76">
        <f>AB17</f>
        <v>84.06792401</v>
      </c>
      <c r="T13" s="77">
        <f>Y17</f>
        <v>3310</v>
      </c>
      <c r="U13" s="73" t="str">
        <f>IF('7'!AA17=1,'7'!AR6,'7'!AR7)</f>
        <v>S.A.L</v>
      </c>
      <c r="V13" s="43"/>
      <c r="W13" s="27"/>
      <c r="X13" s="54">
        <v>0.333333333333333</v>
      </c>
      <c r="Y13" s="125">
        <v>3375.0</v>
      </c>
      <c r="Z13" s="308">
        <v>1480.0</v>
      </c>
      <c r="AA13" s="56">
        <v>1.0</v>
      </c>
      <c r="AB13" s="58">
        <f>IF('6'!AA13=1,(('6'!Z13*'6'!$AS$6*'6'!$AT$6)/('6'!Y13*0.0036)),IF('6'!AA13=2,(('6'!Z13*'6'!$AS$7*'6'!$AT$7)/('6'!Y13*0.0036))))</f>
        <v>84.40533772</v>
      </c>
      <c r="AC13" s="58"/>
      <c r="AD13" s="59"/>
      <c r="AE13" s="60"/>
      <c r="AF13" s="61">
        <f>('7'!AE13/24)*0.454</f>
        <v>0</v>
      </c>
      <c r="AG13" s="60"/>
      <c r="AH13" s="61">
        <f>('7'!AG13/24)*0.454</f>
        <v>0</v>
      </c>
      <c r="AI13" s="60"/>
      <c r="AJ13" s="61">
        <f>('7'!AI13/24)*0.454</f>
        <v>0</v>
      </c>
      <c r="AK13" s="62"/>
      <c r="AL13" s="63">
        <f>('7'!AK13/24)*0.454</f>
        <v>0</v>
      </c>
      <c r="AM13" s="62"/>
      <c r="AN13" s="63">
        <f>('7'!AM13/24)*0.454</f>
        <v>0</v>
      </c>
      <c r="AO13" s="62"/>
      <c r="AP13" s="63">
        <f>('7'!AO13/24)*0.454</f>
        <v>0</v>
      </c>
    </row>
    <row r="14" ht="15.0" customHeight="1">
      <c r="A14" s="69">
        <v>0.583333333333333</v>
      </c>
      <c r="B14" s="76">
        <v>237.0</v>
      </c>
      <c r="C14" s="76">
        <v>18.0</v>
      </c>
      <c r="D14" s="76">
        <v>20.0</v>
      </c>
      <c r="E14" s="76">
        <v>8.0</v>
      </c>
      <c r="F14" s="76">
        <v>35.0</v>
      </c>
      <c r="G14" s="76">
        <v>1.4</v>
      </c>
      <c r="H14" s="76">
        <v>1.7</v>
      </c>
      <c r="I14" s="76">
        <v>0.7</v>
      </c>
      <c r="J14" s="76">
        <v>0.8</v>
      </c>
      <c r="K14" s="76">
        <v>6.8</v>
      </c>
      <c r="L14" s="76">
        <v>6.5</v>
      </c>
      <c r="M14" s="76">
        <v>6.5</v>
      </c>
      <c r="N14" s="76">
        <v>6.2</v>
      </c>
      <c r="O14" s="76">
        <v>3.6</v>
      </c>
      <c r="P14" s="76"/>
      <c r="Q14" s="310"/>
      <c r="R14" s="77">
        <f>Z19</f>
        <v>1480</v>
      </c>
      <c r="S14" s="76">
        <f>AB19</f>
        <v>85.08835633</v>
      </c>
      <c r="T14" s="77">
        <f>Y19</f>
        <v>3297</v>
      </c>
      <c r="U14" s="73" t="str">
        <f>IF('7'!AA19=1,'7'!AR6,'7'!AR7)</f>
        <v>S.A.L</v>
      </c>
      <c r="V14" s="43"/>
      <c r="W14" s="27"/>
      <c r="X14" s="54">
        <v>0.375</v>
      </c>
      <c r="Y14" s="60">
        <v>3348.0</v>
      </c>
      <c r="Z14" s="308">
        <v>1480.0</v>
      </c>
      <c r="AA14" s="56">
        <v>1.0</v>
      </c>
      <c r="AB14" s="58">
        <f>IF('6'!AA14=1,(('6'!Z14*'6'!$AS$6*'6'!$AT$6)/('6'!Y14*0.0036)),IF('6'!AA14=2,(('6'!Z14*'6'!$AS$7*'6'!$AT$7)/('6'!Y14*0.0036))))</f>
        <v>84.92975734</v>
      </c>
      <c r="AC14" s="58"/>
      <c r="AD14" s="59"/>
      <c r="AE14" s="60"/>
      <c r="AF14" s="61">
        <f>('7'!AE14/24)*0.454</f>
        <v>0</v>
      </c>
      <c r="AG14" s="60"/>
      <c r="AH14" s="61">
        <f>('7'!AG14/24)*0.454</f>
        <v>0</v>
      </c>
      <c r="AI14" s="60"/>
      <c r="AJ14" s="61">
        <f>('7'!AI14/24)*0.454</f>
        <v>0</v>
      </c>
      <c r="AK14" s="62"/>
      <c r="AL14" s="63">
        <f>('7'!AK14/24)*0.454</f>
        <v>0</v>
      </c>
      <c r="AM14" s="62"/>
      <c r="AN14" s="63">
        <f>('7'!AM14/24)*0.454</f>
        <v>0</v>
      </c>
      <c r="AO14" s="62"/>
      <c r="AP14" s="63">
        <f>('7'!AO14/24)*0.454</f>
        <v>0</v>
      </c>
    </row>
    <row r="15" ht="15.0" customHeight="1">
      <c r="A15" s="69">
        <v>0.666666666666667</v>
      </c>
      <c r="B15" s="76">
        <v>243.0</v>
      </c>
      <c r="C15" s="76">
        <v>16.0</v>
      </c>
      <c r="D15" s="76">
        <v>18.0</v>
      </c>
      <c r="E15" s="76">
        <v>8.0</v>
      </c>
      <c r="F15" s="76">
        <v>37.0</v>
      </c>
      <c r="G15" s="76">
        <v>1.5</v>
      </c>
      <c r="H15" s="76">
        <v>1.8</v>
      </c>
      <c r="I15" s="76">
        <v>0.7</v>
      </c>
      <c r="J15" s="76">
        <v>0.7</v>
      </c>
      <c r="K15" s="76">
        <v>6.8</v>
      </c>
      <c r="L15" s="76">
        <v>6.5</v>
      </c>
      <c r="M15" s="76">
        <v>6.5</v>
      </c>
      <c r="N15" s="76">
        <v>6.1</v>
      </c>
      <c r="O15" s="76">
        <v>3.6</v>
      </c>
      <c r="P15" s="76"/>
      <c r="Q15" s="310"/>
      <c r="R15" s="77">
        <f>Z21</f>
        <v>1480</v>
      </c>
      <c r="S15" s="76">
        <f>AB21</f>
        <v>84.87702232</v>
      </c>
      <c r="T15" s="77">
        <f>Y21</f>
        <v>3325</v>
      </c>
      <c r="U15" s="73" t="str">
        <f>IF('7'!AA21=1,'7'!AR6,'7'!AR7)</f>
        <v>S.A.L</v>
      </c>
      <c r="V15" s="43"/>
      <c r="W15" s="27"/>
      <c r="X15" s="54">
        <v>0.416666666666667</v>
      </c>
      <c r="Y15" s="125">
        <v>3357.0</v>
      </c>
      <c r="Z15" s="308">
        <v>1480.0</v>
      </c>
      <c r="AA15" s="56">
        <v>1.0</v>
      </c>
      <c r="AB15" s="58">
        <f>IF('6'!AA15=1,(('6'!Z15*'6'!$AS$6*'6'!$AT$6)/('6'!Y15*0.0036)),IF('6'!AA15=2,(('6'!Z15*'6'!$AS$7*'6'!$AT$7)/('6'!Y15*0.0036))))</f>
        <v>84.22331759</v>
      </c>
      <c r="AC15" s="58"/>
      <c r="AD15" s="59"/>
      <c r="AE15" s="60"/>
      <c r="AF15" s="61">
        <f>('7'!AE15/24)*0.454</f>
        <v>0</v>
      </c>
      <c r="AG15" s="60"/>
      <c r="AH15" s="61">
        <f>('7'!AG15/24)*0.454</f>
        <v>0</v>
      </c>
      <c r="AI15" s="60"/>
      <c r="AJ15" s="61">
        <f>('7'!AI15/24)*0.454</f>
        <v>0</v>
      </c>
      <c r="AK15" s="62"/>
      <c r="AL15" s="63">
        <f>('7'!AK15/24)*0.454</f>
        <v>0</v>
      </c>
      <c r="AM15" s="62"/>
      <c r="AN15" s="63">
        <f>('7'!AM15/24)*0.454</f>
        <v>0</v>
      </c>
      <c r="AO15" s="62"/>
      <c r="AP15" s="63">
        <f>('7'!AO15/24)*0.454</f>
        <v>0</v>
      </c>
    </row>
    <row r="16" ht="15.0" customHeight="1">
      <c r="A16" s="69">
        <v>0.75</v>
      </c>
      <c r="B16" s="76">
        <v>248.0</v>
      </c>
      <c r="C16" s="76">
        <v>16.0</v>
      </c>
      <c r="D16" s="76">
        <v>17.0</v>
      </c>
      <c r="E16" s="76">
        <v>8.0</v>
      </c>
      <c r="F16" s="76">
        <v>39.0</v>
      </c>
      <c r="G16" s="76">
        <v>1.6</v>
      </c>
      <c r="H16" s="76">
        <v>1.6</v>
      </c>
      <c r="I16" s="76">
        <v>0.6</v>
      </c>
      <c r="J16" s="76">
        <v>0.6</v>
      </c>
      <c r="K16" s="76">
        <v>6.9</v>
      </c>
      <c r="L16" s="76">
        <v>6.5</v>
      </c>
      <c r="M16" s="76">
        <v>6.5</v>
      </c>
      <c r="N16" s="76">
        <v>6.1</v>
      </c>
      <c r="O16" s="76">
        <v>3.6</v>
      </c>
      <c r="P16" s="76"/>
      <c r="Q16" s="310"/>
      <c r="R16" s="77">
        <f>Z23</f>
        <v>1480</v>
      </c>
      <c r="S16" s="76">
        <f>AB23</f>
        <v>84.30123</v>
      </c>
      <c r="T16" s="77">
        <f>Y23</f>
        <v>3364</v>
      </c>
      <c r="U16" s="73" t="str">
        <f>IF('7'!AA23=1,'7'!AR6,'7'!AR7)</f>
        <v>S.A.L</v>
      </c>
      <c r="V16" s="16"/>
      <c r="W16" s="18"/>
      <c r="X16" s="54">
        <v>0.458333333333333</v>
      </c>
      <c r="Y16" s="125">
        <v>3335.0</v>
      </c>
      <c r="Z16" s="308">
        <v>1480.0</v>
      </c>
      <c r="AA16" s="56">
        <v>1.0</v>
      </c>
      <c r="AB16" s="58">
        <f>IF('6'!AA16=1,(('6'!Z16*'6'!$AS$6*'6'!$AT$6)/('6'!Y16*0.0036)),IF('6'!AA16=2,(('6'!Z16*'6'!$AS$7*'6'!$AT$7)/('6'!Y16*0.0036))))</f>
        <v>83.40112535</v>
      </c>
      <c r="AC16" s="58"/>
      <c r="AD16" s="59"/>
      <c r="AE16" s="60"/>
      <c r="AF16" s="61">
        <f>('7'!AE16/24)*0.454</f>
        <v>0</v>
      </c>
      <c r="AG16" s="60"/>
      <c r="AH16" s="61">
        <f>('7'!AG16/24)*0.454</f>
        <v>0</v>
      </c>
      <c r="AI16" s="60"/>
      <c r="AJ16" s="61">
        <f>('7'!AI16/24)*0.454</f>
        <v>0</v>
      </c>
      <c r="AK16" s="62"/>
      <c r="AL16" s="63">
        <f>('7'!AK16/24)*0.454</f>
        <v>0</v>
      </c>
      <c r="AM16" s="62"/>
      <c r="AN16" s="63">
        <f>('7'!AM16/24)*0.454</f>
        <v>0</v>
      </c>
      <c r="AO16" s="62"/>
      <c r="AP16" s="63">
        <f>('7'!AO16/24)*0.454</f>
        <v>0</v>
      </c>
    </row>
    <row r="17" ht="15.0" customHeight="1">
      <c r="A17" s="69">
        <v>0.833333333333333</v>
      </c>
      <c r="B17" s="76">
        <v>252.0</v>
      </c>
      <c r="C17" s="76">
        <v>16.0</v>
      </c>
      <c r="D17" s="76">
        <v>15.0</v>
      </c>
      <c r="E17" s="76">
        <v>8.0</v>
      </c>
      <c r="F17" s="76">
        <v>42.0</v>
      </c>
      <c r="G17" s="76">
        <v>1.4</v>
      </c>
      <c r="H17" s="76">
        <v>1.6</v>
      </c>
      <c r="I17" s="76">
        <v>0.6</v>
      </c>
      <c r="J17" s="76">
        <v>0.6</v>
      </c>
      <c r="K17" s="76">
        <v>6.9</v>
      </c>
      <c r="L17" s="76">
        <v>6.5</v>
      </c>
      <c r="M17" s="76">
        <v>6.5</v>
      </c>
      <c r="N17" s="76">
        <v>6.1</v>
      </c>
      <c r="O17" s="76">
        <v>3.6</v>
      </c>
      <c r="P17" s="76"/>
      <c r="Q17" s="310"/>
      <c r="R17" s="77">
        <f>Z25</f>
        <v>1480</v>
      </c>
      <c r="S17" s="76">
        <f>AB25</f>
        <v>85.06188204</v>
      </c>
      <c r="T17" s="77">
        <f>Y25</f>
        <v>3362</v>
      </c>
      <c r="U17" s="73" t="str">
        <f>IF('7'!AA25=1,'7'!AR6,'7'!AR7)</f>
        <v>S.A.L</v>
      </c>
      <c r="V17" s="90" t="str">
        <f>ESCALA!$C$9</f>
        <v/>
      </c>
      <c r="W17" s="89"/>
      <c r="X17" s="54">
        <v>0.5</v>
      </c>
      <c r="Y17" s="125">
        <v>3310.0</v>
      </c>
      <c r="Z17" s="308">
        <v>1480.0</v>
      </c>
      <c r="AA17" s="56">
        <v>1.0</v>
      </c>
      <c r="AB17" s="58">
        <f>IF('6'!AA17=1,(('6'!Z17*'6'!$AS$6*'6'!$AT$6)/('6'!Y17*0.0036)),IF('6'!AA17=2,(('6'!Z17*'6'!$AS$7*'6'!$AT$7)/('6'!Y17*0.0036))))</f>
        <v>84.06792401</v>
      </c>
      <c r="AC17" s="58"/>
      <c r="AD17" s="59"/>
      <c r="AE17" s="60"/>
      <c r="AF17" s="61">
        <f>('7'!AE17/24)*0.454</f>
        <v>0</v>
      </c>
      <c r="AG17" s="60"/>
      <c r="AH17" s="61">
        <f>('7'!AG17/24)*0.454</f>
        <v>0</v>
      </c>
      <c r="AI17" s="60"/>
      <c r="AJ17" s="61">
        <f>('7'!AI17/24)*0.454</f>
        <v>0</v>
      </c>
      <c r="AK17" s="62"/>
      <c r="AL17" s="63">
        <f>('7'!AK17/24)*0.454</f>
        <v>0</v>
      </c>
      <c r="AM17" s="62"/>
      <c r="AN17" s="63">
        <f>('7'!AM17/24)*0.454</f>
        <v>0</v>
      </c>
      <c r="AO17" s="62"/>
      <c r="AP17" s="63">
        <f>('7'!AO17/24)*0.454</f>
        <v>0</v>
      </c>
    </row>
    <row r="18" ht="15.0" customHeight="1">
      <c r="A18" s="69">
        <v>0.916666666666667</v>
      </c>
      <c r="B18" s="76">
        <v>250.0</v>
      </c>
      <c r="C18" s="76">
        <v>15.0</v>
      </c>
      <c r="D18" s="76">
        <v>15.0</v>
      </c>
      <c r="E18" s="76">
        <v>8.0</v>
      </c>
      <c r="F18" s="76">
        <v>41.0</v>
      </c>
      <c r="G18" s="76">
        <v>1.3</v>
      </c>
      <c r="H18" s="76">
        <v>1.5</v>
      </c>
      <c r="I18" s="76">
        <v>0.6</v>
      </c>
      <c r="J18" s="76">
        <v>0.6</v>
      </c>
      <c r="K18" s="76">
        <v>6.9</v>
      </c>
      <c r="L18" s="76">
        <v>6.5</v>
      </c>
      <c r="M18" s="76">
        <v>6.5</v>
      </c>
      <c r="N18" s="76">
        <v>6.1</v>
      </c>
      <c r="O18" s="76">
        <v>3.6</v>
      </c>
      <c r="P18" s="76"/>
      <c r="Q18" s="310"/>
      <c r="R18" s="77">
        <f>Z27</f>
        <v>1480</v>
      </c>
      <c r="S18" s="76">
        <f>AB27</f>
        <v>84.0162535</v>
      </c>
      <c r="T18" s="77">
        <f>Y27</f>
        <v>3366</v>
      </c>
      <c r="U18" s="73" t="str">
        <f>IF('7'!AA27=1,'7'!AR6,'7'!AR7)</f>
        <v>S.A.L</v>
      </c>
      <c r="V18" s="16"/>
      <c r="W18" s="18"/>
      <c r="X18" s="54">
        <v>0.541666666666667</v>
      </c>
      <c r="Y18" s="125">
        <v>3295.0</v>
      </c>
      <c r="Z18" s="308">
        <v>1480.0</v>
      </c>
      <c r="AA18" s="56">
        <v>1.0</v>
      </c>
      <c r="AB18" s="58">
        <f>IF('6'!AA18=1,(('6'!Z18*'6'!$AS$6*'6'!$AT$6)/('6'!Y18*0.0036)),IF('6'!AA18=2,(('6'!Z18*'6'!$AS$7*'6'!$AT$7)/('6'!Y18*0.0036))))</f>
        <v>84.56198233</v>
      </c>
      <c r="AC18" s="58"/>
      <c r="AD18" s="59"/>
      <c r="AE18" s="60"/>
      <c r="AF18" s="61">
        <f>('7'!AE18/24)*0.454</f>
        <v>0</v>
      </c>
      <c r="AG18" s="60"/>
      <c r="AH18" s="61">
        <f>('7'!AG18/24)*0.454</f>
        <v>0</v>
      </c>
      <c r="AI18" s="60"/>
      <c r="AJ18" s="61">
        <f>('7'!AI18/24)*0.454</f>
        <v>0</v>
      </c>
      <c r="AK18" s="62"/>
      <c r="AL18" s="63">
        <f>('7'!AK18/24)*0.454</f>
        <v>0</v>
      </c>
      <c r="AM18" s="62"/>
      <c r="AN18" s="63">
        <f>('7'!AM18/24)*0.454</f>
        <v>0</v>
      </c>
      <c r="AO18" s="62"/>
      <c r="AP18" s="63">
        <f>('7'!AO18/24)*0.454</f>
        <v>0</v>
      </c>
    </row>
    <row r="19" ht="13.5" customHeight="1">
      <c r="A19" s="51" t="s">
        <v>52</v>
      </c>
      <c r="B19" s="92">
        <f t="array" ref="B19">IF('7'!B7:B18&gt;0.01,AVERAGE('7'!B7:B18),"")</f>
        <v>239.0833333</v>
      </c>
      <c r="C19" s="92">
        <f t="array" ref="C19">IF('7'!C7:C18&gt;0.01,AVERAGE('7'!C7:C18),"")</f>
        <v>14.95</v>
      </c>
      <c r="D19" s="92">
        <f t="array" ref="D19">IF('7'!D7:D18&gt;0.01,AVERAGE('7'!D7:D18),"")</f>
        <v>15.30833333</v>
      </c>
      <c r="E19" s="92">
        <f t="array" ref="E19">IF('7'!E7:E18&gt;0.01,AVERAGE('7'!E7:E18),"")</f>
        <v>7.625</v>
      </c>
      <c r="F19" s="92">
        <f t="array" ref="F19">IF('7'!F7:F18&gt;0.01,AVERAGE('7'!F7:F18),"")</f>
        <v>37.45833333</v>
      </c>
      <c r="G19" s="92">
        <f t="array" ref="G19">IF('7'!G7:G18&gt;0.01,AVERAGE('7'!G7:G18),"")</f>
        <v>1.3</v>
      </c>
      <c r="H19" s="92">
        <f t="array" ref="H19">IF('7'!H7:H18&gt;0.01,AVERAGE('7'!H7:H18),"")</f>
        <v>1.375</v>
      </c>
      <c r="I19" s="92">
        <f t="array" ref="I19">IF('7'!I7:I18&gt;0.01,AVERAGE('7'!I7:I18),"")</f>
        <v>0.625</v>
      </c>
      <c r="J19" s="92">
        <f t="array" ref="J19">IF('7'!J7:J18&gt;0.01,AVERAGE('7'!J7:J18),"")</f>
        <v>0.675</v>
      </c>
      <c r="K19" s="92">
        <f t="array" ref="K19">IF('7'!K7:K18&gt;0.01,AVERAGE('7'!K7:K18),"")</f>
        <v>6.825</v>
      </c>
      <c r="L19" s="92">
        <f t="array" ref="L19">IF('7'!L7:L18&gt;0.01,AVERAGE('7'!L7:L18),"")</f>
        <v>6.433333333</v>
      </c>
      <c r="M19" s="92">
        <f t="array" ref="M19">IF('7'!M7:M18&gt;0.01,AVERAGE('7'!M7:M18),"")</f>
        <v>6.458333333</v>
      </c>
      <c r="N19" s="92">
        <f t="array" ref="N19">IF('7'!N7:N18&gt;0.01,AVERAGE('7'!N7:N18),"")</f>
        <v>6.15</v>
      </c>
      <c r="O19" s="92">
        <f t="array" ref="O19">IF('7'!O7:O18&gt;0.01,AVERAGE('7'!O7:O18),"")</f>
        <v>3.6</v>
      </c>
      <c r="P19" s="92" t="str">
        <f t="array" ref="P19">IF('7'!P7:P18&gt;0.01,AVERAGE('7'!P7:P18),"")</f>
        <v/>
      </c>
      <c r="Q19" s="92" t="str">
        <f t="array" ref="Q19">IF('7'!Q7:Q18&gt;0.01,AVERAGE('7'!Q7:Q18),"")</f>
        <v/>
      </c>
      <c r="R19" s="92">
        <f t="array" ref="R19">IF('7'!R7:R18&gt;0.01,AVERAGE('7'!R7:R18),"")</f>
        <v>1480</v>
      </c>
      <c r="S19" s="92">
        <f t="array" ref="S19">IF('7'!S7:S18&gt;0.01,AVERAGE('7'!S7:S18),"")</f>
        <v>84.51645291</v>
      </c>
      <c r="T19" s="95"/>
      <c r="U19" s="96"/>
      <c r="V19" s="97"/>
      <c r="W19" s="97"/>
      <c r="X19" s="54">
        <v>0.583333333333333</v>
      </c>
      <c r="Y19" s="125">
        <v>3297.0</v>
      </c>
      <c r="Z19" s="308">
        <v>1480.0</v>
      </c>
      <c r="AA19" s="56">
        <v>1.0</v>
      </c>
      <c r="AB19" s="58">
        <f>IF('6'!AA19=1,(('6'!Z19*'6'!$AS$6*'6'!$AT$6)/('6'!Y19*0.0036)),IF('6'!AA19=2,(('6'!Z19*'6'!$AS$7*'6'!$AT$7)/('6'!Y19*0.0036))))</f>
        <v>85.08835633</v>
      </c>
      <c r="AC19" s="58"/>
      <c r="AD19" s="59"/>
      <c r="AE19" s="60"/>
      <c r="AF19" s="61">
        <f>('7'!AE19/24)*0.454</f>
        <v>0</v>
      </c>
      <c r="AG19" s="60"/>
      <c r="AH19" s="61">
        <f>('7'!AG19/24)*0.454</f>
        <v>0</v>
      </c>
      <c r="AI19" s="60"/>
      <c r="AJ19" s="61">
        <f>('7'!AI19/24)*0.454</f>
        <v>0</v>
      </c>
      <c r="AK19" s="62"/>
      <c r="AL19" s="63">
        <f>('7'!AK19/24)*0.454</f>
        <v>0</v>
      </c>
      <c r="AM19" s="62"/>
      <c r="AN19" s="63">
        <f>('7'!AM19/24)*0.454</f>
        <v>0</v>
      </c>
      <c r="AO19" s="62"/>
      <c r="AP19" s="63">
        <f>('7'!AO19/24)*0.454</f>
        <v>0</v>
      </c>
    </row>
    <row r="20" ht="14.25" customHeight="1">
      <c r="A20" s="51" t="s">
        <v>53</v>
      </c>
      <c r="B20" s="91">
        <f>MAX('7'!B7:B18)</f>
        <v>252</v>
      </c>
      <c r="C20" s="92">
        <f>MAX('7'!C7:C18)</f>
        <v>18</v>
      </c>
      <c r="D20" s="92">
        <f>MAX('7'!D7:D18)</f>
        <v>20</v>
      </c>
      <c r="E20" s="92">
        <f>MAX('7'!E7:E18)</f>
        <v>8</v>
      </c>
      <c r="F20" s="92">
        <f>MAX('7'!F7:F18)</f>
        <v>49.3</v>
      </c>
      <c r="G20" s="92">
        <f>MAX('7'!G7:G18)</f>
        <v>1.6</v>
      </c>
      <c r="H20" s="92">
        <f>MAX('7'!H7:H18)</f>
        <v>1.8</v>
      </c>
      <c r="I20" s="92">
        <f>MAX('7'!I7:I18)</f>
        <v>0.7</v>
      </c>
      <c r="J20" s="92">
        <f>MAX('7'!J7:J18)</f>
        <v>0.8</v>
      </c>
      <c r="K20" s="92">
        <f>MAX('7'!K7:K18)</f>
        <v>6.9</v>
      </c>
      <c r="L20" s="92">
        <f>MAX('7'!L7:L18)</f>
        <v>6.5</v>
      </c>
      <c r="M20" s="92">
        <f>MAX('7'!M7:M18)</f>
        <v>6.5</v>
      </c>
      <c r="N20" s="92">
        <f>MAX('7'!N7:N18)</f>
        <v>6.2</v>
      </c>
      <c r="O20" s="98">
        <f>MAX('7'!O7:O18)</f>
        <v>3.6</v>
      </c>
      <c r="P20" s="98">
        <f>MAX('7'!P7:P18)</f>
        <v>0</v>
      </c>
      <c r="Q20" s="98">
        <f>MAX('7'!Q7:Q18)</f>
        <v>0</v>
      </c>
      <c r="R20" s="98">
        <f>MAX('7'!R7:R18)</f>
        <v>1480</v>
      </c>
      <c r="S20" s="98">
        <f>MAX('7'!S7:S18)</f>
        <v>85.08835633</v>
      </c>
      <c r="T20" s="99"/>
      <c r="U20" s="21"/>
      <c r="X20" s="54">
        <v>0.625</v>
      </c>
      <c r="Y20" s="125">
        <v>3390.0</v>
      </c>
      <c r="Z20" s="308">
        <v>1480.0</v>
      </c>
      <c r="AA20" s="56">
        <v>1.0</v>
      </c>
      <c r="AB20" s="58">
        <f>IF('6'!AA20=1,(('6'!Z20*'6'!$AS$6*'6'!$AT$6)/('6'!Y20*0.0036)),IF('6'!AA20=2,(('6'!Z20*'6'!$AS$7*'6'!$AT$7)/('6'!Y20*0.0036))))</f>
        <v>83.83590582</v>
      </c>
      <c r="AC20" s="58"/>
      <c r="AD20" s="59"/>
      <c r="AE20" s="60"/>
      <c r="AF20" s="61">
        <f>('7'!AE20/24)*0.454</f>
        <v>0</v>
      </c>
      <c r="AG20" s="60"/>
      <c r="AH20" s="61">
        <f>('7'!AG20/24)*0.454</f>
        <v>0</v>
      </c>
      <c r="AI20" s="60"/>
      <c r="AJ20" s="61">
        <f>('7'!AI20/24)*0.454</f>
        <v>0</v>
      </c>
      <c r="AK20" s="62"/>
      <c r="AL20" s="63">
        <f>('7'!AK20/24)*0.454</f>
        <v>0</v>
      </c>
      <c r="AM20" s="62"/>
      <c r="AN20" s="63">
        <f>('7'!AM20/24)*0.454</f>
        <v>0</v>
      </c>
      <c r="AO20" s="62"/>
      <c r="AP20" s="63">
        <f>('7'!AO20/24)*0.454</f>
        <v>0</v>
      </c>
    </row>
    <row r="21" ht="14.25" customHeight="1">
      <c r="A21" s="51" t="s">
        <v>54</v>
      </c>
      <c r="B21" s="91">
        <f>MIN('7'!B7:B18)</f>
        <v>220</v>
      </c>
      <c r="C21" s="92">
        <f>MIN('7'!C7:C18)</f>
        <v>12.4</v>
      </c>
      <c r="D21" s="92">
        <f>MIN('7'!D7:D18)</f>
        <v>11.5</v>
      </c>
      <c r="E21" s="92">
        <f>MIN('7'!E7:E18)</f>
        <v>6.8</v>
      </c>
      <c r="F21" s="92">
        <f>MIN('7'!F7:F18)</f>
        <v>31.7</v>
      </c>
      <c r="G21" s="100">
        <f>MIN('7'!G7:G18)</f>
        <v>0.9</v>
      </c>
      <c r="H21" s="100">
        <f>MIN('7'!H7:H18)</f>
        <v>0.9</v>
      </c>
      <c r="I21" s="100">
        <f>MIN('7'!I7:I18)</f>
        <v>0.6</v>
      </c>
      <c r="J21" s="100">
        <f>MIN('7'!J7:J18)</f>
        <v>0.6</v>
      </c>
      <c r="K21" s="100">
        <f>MIN('7'!K7:K18)</f>
        <v>6.8</v>
      </c>
      <c r="L21" s="100">
        <f>MIN('7'!L7:L18)</f>
        <v>6.2</v>
      </c>
      <c r="M21" s="100">
        <f>MIN('7'!M7:M18)</f>
        <v>6.3</v>
      </c>
      <c r="N21" s="100">
        <f>MIN('7'!N7:N18)</f>
        <v>6.1</v>
      </c>
      <c r="O21" s="101">
        <f>MIN('7'!O7:O18)</f>
        <v>3.6</v>
      </c>
      <c r="P21" s="101">
        <f>MIN('7'!P7:P18)</f>
        <v>0</v>
      </c>
      <c r="Q21" s="101">
        <f>MIN('7'!Q7:Q18)</f>
        <v>0</v>
      </c>
      <c r="R21" s="101">
        <f>MIN('7'!R7:R18)</f>
        <v>1480</v>
      </c>
      <c r="S21" s="101">
        <f>MIN('7'!S7:S18)</f>
        <v>84.0162535</v>
      </c>
      <c r="T21" s="99"/>
      <c r="U21" s="21"/>
      <c r="X21" s="54">
        <v>0.666666666666667</v>
      </c>
      <c r="Y21" s="125">
        <v>3325.0</v>
      </c>
      <c r="Z21" s="308">
        <v>1480.0</v>
      </c>
      <c r="AA21" s="56">
        <v>1.0</v>
      </c>
      <c r="AB21" s="58">
        <f>IF('6'!AA21=1,(('6'!Z21*'6'!$AS$6*'6'!$AT$6)/('6'!Y21*0.0036)),IF('6'!AA21=2,(('6'!Z21*'6'!$AS$7*'6'!$AT$7)/('6'!Y21*0.0036))))</f>
        <v>84.87702232</v>
      </c>
      <c r="AC21" s="58"/>
      <c r="AD21" s="59"/>
      <c r="AE21" s="60"/>
      <c r="AF21" s="61">
        <f>('7'!AE21/24)*0.454</f>
        <v>0</v>
      </c>
      <c r="AG21" s="60"/>
      <c r="AH21" s="61">
        <f>('7'!AG21/24)*0.454</f>
        <v>0</v>
      </c>
      <c r="AI21" s="60"/>
      <c r="AJ21" s="61">
        <f>('7'!AI21/24)*0.454</f>
        <v>0</v>
      </c>
      <c r="AK21" s="62"/>
      <c r="AL21" s="63">
        <f>('7'!AK21/24)*0.454</f>
        <v>0</v>
      </c>
      <c r="AM21" s="62"/>
      <c r="AN21" s="63">
        <f>('7'!AM21/24)*0.454</f>
        <v>0</v>
      </c>
      <c r="AO21" s="62"/>
      <c r="AP21" s="63">
        <f>('7'!AO21/24)*0.454</f>
        <v>0</v>
      </c>
    </row>
    <row r="22" ht="13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3327.0</v>
      </c>
      <c r="Z22" s="308">
        <v>1480.0</v>
      </c>
      <c r="AA22" s="56">
        <v>1.0</v>
      </c>
      <c r="AB22" s="58">
        <f>IF('6'!AA22=1,(('6'!Z22*'6'!$AS$6*'6'!$AT$6)/('6'!Y22*0.0036)),IF('6'!AA22=2,(('6'!Z22*'6'!$AS$7*'6'!$AT$7)/('6'!Y22*0.0036))))</f>
        <v>84.32723285</v>
      </c>
      <c r="AC22" s="58"/>
      <c r="AD22" s="59"/>
      <c r="AE22" s="60"/>
      <c r="AF22" s="61">
        <f>('7'!AE22/24)*0.454</f>
        <v>0</v>
      </c>
      <c r="AG22" s="60"/>
      <c r="AH22" s="61">
        <f>('7'!AG22/24)*0.454</f>
        <v>0</v>
      </c>
      <c r="AI22" s="60"/>
      <c r="AJ22" s="61">
        <f>('7'!AI22/24)*0.454</f>
        <v>0</v>
      </c>
      <c r="AK22" s="62"/>
      <c r="AL22" s="63">
        <f>('7'!AK22/24)*0.454</f>
        <v>0</v>
      </c>
      <c r="AM22" s="62"/>
      <c r="AN22" s="63">
        <f>('7'!AM22/24)*0.454</f>
        <v>0</v>
      </c>
      <c r="AO22" s="62"/>
      <c r="AP22" s="63">
        <f>('7'!AO22/24)*0.454</f>
        <v>0</v>
      </c>
    </row>
    <row r="23" ht="13.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/>
      <c r="S23" s="107" t="s">
        <v>57</v>
      </c>
      <c r="T23" s="99"/>
      <c r="U23" s="21"/>
      <c r="X23" s="54">
        <v>0.75</v>
      </c>
      <c r="Y23" s="125">
        <v>3364.0</v>
      </c>
      <c r="Z23" s="308">
        <v>1480.0</v>
      </c>
      <c r="AA23" s="56">
        <v>1.0</v>
      </c>
      <c r="AB23" s="58">
        <f>IF('6'!AA23=1,(('6'!Z23*'6'!$AS$6*'6'!$AT$6)/('6'!Y23*0.0036)),IF('6'!AA23=2,(('6'!Z23*'6'!$AS$7*'6'!$AT$7)/('6'!Y23*0.0036))))</f>
        <v>84.30123</v>
      </c>
      <c r="AC23" s="58"/>
      <c r="AD23" s="59"/>
      <c r="AE23" s="60"/>
      <c r="AF23" s="61">
        <f>('7'!AE23/24)*0.454</f>
        <v>0</v>
      </c>
      <c r="AG23" s="60"/>
      <c r="AH23" s="61">
        <f>('7'!AG23/24)*0.454</f>
        <v>0</v>
      </c>
      <c r="AI23" s="60"/>
      <c r="AJ23" s="61">
        <f>('7'!AI23/24)*0.454</f>
        <v>0</v>
      </c>
      <c r="AK23" s="62"/>
      <c r="AL23" s="63">
        <f>('7'!AK23/24)*0.454</f>
        <v>0</v>
      </c>
      <c r="AM23" s="62"/>
      <c r="AN23" s="63">
        <f>('7'!AM23/24)*0.454</f>
        <v>0</v>
      </c>
      <c r="AO23" s="62"/>
      <c r="AP23" s="63">
        <f>('7'!AO23/24)*0.454</f>
        <v>0</v>
      </c>
    </row>
    <row r="24" ht="13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3416.0</v>
      </c>
      <c r="Z24" s="308">
        <v>1480.0</v>
      </c>
      <c r="AA24" s="56">
        <v>1.0</v>
      </c>
      <c r="AB24" s="58">
        <f>IF('6'!AA24=1,(('6'!Z24*'6'!$AS$6*'6'!$AT$6)/('6'!Y24*0.0036)),IF('6'!AA24=2,(('6'!Z24*'6'!$AS$7*'6'!$AT$7)/('6'!Y24*0.0036))))</f>
        <v>84.30123</v>
      </c>
      <c r="AC24" s="58"/>
      <c r="AD24" s="59"/>
      <c r="AE24" s="60"/>
      <c r="AF24" s="311">
        <f>('7'!AE24/24)*0.454</f>
        <v>0</v>
      </c>
      <c r="AG24" s="125"/>
      <c r="AH24" s="311">
        <f>('7'!AG24/24)*0.454</f>
        <v>0</v>
      </c>
      <c r="AI24" s="60"/>
      <c r="AJ24" s="311">
        <f>('7'!AI24/24)*0.454</f>
        <v>0</v>
      </c>
      <c r="AK24" s="62"/>
      <c r="AL24" s="110">
        <f>('7'!AK24/24)*0.454</f>
        <v>0</v>
      </c>
      <c r="AM24" s="312"/>
      <c r="AN24" s="110">
        <f>('7'!AM24/24)*0.454</f>
        <v>0</v>
      </c>
      <c r="AO24" s="62"/>
      <c r="AP24" s="110">
        <f>('7'!AO24/24)*0.454</f>
        <v>0</v>
      </c>
    </row>
    <row r="25" ht="19.5" customHeight="1">
      <c r="A25" s="111">
        <v>0.416666666666667</v>
      </c>
      <c r="B25" s="313">
        <v>0.76</v>
      </c>
      <c r="C25" s="313">
        <v>0.82</v>
      </c>
      <c r="D25" s="313">
        <v>0.71</v>
      </c>
      <c r="E25" s="313">
        <v>0.84</v>
      </c>
      <c r="F25" s="313">
        <v>0.96</v>
      </c>
      <c r="G25" s="313" t="s">
        <v>132</v>
      </c>
      <c r="H25" s="313">
        <v>0.8</v>
      </c>
      <c r="I25" s="313">
        <v>0.74</v>
      </c>
      <c r="J25" s="313" t="s">
        <v>137</v>
      </c>
      <c r="K25" s="313">
        <v>0.76</v>
      </c>
      <c r="L25" s="313">
        <v>0.79</v>
      </c>
      <c r="M25" s="313">
        <v>0.82</v>
      </c>
      <c r="N25" s="313">
        <v>0.84</v>
      </c>
      <c r="O25" s="313">
        <v>0.88</v>
      </c>
      <c r="P25" s="313">
        <v>0.81</v>
      </c>
      <c r="Q25" s="313" t="s">
        <v>132</v>
      </c>
      <c r="R25" s="112"/>
      <c r="S25" s="113"/>
      <c r="T25" s="314" t="s">
        <v>0</v>
      </c>
      <c r="U25" s="370">
        <f>ESCALA!$A$10</f>
        <v>43929</v>
      </c>
      <c r="X25" s="54">
        <v>0.833333333333333</v>
      </c>
      <c r="Y25" s="125">
        <v>3362.0</v>
      </c>
      <c r="Z25" s="308">
        <v>1480.0</v>
      </c>
      <c r="AA25" s="56">
        <v>1.0</v>
      </c>
      <c r="AB25" s="58">
        <f>IF('6'!AA25=1,(('6'!Z25*'6'!$AS$6*'6'!$AT$6)/('6'!Y25*0.0036)),IF('6'!AA25=2,(('6'!Z25*'6'!$AS$7*'6'!$AT$7)/('6'!Y25*0.0036))))</f>
        <v>85.06188204</v>
      </c>
      <c r="AC25" s="58"/>
      <c r="AD25" s="59"/>
      <c r="AE25" s="60"/>
      <c r="AF25" s="61">
        <f>('7'!AE25/24)*0.454</f>
        <v>0</v>
      </c>
      <c r="AG25" s="60"/>
      <c r="AH25" s="61">
        <f>('7'!AG25/24)*0.454</f>
        <v>0</v>
      </c>
      <c r="AI25" s="60"/>
      <c r="AJ25" s="61">
        <f>('7'!AI25/24)*0.454</f>
        <v>0</v>
      </c>
      <c r="AK25" s="62"/>
      <c r="AL25" s="63">
        <f>('7'!AK25/24)*0.454</f>
        <v>0</v>
      </c>
      <c r="AM25" s="62"/>
      <c r="AN25" s="63">
        <f>('7'!AM25/24)*0.454</f>
        <v>0</v>
      </c>
      <c r="AO25" s="62"/>
      <c r="AP25" s="63">
        <f>('7'!AO25/24)*0.454</f>
        <v>0</v>
      </c>
    </row>
    <row r="26" ht="19.5" customHeight="1">
      <c r="A26" s="111">
        <v>0.666666666666667</v>
      </c>
      <c r="B26" s="313"/>
      <c r="C26" s="313"/>
      <c r="D26" s="313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112"/>
      <c r="S26" s="116"/>
      <c r="T26" s="117"/>
      <c r="U26" s="118"/>
      <c r="X26" s="54">
        <v>0.875</v>
      </c>
      <c r="Y26" s="125">
        <v>3339.0</v>
      </c>
      <c r="Z26" s="308">
        <v>1480.0</v>
      </c>
      <c r="AA26" s="56">
        <v>1.0</v>
      </c>
      <c r="AB26" s="58">
        <f>IF('6'!AA26=1,(('6'!Z26*'6'!$AS$6*'6'!$AT$6)/('6'!Y26*0.0036)),IF('6'!AA26=2,(('6'!Z26*'6'!$AS$7*'6'!$AT$7)/('6'!Y26*0.0036))))</f>
        <v>84.24927238</v>
      </c>
      <c r="AC26" s="58"/>
      <c r="AD26" s="59"/>
      <c r="AE26" s="60"/>
      <c r="AF26" s="61">
        <f>('7'!AE26/24)*0.454</f>
        <v>0</v>
      </c>
      <c r="AG26" s="60"/>
      <c r="AH26" s="61">
        <f>('7'!AG26/24)*0.454</f>
        <v>0</v>
      </c>
      <c r="AI26" s="60"/>
      <c r="AJ26" s="61">
        <f>('7'!AI26/24)*0.454</f>
        <v>0</v>
      </c>
      <c r="AK26" s="62"/>
      <c r="AL26" s="63">
        <f>('7'!AK26/24)*0.454</f>
        <v>0</v>
      </c>
      <c r="AM26" s="62"/>
      <c r="AN26" s="63">
        <f>('7'!AM26/24)*0.454</f>
        <v>0</v>
      </c>
      <c r="AO26" s="62"/>
      <c r="AP26" s="63">
        <f>('7'!AO26/24)*0.454</f>
        <v>0</v>
      </c>
    </row>
    <row r="27" ht="13.5" customHeight="1">
      <c r="A27" s="119" t="s">
        <v>52</v>
      </c>
      <c r="B27" s="120" t="str">
        <f t="shared" ref="B27:Q27" si="1">#DIV/0!</f>
        <v>#DIV/0!</v>
      </c>
      <c r="C27" s="120" t="str">
        <f t="shared" si="1"/>
        <v>#DIV/0!</v>
      </c>
      <c r="D27" s="120" t="str">
        <f t="shared" si="1"/>
        <v>#DIV/0!</v>
      </c>
      <c r="E27" s="92" t="str">
        <f t="shared" si="1"/>
        <v>#DIV/0!</v>
      </c>
      <c r="F27" s="92" t="str">
        <f t="shared" si="1"/>
        <v>#DIV/0!</v>
      </c>
      <c r="G27" s="92" t="str">
        <f t="shared" si="1"/>
        <v>#DIV/0!</v>
      </c>
      <c r="H27" s="92" t="str">
        <f t="shared" si="1"/>
        <v>#DIV/0!</v>
      </c>
      <c r="I27" s="92" t="str">
        <f t="shared" si="1"/>
        <v>#DIV/0!</v>
      </c>
      <c r="J27" s="92" t="str">
        <f t="shared" si="1"/>
        <v>#DIV/0!</v>
      </c>
      <c r="K27" s="92" t="str">
        <f t="shared" si="1"/>
        <v>#DIV/0!</v>
      </c>
      <c r="L27" s="92" t="str">
        <f t="shared" si="1"/>
        <v>#DIV/0!</v>
      </c>
      <c r="M27" s="92" t="str">
        <f t="shared" si="1"/>
        <v>#DIV/0!</v>
      </c>
      <c r="N27" s="92" t="str">
        <f t="shared" si="1"/>
        <v>#DIV/0!</v>
      </c>
      <c r="O27" s="92" t="str">
        <f t="shared" si="1"/>
        <v>#DIV/0!</v>
      </c>
      <c r="P27" s="92" t="str">
        <f t="shared" si="1"/>
        <v>#DIV/0!</v>
      </c>
      <c r="Q27" s="98" t="str">
        <f t="shared" si="1"/>
        <v>#DIV/0!</v>
      </c>
      <c r="R27" s="316"/>
      <c r="S27" s="127"/>
      <c r="T27" s="128"/>
      <c r="U27" s="124"/>
      <c r="X27" s="54">
        <v>0.916666666666667</v>
      </c>
      <c r="Y27" s="125">
        <v>3366.0</v>
      </c>
      <c r="Z27" s="308">
        <v>1480.0</v>
      </c>
      <c r="AA27" s="56">
        <v>1.0</v>
      </c>
      <c r="AB27" s="58">
        <f>IF('6'!AA27=1,(('6'!Z27*'6'!$AS$6*'6'!$AT$6)/('6'!Y27*0.0036)),IF('6'!AA27=2,(('6'!Z27*'6'!$AS$7*'6'!$AT$7)/('6'!Y27*0.0036))))</f>
        <v>84.0162535</v>
      </c>
      <c r="AC27" s="58"/>
      <c r="AD27" s="59"/>
      <c r="AE27" s="60"/>
      <c r="AF27" s="61">
        <f>('7'!AE27/24)*0.454</f>
        <v>0</v>
      </c>
      <c r="AG27" s="60"/>
      <c r="AH27" s="61">
        <f>('7'!AG27/24)*0.454</f>
        <v>0</v>
      </c>
      <c r="AI27" s="60"/>
      <c r="AJ27" s="61">
        <f>('7'!AI27/24)*0.454</f>
        <v>0</v>
      </c>
      <c r="AK27" s="62"/>
      <c r="AL27" s="63">
        <f>('7'!AK27/24)*0.454</f>
        <v>0</v>
      </c>
      <c r="AM27" s="62"/>
      <c r="AN27" s="63">
        <f>('7'!AM27/24)*0.454</f>
        <v>0</v>
      </c>
      <c r="AO27" s="62"/>
      <c r="AP27" s="63">
        <f>('7'!AO27/24)*0.454</f>
        <v>0</v>
      </c>
    </row>
    <row r="28" ht="17.2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3338.0</v>
      </c>
      <c r="Z28" s="308">
        <v>1480.0</v>
      </c>
      <c r="AA28" s="56">
        <v>1.0</v>
      </c>
      <c r="AB28" s="58">
        <f>IF('6'!AA28=1,(('6'!Z28*'6'!$AS$6*'6'!$AT$6)/('6'!Y28*0.0036)),IF('6'!AA28=2,(('6'!Z28*'6'!$AS$7*'6'!$AT$7)/('6'!Y28*0.0036))))</f>
        <v>84.32723285</v>
      </c>
      <c r="AC28" s="58"/>
      <c r="AD28" s="59"/>
      <c r="AE28" s="60"/>
      <c r="AF28" s="61">
        <f>('7'!AE28/24)*0.454</f>
        <v>0</v>
      </c>
      <c r="AG28" s="60"/>
      <c r="AH28" s="61">
        <f>('7'!AG28/24)*0.454</f>
        <v>0</v>
      </c>
      <c r="AI28" s="60"/>
      <c r="AJ28" s="61">
        <f>('7'!AI28/24)*0.454</f>
        <v>0</v>
      </c>
      <c r="AK28" s="62"/>
      <c r="AL28" s="63">
        <f>('7'!AK28/24)*0.454</f>
        <v>0</v>
      </c>
      <c r="AM28" s="62"/>
      <c r="AN28" s="63">
        <f>('7'!AM28/24)*0.454</f>
        <v>0</v>
      </c>
      <c r="AO28" s="62"/>
      <c r="AP28" s="63">
        <f>('7'!AO28/24)*0.454</f>
        <v>0</v>
      </c>
    </row>
    <row r="29" ht="13.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3355.0</v>
      </c>
      <c r="Z29" s="308">
        <v>1480.0</v>
      </c>
      <c r="AA29" s="56">
        <v>1.0</v>
      </c>
      <c r="AB29" s="58">
        <f>IF('6'!AA29=1,(('6'!Z29*'6'!$AS$6*'6'!$AT$6)/('6'!Y29*0.0036)),IF('6'!AA29=2,(('6'!Z29*'6'!$AS$7*'6'!$AT$7)/('6'!Y29*0.0036))))</f>
        <v>84.69296434</v>
      </c>
      <c r="AC29" s="58"/>
      <c r="AD29" s="59"/>
      <c r="AE29" s="60"/>
      <c r="AF29" s="61">
        <f>('7'!AE29/24)*0.454</f>
        <v>0</v>
      </c>
      <c r="AG29" s="60"/>
      <c r="AH29" s="61">
        <f>('7'!AG29/24)*0.454</f>
        <v>0</v>
      </c>
      <c r="AI29" s="60"/>
      <c r="AJ29" s="61">
        <f>('7'!AI29/24)*0.454</f>
        <v>0</v>
      </c>
      <c r="AK29" s="62"/>
      <c r="AL29" s="63">
        <f>('7'!AK29/24)*0.454</f>
        <v>0</v>
      </c>
      <c r="AM29" s="62"/>
      <c r="AN29" s="63">
        <f>('7'!AM29/24)*0.454</f>
        <v>0</v>
      </c>
      <c r="AO29" s="62"/>
      <c r="AP29" s="63">
        <f>('7'!AO29/24)*0.454</f>
        <v>0</v>
      </c>
    </row>
    <row r="30" ht="13.5" customHeight="1">
      <c r="A30" s="43"/>
      <c r="U30" s="27"/>
      <c r="X30" s="130" t="s">
        <v>55</v>
      </c>
      <c r="Y30" s="131">
        <f>SUM('7'!Y6:Y29)*3.6</f>
        <v>287028</v>
      </c>
      <c r="Z30" s="132">
        <f>SUM('7'!Z6:Z29)</f>
        <v>35520</v>
      </c>
      <c r="AA30" s="133"/>
      <c r="AB30" s="132"/>
      <c r="AC30" s="133"/>
      <c r="AD30" s="132"/>
      <c r="AE30" s="60"/>
      <c r="AF30" s="61">
        <f>SUM('7'!AF6:AF29)</f>
        <v>0</v>
      </c>
      <c r="AG30" s="60"/>
      <c r="AH30" s="61">
        <f>SUM('7'!AH6:AH29)</f>
        <v>0</v>
      </c>
      <c r="AI30" s="60"/>
      <c r="AJ30" s="61">
        <f>SUM('7'!AJ6:AJ29)</f>
        <v>662.0833333</v>
      </c>
      <c r="AK30" s="62"/>
      <c r="AL30" s="63">
        <f>SUM('7'!AL6:AL29)</f>
        <v>0</v>
      </c>
      <c r="AM30" s="62"/>
      <c r="AN30" s="63">
        <f>SUM('7'!AN6:AN29)</f>
        <v>0</v>
      </c>
      <c r="AO30" s="62"/>
      <c r="AP30" s="63">
        <f>SUM('7'!AP6:AP29)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SUMIF('7'!AA6:AA29,"=1",'7'!Z6:Z29)</f>
        <v>35520</v>
      </c>
      <c r="AA32" s="132">
        <f>'7'!Z32*'7'!AS6</f>
        <v>47241.6</v>
      </c>
      <c r="AB32" s="139">
        <f>SUMIF('7'!$AA$6:$AA$29,"=1",'7'!$AB$6:$AB$29)/COUNTIF('7'!$AA$6:$AA$29,"=1")</f>
        <v>84.38721745</v>
      </c>
      <c r="AC32" s="140">
        <f>SUMIF('7'!AA6:AA29,"=1",'7'!AC6:AC29)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SUMIF('7'!AA6:AA29,"=2",'7'!Z6:Z29)</f>
        <v>0</v>
      </c>
      <c r="AA33" s="132">
        <f>'7'!Z33*'7'!AS7</f>
        <v>0</v>
      </c>
      <c r="AB33" s="139" t="str">
        <f>SUMIF('7'!$AA$6:$AA$29,"=2",'7'!$AB$6:$AB$29)/COUNTIF('7'!$AA$6:$AA$29,"=2")</f>
        <v>#DIV/0!</v>
      </c>
      <c r="AC33" s="140">
        <f>SUMIF('7'!AA6:AA29,"=2",'7'!AC6:AC29)</f>
        <v>0</v>
      </c>
      <c r="AD33" s="140"/>
      <c r="AE33" s="141"/>
      <c r="AF33" s="147"/>
      <c r="AG33" s="146"/>
      <c r="AH33" s="147"/>
      <c r="AI33" s="146"/>
      <c r="AJ33" s="363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AVERAGE('7'!Y6:Y29)</f>
        <v>3322.083333</v>
      </c>
      <c r="Z34" s="56">
        <f>AVERAGE('7'!Z6:Z29)</f>
        <v>1480</v>
      </c>
      <c r="AA34" s="152"/>
      <c r="AB34" s="152"/>
      <c r="AC34" s="371" t="str">
        <f>SUM('7'!AC6:AC29)/COUNTIF('7'!AC6:AC29,"&lt;&gt;0")</f>
        <v>#DIV/0!</v>
      </c>
      <c r="AD34" s="372" t="str">
        <f>SUM('7'!AD6:AD29)/COUNTIF('7'!AD6:AD29,"&lt;&gt;0")</f>
        <v>#DIV/0!</v>
      </c>
      <c r="AE34" s="373"/>
      <c r="AF34" s="155">
        <f>AVERAGE('7'!AF6:AF29)</f>
        <v>0</v>
      </c>
      <c r="AG34" s="155"/>
      <c r="AH34" s="153">
        <f>AVERAGE('7'!AH6:AH29)</f>
        <v>0</v>
      </c>
      <c r="AI34" s="153"/>
      <c r="AJ34" s="153">
        <f>'7'!AJ30/24</f>
        <v>27.58680556</v>
      </c>
      <c r="AK34" s="153"/>
      <c r="AL34" s="153">
        <f>AVERAGE('7'!AL6:AL29)</f>
        <v>0</v>
      </c>
      <c r="AM34" s="153"/>
      <c r="AN34" s="153">
        <f>AVERAGE('7'!AN6:AN29)</f>
        <v>0</v>
      </c>
      <c r="AO34" s="153"/>
      <c r="AP34" s="153">
        <f>AVERAGE('7'!AP6:AP29)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58" t="s">
        <v>15</v>
      </c>
      <c r="X35" s="159" t="s">
        <v>66</v>
      </c>
      <c r="Y35" s="128"/>
      <c r="Z35" s="160"/>
      <c r="AA35" s="159" t="s">
        <v>67</v>
      </c>
      <c r="AB35" s="374"/>
      <c r="AC35" s="375"/>
      <c r="AD35" s="376"/>
      <c r="AE35" s="377"/>
      <c r="AF35" s="378"/>
      <c r="AG35" s="379"/>
      <c r="AH35" s="380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74</v>
      </c>
      <c r="Y36" s="163"/>
      <c r="Z36" s="164"/>
      <c r="AA36" s="165" t="s">
        <v>74</v>
      </c>
      <c r="AB36" s="163"/>
      <c r="AC36" s="175"/>
      <c r="AD36" s="175"/>
      <c r="AE36" s="175"/>
      <c r="AF36" s="381"/>
      <c r="AG36" s="381"/>
      <c r="AH36" s="382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360">
        <v>58.2</v>
      </c>
      <c r="D37" s="360">
        <v>26.1</v>
      </c>
      <c r="E37" s="360">
        <v>22.1</v>
      </c>
      <c r="F37" s="76">
        <v>1.4</v>
      </c>
      <c r="G37" s="60">
        <v>0.2</v>
      </c>
      <c r="H37" s="60">
        <v>0.1</v>
      </c>
      <c r="I37" s="60">
        <v>0.15</v>
      </c>
      <c r="J37" s="60">
        <v>0.06</v>
      </c>
      <c r="K37" s="60">
        <v>0.03</v>
      </c>
      <c r="L37" s="52"/>
      <c r="M37" s="106"/>
      <c r="N37" s="157"/>
      <c r="O37" s="51"/>
      <c r="P37" s="51"/>
      <c r="Q37" s="51"/>
      <c r="R37" s="51"/>
      <c r="S37" s="51"/>
      <c r="T37" s="51"/>
      <c r="U37" s="365" t="str">
        <f>'7'!V12</f>
        <v/>
      </c>
      <c r="X37" s="338" t="s">
        <v>75</v>
      </c>
      <c r="Y37" s="128"/>
      <c r="Z37" s="170">
        <f>COUNTA('7'!Z6:Z29)</f>
        <v>24</v>
      </c>
      <c r="AA37" s="171"/>
      <c r="AB37" s="171"/>
      <c r="AC37" s="175"/>
      <c r="AD37" s="175"/>
      <c r="AE37" s="175"/>
      <c r="AF37" s="189"/>
      <c r="AG37" s="189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3.5" customHeight="1">
      <c r="A38" s="156"/>
      <c r="B38" s="69">
        <v>0.666666666666667</v>
      </c>
      <c r="C38" s="383"/>
      <c r="D38" s="383"/>
      <c r="E38" s="384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C38" s="171"/>
      <c r="AD38" s="171"/>
      <c r="AE38" s="171"/>
      <c r="AF38" s="189"/>
      <c r="AG38" s="189"/>
      <c r="AJ38" s="178" t="s">
        <v>78</v>
      </c>
      <c r="AK38" s="180">
        <f>SUM('7'!AF30+'7'!AH30)</f>
        <v>0</v>
      </c>
      <c r="AL38" s="178" t="s">
        <v>78</v>
      </c>
      <c r="AM38" s="179">
        <f>SUM('7'!AL30+'7'!AN30)</f>
        <v>0</v>
      </c>
      <c r="AO38" s="178" t="s">
        <v>78</v>
      </c>
      <c r="AP38" s="180">
        <f>'7'!AJ30</f>
        <v>662.0833333</v>
      </c>
      <c r="AQ38" s="178" t="s">
        <v>78</v>
      </c>
      <c r="AR38" s="179">
        <f>'7'!AP30</f>
        <v>0</v>
      </c>
    </row>
    <row r="39" ht="21.0" customHeight="1">
      <c r="A39" s="181" t="s">
        <v>79</v>
      </c>
      <c r="B39" s="80"/>
      <c r="C39" s="181" t="s">
        <v>80</v>
      </c>
      <c r="D39" s="80"/>
      <c r="E39" s="385" t="s">
        <v>81</v>
      </c>
      <c r="F39" s="79"/>
      <c r="G39" s="79"/>
      <c r="H39" s="80"/>
      <c r="J39" s="386" t="s">
        <v>82</v>
      </c>
      <c r="K39" s="79"/>
      <c r="L39" s="79"/>
      <c r="M39" s="80"/>
      <c r="O39" s="387" t="s">
        <v>83</v>
      </c>
      <c r="P39" s="11"/>
      <c r="Q39" s="185"/>
      <c r="R39" s="388" t="s">
        <v>84</v>
      </c>
      <c r="S39" s="389" t="s">
        <v>85</v>
      </c>
      <c r="T39" s="12"/>
      <c r="U39" s="188"/>
      <c r="V39" s="97"/>
      <c r="X39" s="174"/>
      <c r="Y39" s="174"/>
      <c r="Z39" s="175"/>
      <c r="AA39" s="171"/>
      <c r="AB39" s="171"/>
      <c r="AC39" s="171"/>
      <c r="AD39" s="171"/>
      <c r="AE39" s="171"/>
      <c r="AF39" s="189"/>
      <c r="AG39" s="189"/>
      <c r="AJ39" s="325" t="s">
        <v>86</v>
      </c>
      <c r="AK39" s="326">
        <f>('7'!AK38/'7'!Y30)*1000</f>
        <v>0</v>
      </c>
      <c r="AL39" s="327" t="s">
        <v>86</v>
      </c>
      <c r="AM39" s="328">
        <f>('7'!AM38/'7'!Y30)*1000</f>
        <v>0</v>
      </c>
      <c r="AO39" s="325" t="s">
        <v>86</v>
      </c>
      <c r="AP39" s="326">
        <f>('7'!AP38/'7'!Y30)*1000</f>
        <v>2.306685527</v>
      </c>
      <c r="AQ39" s="327" t="s">
        <v>86</v>
      </c>
      <c r="AR39" s="328">
        <f>('7'!AR38/'7'!Y30)*1000</f>
        <v>0</v>
      </c>
    </row>
    <row r="40" ht="19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SUM('7'!AK38,'7'!AM38)</f>
        <v>0</v>
      </c>
      <c r="AM40" s="128"/>
      <c r="AO40" s="210" t="s">
        <v>90</v>
      </c>
      <c r="AP40" s="128"/>
      <c r="AQ40" s="211">
        <f>SUM('7'!AP38,'7'!AR38)</f>
        <v>662.0833333</v>
      </c>
      <c r="AR40" s="128"/>
    </row>
    <row r="41" ht="15.75" customHeight="1">
      <c r="A41" s="212">
        <f>COUNTA('7'!E7:E18)</f>
        <v>12</v>
      </c>
      <c r="B41" s="213">
        <f>COUNTA('7'!I7:I18)</f>
        <v>12</v>
      </c>
      <c r="C41" s="214">
        <f>COUNTA('7'!J7:J18)</f>
        <v>12</v>
      </c>
      <c r="D41" s="80"/>
      <c r="E41" s="214">
        <f>COUNTIF('7'!E7:E18,"&gt;15")</f>
        <v>0</v>
      </c>
      <c r="F41" s="80"/>
      <c r="G41" s="214">
        <f>COUNTIF('7'!J7:J18,"&gt;1")</f>
        <v>0</v>
      </c>
      <c r="H41" s="80"/>
      <c r="I41" s="215"/>
      <c r="J41" s="214">
        <f>'7'!A41-'7'!E41</f>
        <v>12</v>
      </c>
      <c r="K41" s="80"/>
      <c r="L41" s="214">
        <f>'7'!C41-'7'!G41</f>
        <v>12</v>
      </c>
      <c r="M41" s="80"/>
      <c r="N41" s="215"/>
      <c r="O41" s="216">
        <f>COUNTIF('7'!J7:J18,"&lt;=0,5")</f>
        <v>0</v>
      </c>
      <c r="P41" s="217"/>
      <c r="Q41" s="218"/>
      <c r="R41" s="219"/>
      <c r="S41" s="220">
        <f>COUNTIF('7'!J7:J18,"&lt;=1,0")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SUM(('7'!AK38+'7'!AM38)/'7'!Y30)*1000</f>
        <v>0</v>
      </c>
      <c r="AM41" s="128"/>
      <c r="AO41" s="210" t="s">
        <v>91</v>
      </c>
      <c r="AP41" s="128"/>
      <c r="AQ41" s="223">
        <f>SUM(('7'!AP38+'7'!AR38)/'7'!Y30)*1000</f>
        <v>2.306685527</v>
      </c>
      <c r="AR41" s="128"/>
    </row>
    <row r="42" ht="18.0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67" t="s">
        <v>94</v>
      </c>
      <c r="I43" s="11"/>
      <c r="J43" s="12"/>
      <c r="L43" s="267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SUM('7'!Y45,'7'!AA45,'7'!AC45,'7'!AE45)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COUNTIF('7'!I7:I18,"&lt;=5,0")</f>
        <v>12</v>
      </c>
      <c r="I45" s="127"/>
      <c r="J45" s="128"/>
      <c r="K45" s="215"/>
      <c r="L45" s="208">
        <f>COUNTA('7'!L37)</f>
        <v>0</v>
      </c>
      <c r="M45" s="128"/>
      <c r="O45" s="248"/>
      <c r="P45" s="249"/>
      <c r="Q45" s="250">
        <f>'7'!S41-'7'!O41</f>
        <v>12</v>
      </c>
      <c r="R45" s="251"/>
      <c r="S45" s="252"/>
      <c r="T45" s="253"/>
      <c r="X45" s="133" t="s">
        <v>104</v>
      </c>
      <c r="Y45" s="254">
        <f>'7'!Y44*275.3</f>
        <v>0</v>
      </c>
      <c r="Z45" s="133" t="s">
        <v>104</v>
      </c>
      <c r="AA45" s="254">
        <f>262.4*'7'!AA44</f>
        <v>0</v>
      </c>
      <c r="AB45" s="133" t="s">
        <v>104</v>
      </c>
      <c r="AC45" s="254">
        <f>'7'!AC44*277.7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390"/>
      <c r="AP45" s="233"/>
      <c r="AQ45" s="233"/>
      <c r="AR45" s="89"/>
    </row>
    <row r="46" ht="15.75" customHeight="1">
      <c r="F46" s="257"/>
      <c r="X46" s="196" t="s">
        <v>105</v>
      </c>
      <c r="Y46" s="258">
        <f>'7'!AS6</f>
        <v>1.33</v>
      </c>
      <c r="Z46" s="196" t="s">
        <v>105</v>
      </c>
      <c r="AA46" s="258">
        <v>0.1</v>
      </c>
      <c r="AB46" s="196" t="s">
        <v>105</v>
      </c>
      <c r="AC46" s="258">
        <f>'7'!Y46</f>
        <v>1.33</v>
      </c>
      <c r="AD46" s="196" t="s">
        <v>105</v>
      </c>
      <c r="AE46" s="259">
        <f>'7'!Y46</f>
        <v>1.33</v>
      </c>
      <c r="AF46" s="260" t="s">
        <v>106</v>
      </c>
      <c r="AG46" s="261">
        <f>SUM('7'!Y47,'7'!AA47,'7'!AC47,'7'!AE47)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'7'!Y45*'7'!Y46</f>
        <v>0</v>
      </c>
      <c r="Z47" s="133" t="s">
        <v>108</v>
      </c>
      <c r="AA47" s="254">
        <f>'7'!AA45*'7'!AA46</f>
        <v>0</v>
      </c>
      <c r="AB47" s="133" t="s">
        <v>108</v>
      </c>
      <c r="AC47" s="254">
        <f>'7'!AC45*'7'!AC46</f>
        <v>0</v>
      </c>
      <c r="AD47" s="133" t="s">
        <v>108</v>
      </c>
      <c r="AE47" s="254">
        <f>'7'!AE45*'7'!AE46</f>
        <v>0</v>
      </c>
      <c r="AF47" s="46"/>
      <c r="AG47" s="46"/>
      <c r="AI47" s="133" t="s">
        <v>104</v>
      </c>
      <c r="AJ47" s="254">
        <f>'7'!AJ46*275.3</f>
        <v>0</v>
      </c>
      <c r="AK47" s="133" t="s">
        <v>104</v>
      </c>
      <c r="AL47" s="254">
        <f>262.4*'7'!AL46</f>
        <v>0</v>
      </c>
      <c r="AM47" s="133" t="s">
        <v>104</v>
      </c>
      <c r="AN47" s="254">
        <f>'7'!AN46*277.7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'7'!Y46</f>
        <v>1.33</v>
      </c>
      <c r="AK48" s="265" t="s">
        <v>105</v>
      </c>
      <c r="AL48" s="258">
        <f>'7'!AJ48</f>
        <v>1.33</v>
      </c>
      <c r="AM48" s="265" t="s">
        <v>105</v>
      </c>
      <c r="AN48" s="258">
        <f>'7'!AJ48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'7'!AJ47*'7'!AJ48</f>
        <v>0</v>
      </c>
      <c r="AK49" s="133" t="s">
        <v>108</v>
      </c>
      <c r="AL49" s="254">
        <f>'7'!AL47*'7'!AL48</f>
        <v>0</v>
      </c>
      <c r="AM49" s="133" t="s">
        <v>108</v>
      </c>
      <c r="AN49" s="254">
        <f>'7'!AN47*'7'!AN48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COUNTA('7'!O7:O18)</f>
        <v>12</v>
      </c>
      <c r="P51" s="128"/>
      <c r="R51" s="247">
        <f>COUNTIF('7'!O7:O18,"&gt;=0,5")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SUM('7'!Y53,'7'!AA53,'7'!AC53,'7'!AE53)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390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'7'!Y52*275.3</f>
        <v>0</v>
      </c>
      <c r="Z53" s="133" t="s">
        <v>104</v>
      </c>
      <c r="AA53" s="254">
        <f>262.4*'7'!AA52</f>
        <v>0</v>
      </c>
      <c r="AB53" s="133" t="s">
        <v>104</v>
      </c>
      <c r="AC53" s="276">
        <f>'7'!AC52*277.7</f>
        <v>0</v>
      </c>
      <c r="AD53" s="133" t="s">
        <v>104</v>
      </c>
      <c r="AE53" s="352">
        <v>0.0</v>
      </c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'7'!AS7</f>
        <v>1.377</v>
      </c>
      <c r="Z54" s="196" t="s">
        <v>105</v>
      </c>
      <c r="AA54" s="258">
        <f>'7'!Y54</f>
        <v>1.377</v>
      </c>
      <c r="AB54" s="196" t="s">
        <v>105</v>
      </c>
      <c r="AC54" s="258">
        <f>'7'!Y54</f>
        <v>1.377</v>
      </c>
      <c r="AD54" s="196" t="s">
        <v>105</v>
      </c>
      <c r="AE54" s="259">
        <f>'7'!Y54</f>
        <v>1.377</v>
      </c>
      <c r="AF54" s="260" t="s">
        <v>106</v>
      </c>
      <c r="AG54" s="261">
        <f>SUM('7'!Y55,'7'!AA55,'7'!AC55,'7'!AE55)</f>
        <v>0</v>
      </c>
      <c r="AI54" s="133" t="s">
        <v>104</v>
      </c>
      <c r="AJ54" s="254">
        <f>'7'!AJ53*275.3</f>
        <v>0</v>
      </c>
      <c r="AK54" s="133" t="s">
        <v>104</v>
      </c>
      <c r="AL54" s="254">
        <f>262.4*'7'!AL53</f>
        <v>0</v>
      </c>
      <c r="AM54" s="133" t="s">
        <v>104</v>
      </c>
      <c r="AN54" s="276">
        <f>'7'!AN53*277.7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'7'!Y53*'7'!Y54</f>
        <v>0</v>
      </c>
      <c r="Z55" s="133" t="s">
        <v>108</v>
      </c>
      <c r="AA55" s="254">
        <f>'7'!AA53*'7'!AA54</f>
        <v>0</v>
      </c>
      <c r="AB55" s="133" t="s">
        <v>108</v>
      </c>
      <c r="AC55" s="254">
        <f>'7'!AC53*'7'!AC54</f>
        <v>0</v>
      </c>
      <c r="AD55" s="133" t="s">
        <v>108</v>
      </c>
      <c r="AE55" s="254">
        <f>'7'!AE53*'7'!AE54</f>
        <v>0</v>
      </c>
      <c r="AF55" s="46"/>
      <c r="AG55" s="46"/>
      <c r="AI55" s="196" t="s">
        <v>105</v>
      </c>
      <c r="AJ55" s="258">
        <f>'7'!Y54</f>
        <v>1.377</v>
      </c>
      <c r="AK55" s="196" t="s">
        <v>105</v>
      </c>
      <c r="AL55" s="258">
        <f>'7'!AJ55</f>
        <v>1.377</v>
      </c>
      <c r="AM55" s="196" t="s">
        <v>105</v>
      </c>
      <c r="AN55" s="258">
        <f>'7'!AJ55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'7'!AJ54*'7'!AJ55</f>
        <v>0</v>
      </c>
      <c r="AK56" s="133" t="s">
        <v>108</v>
      </c>
      <c r="AL56" s="254">
        <f>'7'!AL54*'7'!AL55</f>
        <v>0</v>
      </c>
      <c r="AM56" s="133" t="s">
        <v>108</v>
      </c>
      <c r="AN56" s="254">
        <f>'7'!AN54*'7'!AN55</f>
        <v>0</v>
      </c>
      <c r="AO56" s="16"/>
      <c r="AP56" s="17"/>
      <c r="AQ56" s="17"/>
      <c r="AR56" s="18"/>
    </row>
    <row r="57" ht="15.75" customHeight="1">
      <c r="O57" s="169">
        <f>COUNTA('7'!N7:N18)</f>
        <v>12</v>
      </c>
      <c r="P57" s="128"/>
      <c r="R57" s="277">
        <f>COUNTIF('7'!N7:N18,"&gt;=6")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391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'7'!AJ56+'7'!AL56+'7'!AN56</f>
        <v>0</v>
      </c>
      <c r="AM61" s="80"/>
      <c r="AN61" s="286" t="s">
        <v>121</v>
      </c>
      <c r="AO61" s="79"/>
      <c r="AP61" s="80"/>
      <c r="AQ61" s="287">
        <f>'7'!AJ49+'7'!AL49+'7'!AN49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'7'!AA32</f>
        <v>47241.6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/>
      <c r="AE63" s="97"/>
      <c r="AI63" s="286" t="s">
        <v>125</v>
      </c>
      <c r="AJ63" s="79"/>
      <c r="AK63" s="80"/>
      <c r="AL63" s="287">
        <f>'7'!AL61-'7'!AL62</f>
        <v>0</v>
      </c>
      <c r="AM63" s="80"/>
      <c r="AN63" s="286" t="s">
        <v>125</v>
      </c>
      <c r="AO63" s="79"/>
      <c r="AP63" s="80"/>
      <c r="AQ63" s="287">
        <f>'7'!AQ61-'7'!AQ62</f>
        <v>-47241.6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/>
      <c r="Z65" s="43"/>
      <c r="AA65" s="27"/>
      <c r="AB65" s="299" t="s">
        <v>126</v>
      </c>
      <c r="AC65" s="330"/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/>
      <c r="Z67" s="43"/>
      <c r="AA67" s="27"/>
      <c r="AB67" s="296" t="s">
        <v>124</v>
      </c>
      <c r="AC67" s="254">
        <f>SUM('7'!AM38,'7'!AR38)</f>
        <v>0</v>
      </c>
    </row>
    <row r="68" ht="15.75" customHeight="1">
      <c r="X68" s="294" t="s">
        <v>128</v>
      </c>
      <c r="Y68" s="301">
        <f>SUM('7'!Y63,'7'!Y65)-'7'!Y67</f>
        <v>0</v>
      </c>
      <c r="Z68" s="16"/>
      <c r="AA68" s="18"/>
      <c r="AB68" s="296" t="s">
        <v>128</v>
      </c>
      <c r="AC68" s="302">
        <f>SUM('7'!AC63,'7'!AC65)-'7'!AC67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1" width="8.71"/>
    <col customWidth="1" min="22" max="24" width="8.57"/>
    <col customWidth="1" min="25" max="25" width="8.14"/>
    <col customWidth="1" min="26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3369.0</v>
      </c>
      <c r="Z6" s="308">
        <v>1480.0</v>
      </c>
      <c r="AA6" s="392">
        <v>1.0</v>
      </c>
      <c r="AB6" s="58">
        <f>IF('8'!AA6=1,(('8'!Z6*'8'!$AS$6*'8'!$AT$6)/('8'!Y6*0.0036)),IF('8'!AA6=2,(('8'!Z6*'8'!$AS$7*'8'!$AT$7)/('8'!Y6*0.0036))))</f>
        <v>81.14837901</v>
      </c>
      <c r="AC6" s="58"/>
      <c r="AD6" s="59">
        <f>(('8'!AC6*'8'!$Q$10*1000000))/('8'!Y6*3600)</f>
        <v>0</v>
      </c>
      <c r="AE6" s="60"/>
      <c r="AF6" s="61">
        <f>('8'!AE6/24)*0.454</f>
        <v>0</v>
      </c>
      <c r="AG6" s="60"/>
      <c r="AH6" s="61">
        <f>('8'!AG6/24)*0.454</f>
        <v>0</v>
      </c>
      <c r="AI6" s="60">
        <v>5000.0</v>
      </c>
      <c r="AJ6" s="61">
        <f>('8'!AI6/24)*0.454</f>
        <v>94.58333333</v>
      </c>
      <c r="AK6" s="62"/>
      <c r="AL6" s="63">
        <f>('8'!AK6/24)*0.454</f>
        <v>0</v>
      </c>
      <c r="AM6" s="62"/>
      <c r="AN6" s="63">
        <f>('8'!AM6/24)*0.454</f>
        <v>0</v>
      </c>
      <c r="AO6" s="62"/>
      <c r="AP6" s="63">
        <f>('8'!AO6/24)*0.454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/>
    </row>
    <row r="7" ht="18.75" customHeight="1">
      <c r="A7" s="69">
        <v>0.0</v>
      </c>
      <c r="B7" s="76">
        <v>244.0</v>
      </c>
      <c r="C7" s="76">
        <v>13.0</v>
      </c>
      <c r="D7" s="76">
        <v>12.0</v>
      </c>
      <c r="E7" s="76">
        <v>7.0</v>
      </c>
      <c r="F7" s="76">
        <v>38.0</v>
      </c>
      <c r="G7" s="76">
        <v>1.2</v>
      </c>
      <c r="H7" s="76">
        <v>1.1</v>
      </c>
      <c r="I7" s="76">
        <v>0.6</v>
      </c>
      <c r="J7" s="76">
        <v>0.5</v>
      </c>
      <c r="K7" s="76">
        <v>6.9</v>
      </c>
      <c r="L7" s="76">
        <v>6.5</v>
      </c>
      <c r="M7" s="76">
        <v>6.5</v>
      </c>
      <c r="N7" s="76">
        <v>6.1</v>
      </c>
      <c r="O7" s="76">
        <v>3.6</v>
      </c>
      <c r="P7" s="76"/>
      <c r="Q7" s="310"/>
      <c r="R7" s="77">
        <f>'7'!$Z$29</f>
        <v>1480</v>
      </c>
      <c r="S7" s="309">
        <f>'7'!AB29</f>
        <v>84.69296434</v>
      </c>
      <c r="T7" s="77">
        <f>'7'!Y29</f>
        <v>3355</v>
      </c>
      <c r="U7" s="73" t="str">
        <f>IF('8'!AA6=1,'8'!AR6,'8'!AR7)</f>
        <v>S.A.L</v>
      </c>
      <c r="V7" s="74" t="str">
        <f>ESCALA!$C$9</f>
        <v/>
      </c>
      <c r="W7" s="12"/>
      <c r="X7" s="54">
        <v>0.0833333333333333</v>
      </c>
      <c r="Y7" s="125">
        <v>3356.0</v>
      </c>
      <c r="Z7" s="308">
        <v>1480.0</v>
      </c>
      <c r="AA7" s="392">
        <v>1.0</v>
      </c>
      <c r="AB7" s="58">
        <f>IF('8'!AA7=1,(('8'!Z7*'8'!$AS$6*'8'!$AT$6)/('8'!Y7*0.0036)),IF('8'!AA7=2,(('8'!Z7*'8'!$AS$7*'8'!$AT$7)/('8'!Y7*0.0036))))</f>
        <v>81.46272017</v>
      </c>
      <c r="AC7" s="58"/>
      <c r="AD7" s="59">
        <f>(('8'!AC7*'8'!$Q$10*1000000))/('8'!Y7*3600)</f>
        <v>0</v>
      </c>
      <c r="AE7" s="60"/>
      <c r="AF7" s="61">
        <f>('8'!AE7/24)*0.454</f>
        <v>0</v>
      </c>
      <c r="AG7" s="60"/>
      <c r="AH7" s="61">
        <f>('8'!AG7/24)*0.454</f>
        <v>0</v>
      </c>
      <c r="AI7" s="60">
        <v>5000.0</v>
      </c>
      <c r="AJ7" s="61">
        <f>('8'!AI7/24)*0.454</f>
        <v>94.58333333</v>
      </c>
      <c r="AK7" s="62"/>
      <c r="AL7" s="63">
        <f>('8'!AK7/24)*0.454</f>
        <v>0</v>
      </c>
      <c r="AM7" s="62"/>
      <c r="AN7" s="63">
        <f>('8'!AM7/24)*0.454</f>
        <v>0</v>
      </c>
      <c r="AO7" s="62"/>
      <c r="AP7" s="63">
        <f>('8'!AO7/24)*0.454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235.0</v>
      </c>
      <c r="C8" s="76">
        <v>12.0</v>
      </c>
      <c r="D8" s="76">
        <v>11.0</v>
      </c>
      <c r="E8" s="76">
        <v>7.0</v>
      </c>
      <c r="F8" s="76">
        <v>35.0</v>
      </c>
      <c r="G8" s="76">
        <v>1.1</v>
      </c>
      <c r="H8" s="76">
        <v>1.0</v>
      </c>
      <c r="I8" s="76">
        <v>0.7</v>
      </c>
      <c r="J8" s="76">
        <v>0.5</v>
      </c>
      <c r="K8" s="76">
        <v>6.9</v>
      </c>
      <c r="L8" s="76">
        <v>6.5</v>
      </c>
      <c r="M8" s="76">
        <v>6.5</v>
      </c>
      <c r="N8" s="76">
        <v>6.1</v>
      </c>
      <c r="O8" s="76">
        <v>3.6</v>
      </c>
      <c r="P8" s="76"/>
      <c r="Q8" s="310"/>
      <c r="R8" s="75">
        <f>'8'!Z7</f>
        <v>1480</v>
      </c>
      <c r="S8" s="76">
        <f>'8'!AB7</f>
        <v>81.46272017</v>
      </c>
      <c r="T8" s="77">
        <f>'8'!Y7</f>
        <v>3356</v>
      </c>
      <c r="U8" s="73" t="str">
        <f>IF('8'!AA7=1,'8'!AR6,'8'!AR7)</f>
        <v>S.A.L</v>
      </c>
      <c r="V8" s="43"/>
      <c r="W8" s="27"/>
      <c r="X8" s="54">
        <v>0.125</v>
      </c>
      <c r="Y8" s="125">
        <v>3414.0</v>
      </c>
      <c r="Z8" s="308">
        <v>1480.0</v>
      </c>
      <c r="AA8" s="392">
        <v>1.0</v>
      </c>
      <c r="AB8" s="58">
        <f>IF('8'!AA8=1,(('8'!Z8*'8'!$AS$6*'8'!$AT$6)/('8'!Y8*0.0036)),IF('8'!AA8=2,(('8'!Z8*'8'!$AS$7*'8'!$AT$7)/('8'!Y8*0.0036))))</f>
        <v>80.07876066</v>
      </c>
      <c r="AC8" s="58"/>
      <c r="AD8" s="59">
        <f>(('8'!AC8*'8'!$Q$10*1000000))/('8'!Y8*3600)</f>
        <v>0</v>
      </c>
      <c r="AE8" s="60"/>
      <c r="AF8" s="61">
        <f>('8'!AE8/24)*0.454</f>
        <v>0</v>
      </c>
      <c r="AG8" s="60"/>
      <c r="AH8" s="61">
        <f>('8'!AG8/24)*0.454</f>
        <v>0</v>
      </c>
      <c r="AI8" s="60">
        <v>5000.0</v>
      </c>
      <c r="AJ8" s="61">
        <f>('8'!AI8/24)*0.454</f>
        <v>94.58333333</v>
      </c>
      <c r="AK8" s="62"/>
      <c r="AL8" s="63">
        <f>('8'!AK8/24)*0.454</f>
        <v>0</v>
      </c>
      <c r="AM8" s="62"/>
      <c r="AN8" s="63">
        <f>('8'!AM8/24)*0.454</f>
        <v>0</v>
      </c>
      <c r="AO8" s="62"/>
      <c r="AP8" s="63">
        <f>('8'!AO8/24)*0.454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223.0</v>
      </c>
      <c r="C9" s="76">
        <v>11.0</v>
      </c>
      <c r="D9" s="76">
        <v>11.0</v>
      </c>
      <c r="E9" s="76">
        <v>6.0</v>
      </c>
      <c r="F9" s="76">
        <v>31.0</v>
      </c>
      <c r="G9" s="76">
        <v>1.1</v>
      </c>
      <c r="H9" s="76">
        <v>0.9</v>
      </c>
      <c r="I9" s="76">
        <v>0.7</v>
      </c>
      <c r="J9" s="76">
        <v>0.5</v>
      </c>
      <c r="K9" s="76">
        <v>6.9</v>
      </c>
      <c r="L9" s="76">
        <v>6.5</v>
      </c>
      <c r="M9" s="76">
        <v>6.5</v>
      </c>
      <c r="N9" s="76">
        <v>6.1</v>
      </c>
      <c r="O9" s="76">
        <v>3.6</v>
      </c>
      <c r="P9" s="76"/>
      <c r="Q9" s="310"/>
      <c r="R9" s="77">
        <f>'8'!Z9</f>
        <v>1480</v>
      </c>
      <c r="S9" s="76">
        <f>'8'!AB9</f>
        <v>81.24484068</v>
      </c>
      <c r="T9" s="77">
        <f>'8'!Y9</f>
        <v>3365</v>
      </c>
      <c r="U9" s="73" t="str">
        <f>IF('8'!AA9=1,'8'!AR6,'8'!AR7)</f>
        <v>S.A.L</v>
      </c>
      <c r="V9" s="43"/>
      <c r="W9" s="27"/>
      <c r="X9" s="54">
        <v>0.166666666666667</v>
      </c>
      <c r="Y9" s="125">
        <v>3365.0</v>
      </c>
      <c r="Z9" s="308">
        <v>1480.0</v>
      </c>
      <c r="AA9" s="392">
        <v>1.0</v>
      </c>
      <c r="AB9" s="58">
        <f>IF('8'!AA9=1,(('8'!Z9*'8'!$AS$6*'8'!$AT$6)/('8'!Y9*0.0036)),IF('8'!AA9=2,(('8'!Z9*'8'!$AS$7*'8'!$AT$7)/('8'!Y9*0.0036))))</f>
        <v>81.24484068</v>
      </c>
      <c r="AC9" s="58"/>
      <c r="AD9" s="59">
        <f>(('8'!AC9*'8'!$Q$10*1000000))/('8'!Y9*3600)</f>
        <v>0</v>
      </c>
      <c r="AE9" s="60"/>
      <c r="AF9" s="61">
        <f>('8'!AE9/24)*0.454</f>
        <v>0</v>
      </c>
      <c r="AG9" s="60"/>
      <c r="AH9" s="61">
        <f>('8'!AG9/24)*0.454</f>
        <v>0</v>
      </c>
      <c r="AI9" s="60">
        <v>5000.0</v>
      </c>
      <c r="AJ9" s="61">
        <f>('8'!AI9/24)*0.454</f>
        <v>94.58333333</v>
      </c>
      <c r="AK9" s="62"/>
      <c r="AL9" s="63">
        <f>('8'!AK9/24)*0.454</f>
        <v>0</v>
      </c>
      <c r="AM9" s="62"/>
      <c r="AN9" s="63">
        <f>('8'!AM9/24)*0.454</f>
        <v>0</v>
      </c>
      <c r="AO9" s="62"/>
      <c r="AP9" s="63">
        <f>('8'!AO9/24)*0.454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218.0</v>
      </c>
      <c r="C10" s="76">
        <v>11.0</v>
      </c>
      <c r="D10" s="76">
        <v>11.0</v>
      </c>
      <c r="E10" s="76">
        <v>6.0</v>
      </c>
      <c r="F10" s="76">
        <v>28.0</v>
      </c>
      <c r="G10" s="76">
        <v>1.1</v>
      </c>
      <c r="H10" s="76">
        <v>0.9</v>
      </c>
      <c r="I10" s="76">
        <v>0.7</v>
      </c>
      <c r="J10" s="76">
        <v>0.5</v>
      </c>
      <c r="K10" s="76">
        <v>6.9</v>
      </c>
      <c r="L10" s="76">
        <v>6.5</v>
      </c>
      <c r="M10" s="76">
        <v>6.5</v>
      </c>
      <c r="N10" s="76">
        <v>6.1</v>
      </c>
      <c r="O10" s="76">
        <v>3.6</v>
      </c>
      <c r="P10" s="76"/>
      <c r="Q10" s="310"/>
      <c r="R10" s="77">
        <f>'8'!Z11</f>
        <v>1480</v>
      </c>
      <c r="S10" s="76">
        <f>'8'!AB11</f>
        <v>78.76372483</v>
      </c>
      <c r="T10" s="77">
        <f>'8'!Y11</f>
        <v>3471</v>
      </c>
      <c r="U10" s="73" t="str">
        <f>IF('8'!AA11=1,'8'!AR6,'8'!AR7)</f>
        <v>S.A.L</v>
      </c>
      <c r="V10" s="43"/>
      <c r="W10" s="27"/>
      <c r="X10" s="54">
        <v>0.208333333333333</v>
      </c>
      <c r="Y10" s="125">
        <v>3367.0</v>
      </c>
      <c r="Z10" s="308">
        <v>1480.0</v>
      </c>
      <c r="AA10" s="392">
        <v>1.0</v>
      </c>
      <c r="AB10" s="58">
        <f>IF('8'!AA10=1,(('8'!Z10*'8'!$AS$6*'8'!$AT$6)/('8'!Y10*0.0036)),IF('8'!AA10=2,(('8'!Z10*'8'!$AS$7*'8'!$AT$7)/('8'!Y10*0.0036))))</f>
        <v>81.1965812</v>
      </c>
      <c r="AC10" s="58"/>
      <c r="AD10" s="59">
        <f>(('8'!AC10*'8'!$Q$10*1000000))/('8'!Y10*3600)</f>
        <v>0</v>
      </c>
      <c r="AE10" s="60"/>
      <c r="AF10" s="61">
        <f>('8'!AE10/24)*0.454</f>
        <v>0</v>
      </c>
      <c r="AG10" s="60"/>
      <c r="AH10" s="61">
        <f>('8'!AG10/24)*0.454</f>
        <v>0</v>
      </c>
      <c r="AI10" s="60">
        <v>5000.0</v>
      </c>
      <c r="AJ10" s="61">
        <f>('8'!AI10/24)*0.454</f>
        <v>94.58333333</v>
      </c>
      <c r="AK10" s="62"/>
      <c r="AL10" s="63">
        <f>('8'!AK10/24)*0.454</f>
        <v>0</v>
      </c>
      <c r="AM10" s="62"/>
      <c r="AN10" s="63">
        <f>('8'!AM10/24)*0.454</f>
        <v>0</v>
      </c>
      <c r="AO10" s="62"/>
      <c r="AP10" s="63">
        <f>('8'!AO10/24)*0.454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219.0</v>
      </c>
      <c r="C11" s="76">
        <v>12.0</v>
      </c>
      <c r="D11" s="76">
        <v>10.0</v>
      </c>
      <c r="E11" s="76">
        <v>5.0</v>
      </c>
      <c r="F11" s="76">
        <v>29.0</v>
      </c>
      <c r="G11" s="76">
        <v>0.9</v>
      </c>
      <c r="H11" s="76">
        <v>0.8</v>
      </c>
      <c r="I11" s="76">
        <v>0.6</v>
      </c>
      <c r="J11" s="76">
        <v>0.5</v>
      </c>
      <c r="K11" s="76">
        <v>6.9</v>
      </c>
      <c r="L11" s="76">
        <v>6.5</v>
      </c>
      <c r="M11" s="76">
        <v>6.5</v>
      </c>
      <c r="N11" s="76">
        <v>6.1</v>
      </c>
      <c r="O11" s="76">
        <v>3.3</v>
      </c>
      <c r="P11" s="76"/>
      <c r="Q11" s="310"/>
      <c r="R11" s="77">
        <f>'8'!Z13</f>
        <v>1480</v>
      </c>
      <c r="S11" s="76">
        <f>'8'!AB13</f>
        <v>80.71712102</v>
      </c>
      <c r="T11" s="77">
        <f>'8'!Y13</f>
        <v>3387</v>
      </c>
      <c r="U11" s="73" t="str">
        <f>IF('8'!AA13=1,'8'!AR6,'8'!AR7)</f>
        <v>S.A.L</v>
      </c>
      <c r="V11" s="16"/>
      <c r="W11" s="18"/>
      <c r="X11" s="54">
        <v>0.25</v>
      </c>
      <c r="Y11" s="125">
        <v>3471.0</v>
      </c>
      <c r="Z11" s="308">
        <v>1480.0</v>
      </c>
      <c r="AA11" s="392">
        <v>1.0</v>
      </c>
      <c r="AB11" s="58">
        <f>IF('8'!AA11=1,(('8'!Z11*'8'!$AS$6*'8'!$AT$6)/('8'!Y11*0.0036)),IF('8'!AA11=2,(('8'!Z11*'8'!$AS$7*'8'!$AT$7)/('8'!Y11*0.0036))))</f>
        <v>78.76372483</v>
      </c>
      <c r="AC11" s="58"/>
      <c r="AD11" s="59">
        <f>(('8'!AC11*'8'!$Q$10*1000000))/('8'!Y11*3600)</f>
        <v>0</v>
      </c>
      <c r="AE11" s="60"/>
      <c r="AF11" s="61">
        <f>('8'!AE11/24)*0.454</f>
        <v>0</v>
      </c>
      <c r="AG11" s="60"/>
      <c r="AH11" s="61">
        <f>('8'!AG11/24)*0.454</f>
        <v>0</v>
      </c>
      <c r="AI11" s="60">
        <v>5000.0</v>
      </c>
      <c r="AJ11" s="61">
        <f>('8'!AI11/24)*0.454</f>
        <v>94.58333333</v>
      </c>
      <c r="AK11" s="62"/>
      <c r="AL11" s="63">
        <f>('8'!AK11/24)*0.454</f>
        <v>0</v>
      </c>
      <c r="AM11" s="62"/>
      <c r="AN11" s="63">
        <f>('8'!AM11/24)*0.454</f>
        <v>0</v>
      </c>
      <c r="AO11" s="62"/>
      <c r="AP11" s="63">
        <f>('8'!AO11/24)*0.454</f>
        <v>0</v>
      </c>
    </row>
    <row r="12" ht="18.75" customHeight="1">
      <c r="A12" s="69">
        <v>0.416666666666667</v>
      </c>
      <c r="B12" s="76">
        <v>222.0</v>
      </c>
      <c r="C12" s="76">
        <v>12.0</v>
      </c>
      <c r="D12" s="76">
        <v>10.0</v>
      </c>
      <c r="E12" s="76">
        <v>5.0</v>
      </c>
      <c r="F12" s="76">
        <v>28.0</v>
      </c>
      <c r="G12" s="76">
        <v>0.8</v>
      </c>
      <c r="H12" s="76">
        <v>0.8</v>
      </c>
      <c r="I12" s="76">
        <v>0.5</v>
      </c>
      <c r="J12" s="76">
        <v>0.5</v>
      </c>
      <c r="K12" s="76">
        <v>6.9</v>
      </c>
      <c r="L12" s="76">
        <v>6.5</v>
      </c>
      <c r="M12" s="76">
        <v>6.5</v>
      </c>
      <c r="N12" s="76">
        <v>6.1</v>
      </c>
      <c r="O12" s="76">
        <v>3.3</v>
      </c>
      <c r="P12" s="76"/>
      <c r="Q12" s="310"/>
      <c r="R12" s="77">
        <f>'8'!Z15</f>
        <v>1480</v>
      </c>
      <c r="S12" s="76">
        <f>'8'!AB15</f>
        <v>81.6817714</v>
      </c>
      <c r="T12" s="77">
        <f>'8'!Y15</f>
        <v>3347</v>
      </c>
      <c r="U12" s="73" t="str">
        <f>IF('8'!AA15=1,'8'!AR6,'8'!AR7)</f>
        <v>S.A.L</v>
      </c>
      <c r="V12" s="88" t="str">
        <f>ESCALA!$B$10</f>
        <v/>
      </c>
      <c r="W12" s="89"/>
      <c r="X12" s="54">
        <v>0.291666666666667</v>
      </c>
      <c r="Y12" s="125">
        <v>3461.0</v>
      </c>
      <c r="Z12" s="308">
        <v>1480.0</v>
      </c>
      <c r="AA12" s="392">
        <v>1.0</v>
      </c>
      <c r="AB12" s="58">
        <f>IF('8'!AA12=1,(('8'!Z12*'8'!$AS$6*'8'!$AT$6)/('8'!Y12*0.0036)),IF('8'!AA12=2,(('8'!Z12*'8'!$AS$7*'8'!$AT$7)/('8'!Y12*0.0036))))</f>
        <v>78.99129988</v>
      </c>
      <c r="AC12" s="58"/>
      <c r="AD12" s="59">
        <f>(('8'!AC12*'8'!$Q$10*1000000))/('8'!Y12*3600)</f>
        <v>0</v>
      </c>
      <c r="AE12" s="60"/>
      <c r="AF12" s="61">
        <f>('8'!AE12/24)*0.454</f>
        <v>0</v>
      </c>
      <c r="AG12" s="60"/>
      <c r="AH12" s="61">
        <f>('8'!AG12/24)*0.454</f>
        <v>0</v>
      </c>
      <c r="AI12" s="60">
        <v>5000.0</v>
      </c>
      <c r="AJ12" s="61">
        <f>('8'!AI12/24)*0.454</f>
        <v>94.58333333</v>
      </c>
      <c r="AK12" s="62"/>
      <c r="AL12" s="63">
        <f>('8'!AK12/24)*0.454</f>
        <v>0</v>
      </c>
      <c r="AM12" s="62"/>
      <c r="AN12" s="63">
        <f>('8'!AM12/24)*0.454</f>
        <v>0</v>
      </c>
      <c r="AO12" s="62"/>
      <c r="AP12" s="63">
        <f>('8'!AO12/24)*0.454</f>
        <v>0</v>
      </c>
    </row>
    <row r="13" ht="18.75" customHeight="1">
      <c r="A13" s="69">
        <v>0.5</v>
      </c>
      <c r="B13" s="76">
        <v>218.0</v>
      </c>
      <c r="C13" s="76">
        <v>14.0</v>
      </c>
      <c r="D13" s="76">
        <v>12.0</v>
      </c>
      <c r="E13" s="76">
        <v>8.0</v>
      </c>
      <c r="F13" s="76">
        <v>29.0</v>
      </c>
      <c r="G13" s="76">
        <v>1.2</v>
      </c>
      <c r="H13" s="76">
        <v>1.0</v>
      </c>
      <c r="I13" s="76">
        <v>0.6</v>
      </c>
      <c r="J13" s="76">
        <v>0.6</v>
      </c>
      <c r="K13" s="76">
        <v>6.9</v>
      </c>
      <c r="L13" s="76">
        <v>6.5</v>
      </c>
      <c r="M13" s="76">
        <v>6.5</v>
      </c>
      <c r="N13" s="76">
        <v>6.1</v>
      </c>
      <c r="O13" s="76">
        <v>3.3</v>
      </c>
      <c r="P13" s="76"/>
      <c r="Q13" s="310"/>
      <c r="R13" s="77">
        <f>'8'!Z17</f>
        <v>1480</v>
      </c>
      <c r="S13" s="76">
        <f>'8'!AB17</f>
        <v>81.02812356</v>
      </c>
      <c r="T13" s="77">
        <f>'8'!Y17</f>
        <v>3374</v>
      </c>
      <c r="U13" s="73" t="str">
        <f>IF('8'!AA17=1,'8'!AR6,'8'!AR7)</f>
        <v>S.A.L</v>
      </c>
      <c r="V13" s="43"/>
      <c r="W13" s="27"/>
      <c r="X13" s="54">
        <v>0.333333333333333</v>
      </c>
      <c r="Y13" s="125">
        <v>3387.0</v>
      </c>
      <c r="Z13" s="392">
        <v>1480.0</v>
      </c>
      <c r="AA13" s="392">
        <v>1.0</v>
      </c>
      <c r="AB13" s="58">
        <f>IF('8'!AA13=1,(('8'!Z13*'8'!$AS$6*'8'!$AT$6)/('8'!Y13*0.0036)),IF('8'!AA13=2,(('8'!Z13*'8'!$AS$7*'8'!$AT$7)/('8'!Y13*0.0036))))</f>
        <v>80.71712102</v>
      </c>
      <c r="AC13" s="58"/>
      <c r="AD13" s="59">
        <f>(('8'!AC13*'8'!$Q$10*1000000))/('8'!Y13*3600)</f>
        <v>0</v>
      </c>
      <c r="AE13" s="60"/>
      <c r="AF13" s="61">
        <f>('8'!AE13/24)*0.454</f>
        <v>0</v>
      </c>
      <c r="AG13" s="60"/>
      <c r="AH13" s="61">
        <f>('8'!AG13/24)*0.454</f>
        <v>0</v>
      </c>
      <c r="AI13" s="60">
        <v>5000.0</v>
      </c>
      <c r="AJ13" s="61">
        <f>('8'!AI13/24)*0.454</f>
        <v>94.58333333</v>
      </c>
      <c r="AK13" s="62"/>
      <c r="AL13" s="63">
        <f>('8'!AK13/24)*0.454</f>
        <v>0</v>
      </c>
      <c r="AM13" s="62"/>
      <c r="AN13" s="63">
        <f>('8'!AM13/24)*0.454</f>
        <v>0</v>
      </c>
      <c r="AO13" s="62"/>
      <c r="AP13" s="63">
        <f>('8'!AO13/24)*0.454</f>
        <v>0</v>
      </c>
    </row>
    <row r="14" ht="18.75" customHeight="1">
      <c r="A14" s="69">
        <v>0.583333333333333</v>
      </c>
      <c r="B14" s="76">
        <v>220.0</v>
      </c>
      <c r="C14" s="76">
        <v>15.0</v>
      </c>
      <c r="D14" s="76">
        <v>14.0</v>
      </c>
      <c r="E14" s="76">
        <v>8.0</v>
      </c>
      <c r="F14" s="76">
        <v>30.0</v>
      </c>
      <c r="G14" s="76">
        <v>1.4</v>
      </c>
      <c r="H14" s="76">
        <v>1.0</v>
      </c>
      <c r="I14" s="76">
        <v>0.7</v>
      </c>
      <c r="J14" s="76">
        <v>0.9</v>
      </c>
      <c r="K14" s="76">
        <v>6.9</v>
      </c>
      <c r="L14" s="76">
        <v>6.5</v>
      </c>
      <c r="M14" s="76">
        <v>6.5</v>
      </c>
      <c r="N14" s="76">
        <v>6.1</v>
      </c>
      <c r="O14" s="76">
        <v>3.2</v>
      </c>
      <c r="P14" s="76"/>
      <c r="Q14" s="310"/>
      <c r="R14" s="77">
        <f>'8'!Z19</f>
        <v>1480</v>
      </c>
      <c r="S14" s="76">
        <f>'8'!AB19</f>
        <v>82.24695815</v>
      </c>
      <c r="T14" s="77">
        <f>'8'!Y19</f>
        <v>3324</v>
      </c>
      <c r="U14" s="73" t="str">
        <f>IF('8'!AA19=1,'8'!AR6,'8'!AR7)</f>
        <v>S.A.L</v>
      </c>
      <c r="V14" s="43"/>
      <c r="W14" s="27"/>
      <c r="X14" s="54">
        <v>0.375</v>
      </c>
      <c r="Y14" s="125">
        <v>3431.0</v>
      </c>
      <c r="Z14" s="392">
        <v>1480.0</v>
      </c>
      <c r="AA14" s="392">
        <v>1.0</v>
      </c>
      <c r="AB14" s="58">
        <f>IF('8'!AA14=1,(('8'!Z14*'8'!$AS$6*'8'!$AT$6)/('8'!Y14*0.0036)),IF('8'!AA14=2,(('8'!Z14*'8'!$AS$7*'8'!$AT$7)/('8'!Y14*0.0036))))</f>
        <v>79.68198452</v>
      </c>
      <c r="AC14" s="58"/>
      <c r="AD14" s="59">
        <f>(('8'!AC14*'8'!$Q$10*1000000))/('8'!Y14*3600)</f>
        <v>0</v>
      </c>
      <c r="AE14" s="60"/>
      <c r="AF14" s="61">
        <f>('8'!AE14/24)*0.454</f>
        <v>0</v>
      </c>
      <c r="AG14" s="60"/>
      <c r="AH14" s="61">
        <f>('8'!AG14/24)*0.454</f>
        <v>0</v>
      </c>
      <c r="AI14" s="60">
        <v>5000.0</v>
      </c>
      <c r="AJ14" s="61">
        <f>('8'!AI14/24)*0.454</f>
        <v>94.58333333</v>
      </c>
      <c r="AK14" s="62"/>
      <c r="AL14" s="63">
        <f>('8'!AK14/24)*0.454</f>
        <v>0</v>
      </c>
      <c r="AM14" s="62"/>
      <c r="AN14" s="63">
        <f>('8'!AM14/24)*0.454</f>
        <v>0</v>
      </c>
      <c r="AO14" s="62"/>
      <c r="AP14" s="63">
        <f>('8'!AO14/24)*0.454</f>
        <v>0</v>
      </c>
    </row>
    <row r="15" ht="18.75" customHeight="1">
      <c r="A15" s="69">
        <v>0.666666666666667</v>
      </c>
      <c r="B15" s="76">
        <v>224.0</v>
      </c>
      <c r="C15" s="76">
        <v>15.0</v>
      </c>
      <c r="D15" s="76">
        <v>14.0</v>
      </c>
      <c r="E15" s="76">
        <v>7.0</v>
      </c>
      <c r="F15" s="76">
        <v>28.0</v>
      </c>
      <c r="G15" s="76">
        <v>1.6</v>
      </c>
      <c r="H15" s="76">
        <v>0.9</v>
      </c>
      <c r="I15" s="76">
        <v>0.6</v>
      </c>
      <c r="J15" s="76">
        <v>1.2</v>
      </c>
      <c r="K15" s="76">
        <v>6.9</v>
      </c>
      <c r="L15" s="76">
        <v>6.5</v>
      </c>
      <c r="M15" s="76">
        <v>6.5</v>
      </c>
      <c r="N15" s="76">
        <v>6.1</v>
      </c>
      <c r="O15" s="76">
        <v>3.3</v>
      </c>
      <c r="P15" s="76"/>
      <c r="Q15" s="310"/>
      <c r="R15" s="77">
        <f>'8'!Z21</f>
        <v>1480</v>
      </c>
      <c r="S15" s="76">
        <f>'8'!AB21</f>
        <v>81.73060953</v>
      </c>
      <c r="T15" s="77">
        <f>'8'!Y21</f>
        <v>3345</v>
      </c>
      <c r="U15" s="73" t="str">
        <f>IF('8'!AA21=1,'8'!AR6,'8'!AR7)</f>
        <v>S.A.L</v>
      </c>
      <c r="V15" s="43"/>
      <c r="W15" s="27"/>
      <c r="X15" s="54">
        <v>0.416666666666667</v>
      </c>
      <c r="Y15" s="125">
        <v>3347.0</v>
      </c>
      <c r="Z15" s="392">
        <v>1480.0</v>
      </c>
      <c r="AA15" s="392">
        <v>1.0</v>
      </c>
      <c r="AB15" s="58">
        <f>IF('8'!AA15=1,(('8'!Z15*'8'!$AS$6*'8'!$AT$6)/('8'!Y15*0.0036)),IF('8'!AA15=2,(('8'!Z15*'8'!$AS$7*'8'!$AT$7)/('8'!Y15*0.0036))))</f>
        <v>81.6817714</v>
      </c>
      <c r="AC15" s="58"/>
      <c r="AD15" s="59">
        <f>(('8'!AC15*'8'!$Q$10*1000000))/('8'!Y15*3600)</f>
        <v>0</v>
      </c>
      <c r="AE15" s="60"/>
      <c r="AF15" s="61">
        <f>('8'!AE15/24)*0.454</f>
        <v>0</v>
      </c>
      <c r="AG15" s="60"/>
      <c r="AH15" s="61">
        <f>('8'!AG15/24)*0.454</f>
        <v>0</v>
      </c>
      <c r="AI15" s="60">
        <v>5000.0</v>
      </c>
      <c r="AJ15" s="61">
        <f>('8'!AI15/24)*0.454</f>
        <v>94.58333333</v>
      </c>
      <c r="AK15" s="62"/>
      <c r="AL15" s="63">
        <f>('8'!AK15/24)*0.454</f>
        <v>0</v>
      </c>
      <c r="AM15" s="62"/>
      <c r="AN15" s="63">
        <f>('8'!AM15/24)*0.454</f>
        <v>0</v>
      </c>
      <c r="AO15" s="62"/>
      <c r="AP15" s="63">
        <f>('8'!AO15/24)*0.454</f>
        <v>0</v>
      </c>
    </row>
    <row r="16" ht="18.75" customHeight="1">
      <c r="A16" s="69">
        <v>0.75</v>
      </c>
      <c r="B16" s="76">
        <v>226.0</v>
      </c>
      <c r="C16" s="76">
        <v>14.0</v>
      </c>
      <c r="D16" s="76">
        <v>13.0</v>
      </c>
      <c r="E16" s="76">
        <v>7.0</v>
      </c>
      <c r="F16" s="76">
        <v>30.0</v>
      </c>
      <c r="G16" s="76">
        <v>1.7</v>
      </c>
      <c r="H16" s="76">
        <v>0.9</v>
      </c>
      <c r="I16" s="76">
        <v>0.5</v>
      </c>
      <c r="J16" s="76">
        <v>1.1</v>
      </c>
      <c r="K16" s="76">
        <v>6.9</v>
      </c>
      <c r="L16" s="76">
        <v>6.5</v>
      </c>
      <c r="M16" s="76">
        <v>6.5</v>
      </c>
      <c r="N16" s="76">
        <v>6.1</v>
      </c>
      <c r="O16" s="76">
        <v>3.3</v>
      </c>
      <c r="P16" s="76"/>
      <c r="Q16" s="310"/>
      <c r="R16" s="77">
        <f>'8'!Z23</f>
        <v>1480</v>
      </c>
      <c r="S16" s="76">
        <f>'8'!AB23</f>
        <v>81.6817714</v>
      </c>
      <c r="T16" s="77">
        <f>'8'!Y23</f>
        <v>3347</v>
      </c>
      <c r="U16" s="73" t="str">
        <f>IF('8'!AA23=1,'8'!AR6,'8'!AR7)</f>
        <v>S.A.L</v>
      </c>
      <c r="V16" s="16"/>
      <c r="W16" s="18"/>
      <c r="X16" s="54">
        <v>0.458333333333333</v>
      </c>
      <c r="Y16" s="125">
        <v>3336.0</v>
      </c>
      <c r="Z16" s="392">
        <v>1480.0</v>
      </c>
      <c r="AA16" s="392">
        <v>1.0</v>
      </c>
      <c r="AB16" s="58">
        <f>IF('8'!AA16=1,(('8'!Z16*'8'!$AS$6*'8'!$AT$6)/('8'!Y16*0.0036)),IF('8'!AA16=2,(('8'!Z16*'8'!$AS$7*'8'!$AT$7)/('8'!Y16*0.0036))))</f>
        <v>81.95110578</v>
      </c>
      <c r="AC16" s="58"/>
      <c r="AD16" s="59">
        <f>(('8'!AC16*'8'!$Q$10*1000000))/('8'!Y16*3600)</f>
        <v>0</v>
      </c>
      <c r="AE16" s="60"/>
      <c r="AF16" s="61">
        <f>('8'!AE16/24)*0.454</f>
        <v>0</v>
      </c>
      <c r="AG16" s="60"/>
      <c r="AH16" s="61">
        <f>('8'!AG16/24)*0.454</f>
        <v>0</v>
      </c>
      <c r="AI16" s="60">
        <v>5000.0</v>
      </c>
      <c r="AJ16" s="61">
        <f>('8'!AI16/24)*0.454</f>
        <v>94.58333333</v>
      </c>
      <c r="AK16" s="62"/>
      <c r="AL16" s="63">
        <f>('8'!AK16/24)*0.454</f>
        <v>0</v>
      </c>
      <c r="AM16" s="62"/>
      <c r="AN16" s="63">
        <f>('8'!AM16/24)*0.454</f>
        <v>0</v>
      </c>
      <c r="AO16" s="62"/>
      <c r="AP16" s="63">
        <f>('8'!AO16/24)*0.454</f>
        <v>0</v>
      </c>
    </row>
    <row r="17" ht="18.75" customHeight="1">
      <c r="A17" s="69">
        <v>0.833333333333333</v>
      </c>
      <c r="B17" s="76">
        <v>224.0</v>
      </c>
      <c r="C17" s="76">
        <v>14.0</v>
      </c>
      <c r="D17" s="76">
        <v>13.0</v>
      </c>
      <c r="E17" s="76">
        <v>7.0</v>
      </c>
      <c r="F17" s="76">
        <v>31.0</v>
      </c>
      <c r="G17" s="76">
        <v>1.7</v>
      </c>
      <c r="H17" s="76">
        <v>0.9</v>
      </c>
      <c r="I17" s="76">
        <v>0.5</v>
      </c>
      <c r="J17" s="76">
        <v>1.2</v>
      </c>
      <c r="K17" s="76">
        <v>6.9</v>
      </c>
      <c r="L17" s="76">
        <v>6.5</v>
      </c>
      <c r="M17" s="76">
        <v>6.5</v>
      </c>
      <c r="N17" s="76">
        <v>6.1</v>
      </c>
      <c r="O17" s="76">
        <v>3.3</v>
      </c>
      <c r="P17" s="76"/>
      <c r="Q17" s="310"/>
      <c r="R17" s="77">
        <f>'8'!Z25</f>
        <v>1480</v>
      </c>
      <c r="S17" s="76">
        <f>'8'!AB25</f>
        <v>79.91490467</v>
      </c>
      <c r="T17" s="77">
        <f>'8'!Y25</f>
        <v>3421</v>
      </c>
      <c r="U17" s="73" t="str">
        <f>IF('8'!AA25=1,'8'!AR6,'8'!AR7)</f>
        <v>S.A.L</v>
      </c>
      <c r="V17" s="90" t="str">
        <f>ESCALA!$C$10</f>
        <v/>
      </c>
      <c r="W17" s="89"/>
      <c r="X17" s="54">
        <v>0.5</v>
      </c>
      <c r="Y17" s="125">
        <v>3374.0</v>
      </c>
      <c r="Z17" s="392">
        <v>1480.0</v>
      </c>
      <c r="AA17" s="392">
        <v>1.0</v>
      </c>
      <c r="AB17" s="58">
        <f>IF('8'!AA17=1,(('8'!Z17*'8'!$AS$6*'8'!$AT$6)/('8'!Y17*0.0036)),IF('8'!AA17=2,(('8'!Z17*'8'!$AS$7*'8'!$AT$7)/('8'!Y17*0.0036))))</f>
        <v>81.02812356</v>
      </c>
      <c r="AC17" s="58"/>
      <c r="AD17" s="59">
        <f>(('8'!AC17*'8'!$Q$10*1000000))/('8'!Y17*3600)</f>
        <v>0</v>
      </c>
      <c r="AE17" s="60"/>
      <c r="AF17" s="61">
        <f>('8'!AE17/24)*0.454</f>
        <v>0</v>
      </c>
      <c r="AG17" s="60"/>
      <c r="AH17" s="61">
        <f>('8'!AG17/24)*0.454</f>
        <v>0</v>
      </c>
      <c r="AI17" s="60">
        <v>5000.0</v>
      </c>
      <c r="AJ17" s="61">
        <f>('8'!AI17/24)*0.454</f>
        <v>94.58333333</v>
      </c>
      <c r="AK17" s="62"/>
      <c r="AL17" s="63">
        <f>('8'!AK17/24)*0.454</f>
        <v>0</v>
      </c>
      <c r="AM17" s="62"/>
      <c r="AN17" s="63">
        <f>('8'!AM17/24)*0.454</f>
        <v>0</v>
      </c>
      <c r="AO17" s="62"/>
      <c r="AP17" s="63">
        <f>('8'!AO17/24)*0.454</f>
        <v>0</v>
      </c>
    </row>
    <row r="18" ht="19.5" customHeight="1">
      <c r="A18" s="69">
        <v>0.916666666666667</v>
      </c>
      <c r="B18" s="76">
        <v>230.0</v>
      </c>
      <c r="C18" s="76">
        <v>14.0</v>
      </c>
      <c r="D18" s="76">
        <v>13.0</v>
      </c>
      <c r="E18" s="76">
        <v>7.0</v>
      </c>
      <c r="F18" s="76">
        <v>35.0</v>
      </c>
      <c r="G18" s="76">
        <v>1.7</v>
      </c>
      <c r="H18" s="76">
        <v>1.0</v>
      </c>
      <c r="I18" s="76">
        <v>0.5</v>
      </c>
      <c r="J18" s="76">
        <v>1.1</v>
      </c>
      <c r="K18" s="76">
        <v>6.9</v>
      </c>
      <c r="L18" s="76">
        <v>6.5</v>
      </c>
      <c r="M18" s="76">
        <v>6.5</v>
      </c>
      <c r="N18" s="76">
        <v>6.1</v>
      </c>
      <c r="O18" s="76">
        <v>3.3</v>
      </c>
      <c r="P18" s="76"/>
      <c r="Q18" s="310"/>
      <c r="R18" s="77">
        <f>'8'!Z27</f>
        <v>1480</v>
      </c>
      <c r="S18" s="76">
        <f>'8'!AB27</f>
        <v>81.53560659</v>
      </c>
      <c r="T18" s="77">
        <f>'8'!Y27</f>
        <v>3353</v>
      </c>
      <c r="U18" s="73" t="str">
        <f>IF('8'!AA27=1,'8'!AR6,'8'!AR7)</f>
        <v>S.A.L</v>
      </c>
      <c r="V18" s="16"/>
      <c r="W18" s="18"/>
      <c r="X18" s="54">
        <v>0.541666666666667</v>
      </c>
      <c r="Y18" s="125">
        <v>3399.0</v>
      </c>
      <c r="Z18" s="392">
        <v>1480.0</v>
      </c>
      <c r="AA18" s="392">
        <v>1.0</v>
      </c>
      <c r="AB18" s="58">
        <f>IF('8'!AA18=1,(('8'!Z18*'8'!$AS$6*'8'!$AT$6)/('8'!Y18*0.0036)),IF('8'!AA18=2,(('8'!Z18*'8'!$AS$7*'8'!$AT$7)/('8'!Y18*0.0036))))</f>
        <v>80.43215325</v>
      </c>
      <c r="AC18" s="58"/>
      <c r="AD18" s="59">
        <f>(('8'!AC18*'8'!$Q$10*1000000))/('8'!Y18*3600)</f>
        <v>0</v>
      </c>
      <c r="AE18" s="60"/>
      <c r="AF18" s="61">
        <f>('8'!AE18/24)*0.454</f>
        <v>0</v>
      </c>
      <c r="AG18" s="60"/>
      <c r="AH18" s="61">
        <f>('8'!AG18/24)*0.454</f>
        <v>0</v>
      </c>
      <c r="AI18" s="60">
        <v>5000.0</v>
      </c>
      <c r="AJ18" s="61">
        <f>('8'!AI18/24)*0.454</f>
        <v>94.58333333</v>
      </c>
      <c r="AK18" s="62"/>
      <c r="AL18" s="63">
        <f>('8'!AK18/24)*0.454</f>
        <v>0</v>
      </c>
      <c r="AM18" s="62"/>
      <c r="AN18" s="63">
        <f>('8'!AM18/24)*0.454</f>
        <v>0</v>
      </c>
      <c r="AO18" s="62"/>
      <c r="AP18" s="63">
        <f>('8'!AO18/24)*0.454</f>
        <v>0</v>
      </c>
    </row>
    <row r="19" ht="18.75" customHeight="1">
      <c r="A19" s="51" t="s">
        <v>52</v>
      </c>
      <c r="B19" s="92">
        <f t="array" ref="B19">IF('8'!B7:B18&gt;0.01,AVERAGE('8'!B7:B18),"")</f>
        <v>225.25</v>
      </c>
      <c r="C19" s="92">
        <f t="array" ref="C19">IF('8'!C7:C18&gt;0.01,AVERAGE('8'!C7:C18),"")</f>
        <v>13.08333333</v>
      </c>
      <c r="D19" s="92">
        <f t="array" ref="D19">IF('8'!D7:D18&gt;0.01,AVERAGE('8'!D7:D18),"")</f>
        <v>12</v>
      </c>
      <c r="E19" s="92">
        <f t="array" ref="E19">IF('8'!E7:E18&gt;0.01,AVERAGE('8'!E7:E18),"")</f>
        <v>6.666666667</v>
      </c>
      <c r="F19" s="92">
        <f t="array" ref="F19">IF('8'!F7:F18&gt;0.01,AVERAGE('8'!F7:F18),"")</f>
        <v>31</v>
      </c>
      <c r="G19" s="92">
        <f t="array" ref="G19">IF('8'!G7:G18&gt;0.01,AVERAGE('8'!G7:G18),"")</f>
        <v>1.291666667</v>
      </c>
      <c r="H19" s="92">
        <f t="array" ref="H19">IF('8'!H7:H18&gt;0.01,AVERAGE('8'!H7:H18),"")</f>
        <v>0.9333333333</v>
      </c>
      <c r="I19" s="92">
        <f t="array" ref="I19">IF('8'!I7:I18&gt;0.01,AVERAGE('8'!I7:I18),"")</f>
        <v>0.6</v>
      </c>
      <c r="J19" s="92">
        <f t="array" ref="J19">IF('8'!J7:J18&gt;0.01,AVERAGE('8'!J7:J18),"")</f>
        <v>0.7583333333</v>
      </c>
      <c r="K19" s="92">
        <f t="array" ref="K19">IF('8'!K7:K18&gt;0.01,AVERAGE('8'!K7:K18),"")</f>
        <v>6.9</v>
      </c>
      <c r="L19" s="92">
        <f t="array" ref="L19">IF('8'!L7:L18&gt;0.01,AVERAGE('8'!L7:L18),"")</f>
        <v>6.5</v>
      </c>
      <c r="M19" s="92">
        <f t="array" ref="M19">IF('8'!M7:M18&gt;0.01,AVERAGE('8'!M7:M18),"")</f>
        <v>6.5</v>
      </c>
      <c r="N19" s="92">
        <f t="array" ref="N19">IF('8'!N7:N18&gt;0.01,AVERAGE('8'!N7:N18),"")</f>
        <v>6.1</v>
      </c>
      <c r="O19" s="92">
        <f t="array" ref="O19">IF('8'!O7:O18&gt;0.01,AVERAGE('8'!O7:O18),"")</f>
        <v>3.391666667</v>
      </c>
      <c r="P19" s="92" t="str">
        <f t="array" ref="P19">IF('8'!P7:P18&gt;0.01,AVERAGE('8'!P7:P18),"")</f>
        <v/>
      </c>
      <c r="Q19" s="92" t="str">
        <f t="array" ref="Q19">IF('8'!Q7:Q18&gt;0.01,AVERAGE('8'!Q7:Q18),"")</f>
        <v/>
      </c>
      <c r="R19" s="92">
        <f t="array" ref="R19">IF('8'!R7:R18&gt;0.01,AVERAGE('8'!R7:R18),"")</f>
        <v>1480</v>
      </c>
      <c r="S19" s="94">
        <f>AVERAGE('8'!S7:S18)</f>
        <v>81.3917597</v>
      </c>
      <c r="T19" s="95"/>
      <c r="U19" s="96"/>
      <c r="V19" s="97"/>
      <c r="W19" s="97"/>
      <c r="X19" s="54">
        <v>0.583333333333333</v>
      </c>
      <c r="Y19" s="125">
        <v>3324.0</v>
      </c>
      <c r="Z19" s="392">
        <v>1480.0</v>
      </c>
      <c r="AA19" s="392">
        <v>1.0</v>
      </c>
      <c r="AB19" s="58">
        <f>IF('8'!AA19=1,(('8'!Z19*'8'!$AS$6*'8'!$AT$6)/('8'!Y19*0.0036)),IF('8'!AA19=2,(('8'!Z19*'8'!$AS$7*'8'!$AT$7)/('8'!Y19*0.0036))))</f>
        <v>82.24695815</v>
      </c>
      <c r="AC19" s="58"/>
      <c r="AD19" s="59">
        <f>(('8'!AC19*'8'!$Q$10*1000000))/('8'!Y19*3600)</f>
        <v>0</v>
      </c>
      <c r="AE19" s="60"/>
      <c r="AF19" s="61">
        <f>('8'!AE19/24)*0.454</f>
        <v>0</v>
      </c>
      <c r="AG19" s="60"/>
      <c r="AH19" s="61">
        <f>('8'!AG19/24)*0.454</f>
        <v>0</v>
      </c>
      <c r="AI19" s="60">
        <v>5000.0</v>
      </c>
      <c r="AJ19" s="61">
        <f>('8'!AI19/24)*0.454</f>
        <v>94.58333333</v>
      </c>
      <c r="AK19" s="62"/>
      <c r="AL19" s="63">
        <f>('8'!AK19/24)*0.454</f>
        <v>0</v>
      </c>
      <c r="AM19" s="62"/>
      <c r="AN19" s="63">
        <f>('8'!AM19/24)*0.454</f>
        <v>0</v>
      </c>
      <c r="AO19" s="62"/>
      <c r="AP19" s="63">
        <f>('8'!AO19/24)*0.454</f>
        <v>0</v>
      </c>
    </row>
    <row r="20" ht="18.75" customHeight="1">
      <c r="A20" s="51" t="s">
        <v>53</v>
      </c>
      <c r="B20" s="91">
        <f>MAX('8'!B7:B18)</f>
        <v>244</v>
      </c>
      <c r="C20" s="92">
        <f>MAX('8'!C7:C18)</f>
        <v>15</v>
      </c>
      <c r="D20" s="92">
        <f>MAX('8'!D7:D18)</f>
        <v>14</v>
      </c>
      <c r="E20" s="92">
        <f>MAX('8'!E7:E18)</f>
        <v>8</v>
      </c>
      <c r="F20" s="92">
        <f>MAX('8'!F7:F18)</f>
        <v>38</v>
      </c>
      <c r="G20" s="92">
        <f>MAX('8'!G7:G18)</f>
        <v>1.7</v>
      </c>
      <c r="H20" s="92">
        <f>MAX('8'!H7:H18)</f>
        <v>1.1</v>
      </c>
      <c r="I20" s="92">
        <f>MAX('8'!I7:I18)</f>
        <v>0.7</v>
      </c>
      <c r="J20" s="92">
        <f>MAX('8'!J7:J18)</f>
        <v>1.2</v>
      </c>
      <c r="K20" s="92">
        <f>MAX('8'!K7:K18)</f>
        <v>6.9</v>
      </c>
      <c r="L20" s="92">
        <f>MAX('8'!L7:L18)</f>
        <v>6.5</v>
      </c>
      <c r="M20" s="92">
        <f>MAX('8'!M7:M18)</f>
        <v>6.5</v>
      </c>
      <c r="N20" s="92">
        <f>MAX('8'!N7:N18)</f>
        <v>6.1</v>
      </c>
      <c r="O20" s="98">
        <f>MAX('8'!O7:O18)</f>
        <v>3.6</v>
      </c>
      <c r="P20" s="98">
        <f>MAX('8'!P7:P18)</f>
        <v>0</v>
      </c>
      <c r="Q20" s="98">
        <f>MAX('8'!Q7:Q18)</f>
        <v>0</v>
      </c>
      <c r="R20" s="98">
        <f>MAX('8'!R7:R18)</f>
        <v>1480</v>
      </c>
      <c r="S20" s="98">
        <f>MAX('8'!S7:S18)</f>
        <v>84.69296434</v>
      </c>
      <c r="T20" s="99"/>
      <c r="U20" s="21"/>
      <c r="X20" s="54">
        <v>0.625</v>
      </c>
      <c r="Y20" s="125">
        <v>3321.0</v>
      </c>
      <c r="Z20" s="392">
        <v>1480.0</v>
      </c>
      <c r="AA20" s="392">
        <v>1.0</v>
      </c>
      <c r="AB20" s="58">
        <f>IF('8'!AA20=1,(('8'!Z20*'8'!$AS$6*'8'!$AT$6)/('8'!Y20*0.0036)),IF('8'!AA20=2,(('8'!Z20*'8'!$AS$7*'8'!$AT$7)/('8'!Y20*0.0036))))</f>
        <v>82.32125531</v>
      </c>
      <c r="AC20" s="58"/>
      <c r="AD20" s="59">
        <f>(('8'!AC20*'8'!$Q$10*1000000))/('8'!Y20*3600)</f>
        <v>0</v>
      </c>
      <c r="AE20" s="60"/>
      <c r="AF20" s="61">
        <f>('8'!AE20/24)*0.454</f>
        <v>0</v>
      </c>
      <c r="AG20" s="60"/>
      <c r="AH20" s="61">
        <f>('8'!AG20/24)*0.454</f>
        <v>0</v>
      </c>
      <c r="AI20" s="60">
        <v>5000.0</v>
      </c>
      <c r="AJ20" s="61">
        <f>('8'!AI20/24)*0.454</f>
        <v>94.58333333</v>
      </c>
      <c r="AK20" s="62"/>
      <c r="AL20" s="63">
        <f>('8'!AK20/24)*0.454</f>
        <v>0</v>
      </c>
      <c r="AM20" s="62"/>
      <c r="AN20" s="63">
        <f>('8'!AM20/24)*0.454</f>
        <v>0</v>
      </c>
      <c r="AO20" s="62"/>
      <c r="AP20" s="63">
        <f>('8'!AO20/24)*0.454</f>
        <v>0</v>
      </c>
    </row>
    <row r="21" ht="19.5" customHeight="1">
      <c r="A21" s="51" t="s">
        <v>54</v>
      </c>
      <c r="B21" s="91">
        <f>MIN('8'!B7:B18)</f>
        <v>218</v>
      </c>
      <c r="C21" s="92">
        <f>MIN('8'!C7:C18)</f>
        <v>11</v>
      </c>
      <c r="D21" s="92">
        <f>MIN('8'!D7:D18)</f>
        <v>10</v>
      </c>
      <c r="E21" s="92">
        <f>MIN('8'!E7:E18)</f>
        <v>5</v>
      </c>
      <c r="F21" s="92">
        <f>MIN('8'!F7:F18)</f>
        <v>28</v>
      </c>
      <c r="G21" s="100">
        <f>MIN('8'!G7:G18)</f>
        <v>0.8</v>
      </c>
      <c r="H21" s="100">
        <f>MIN('8'!H7:H18)</f>
        <v>0.8</v>
      </c>
      <c r="I21" s="100">
        <f>MIN('8'!I7:I18)</f>
        <v>0.5</v>
      </c>
      <c r="J21" s="100">
        <f>MIN('8'!J7:J18)</f>
        <v>0.5</v>
      </c>
      <c r="K21" s="100">
        <f>MIN('8'!K7:K18)</f>
        <v>6.9</v>
      </c>
      <c r="L21" s="100">
        <f>MIN('8'!L7:L18)</f>
        <v>6.5</v>
      </c>
      <c r="M21" s="100">
        <f>MIN('8'!M7:M18)</f>
        <v>6.5</v>
      </c>
      <c r="N21" s="100">
        <f>MIN('8'!N7:N18)</f>
        <v>6.1</v>
      </c>
      <c r="O21" s="101">
        <f>MIN('8'!O7:O18)</f>
        <v>3.2</v>
      </c>
      <c r="P21" s="101">
        <f>MIN('8'!P7:P18)</f>
        <v>0</v>
      </c>
      <c r="Q21" s="101">
        <f>MIN('8'!Q7:Q18)</f>
        <v>0</v>
      </c>
      <c r="R21" s="101">
        <f>MIN('8'!R7:R18)</f>
        <v>1480</v>
      </c>
      <c r="S21" s="101">
        <f>MIN('8'!S7:S18)</f>
        <v>78.76372483</v>
      </c>
      <c r="T21" s="99"/>
      <c r="U21" s="21"/>
      <c r="X21" s="54">
        <v>0.666666666666667</v>
      </c>
      <c r="Y21" s="125">
        <v>3345.0</v>
      </c>
      <c r="Z21" s="392">
        <v>1480.0</v>
      </c>
      <c r="AA21" s="392">
        <v>1.0</v>
      </c>
      <c r="AB21" s="58">
        <f>IF('8'!AA21=1,(('8'!Z21*'8'!$AS$6*'8'!$AT$6)/('8'!Y21*0.0036)),IF('8'!AA21=2,(('8'!Z21*'8'!$AS$7*'8'!$AT$7)/('8'!Y21*0.0036))))</f>
        <v>81.73060953</v>
      </c>
      <c r="AC21" s="58"/>
      <c r="AD21" s="59">
        <f>(('8'!AC21*'8'!$Q$10*1000000))/('8'!Y21*3600)</f>
        <v>0</v>
      </c>
      <c r="AE21" s="60"/>
      <c r="AF21" s="61">
        <f>('8'!AE21/24)*0.454</f>
        <v>0</v>
      </c>
      <c r="AG21" s="60"/>
      <c r="AH21" s="61">
        <f>('8'!AG21/24)*0.454</f>
        <v>0</v>
      </c>
      <c r="AI21" s="60">
        <v>5000.0</v>
      </c>
      <c r="AJ21" s="61">
        <f>('8'!AI21/24)*0.454</f>
        <v>94.58333333</v>
      </c>
      <c r="AK21" s="62"/>
      <c r="AL21" s="63">
        <f>('8'!AK21/24)*0.454</f>
        <v>0</v>
      </c>
      <c r="AM21" s="62"/>
      <c r="AN21" s="63">
        <f>('8'!AM21/24)*0.454</f>
        <v>0</v>
      </c>
      <c r="AO21" s="62"/>
      <c r="AP21" s="63">
        <f>('8'!AO21/24)*0.454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3322.0</v>
      </c>
      <c r="Z22" s="392">
        <v>1480.0</v>
      </c>
      <c r="AA22" s="392">
        <v>1.0</v>
      </c>
      <c r="AB22" s="58">
        <f>IF('8'!AA22=1,(('8'!Z22*'8'!$AS$6*'8'!$AT$6)/('8'!Y22*0.0036)),IF('8'!AA22=2,(('8'!Z22*'8'!$AS$7*'8'!$AT$7)/('8'!Y22*0.0036))))</f>
        <v>82.29647468</v>
      </c>
      <c r="AC22" s="58"/>
      <c r="AD22" s="59">
        <f>(('8'!AC22*'8'!$Q$10*1000000))/('8'!Y22*3600)</f>
        <v>0</v>
      </c>
      <c r="AE22" s="60"/>
      <c r="AF22" s="61">
        <f>('8'!AE22/24)*0.454</f>
        <v>0</v>
      </c>
      <c r="AG22" s="60"/>
      <c r="AH22" s="61">
        <f>('8'!AG22/24)*0.454</f>
        <v>0</v>
      </c>
      <c r="AI22" s="60">
        <v>5000.0</v>
      </c>
      <c r="AJ22" s="61">
        <f>('8'!AI22/24)*0.454</f>
        <v>94.58333333</v>
      </c>
      <c r="AK22" s="62"/>
      <c r="AL22" s="63">
        <f>('8'!AK22/24)*0.454</f>
        <v>0</v>
      </c>
      <c r="AM22" s="62"/>
      <c r="AN22" s="63">
        <f>('8'!AM22/24)*0.454</f>
        <v>0</v>
      </c>
      <c r="AO22" s="62"/>
      <c r="AP22" s="63">
        <f>('8'!AO22/24)*0.454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3347.0</v>
      </c>
      <c r="Z23" s="392">
        <v>1480.0</v>
      </c>
      <c r="AA23" s="392">
        <v>1.0</v>
      </c>
      <c r="AB23" s="58">
        <f>IF('8'!AA23=1,(('8'!Z23*'8'!$AS$6*'8'!$AT$6)/('8'!Y23*0.0036)),IF('8'!AA23=2,(('8'!Z23*'8'!$AS$7*'8'!$AT$7)/('8'!Y23*0.0036))))</f>
        <v>81.6817714</v>
      </c>
      <c r="AC23" s="58"/>
      <c r="AD23" s="59">
        <f>(('8'!AC23*'8'!$Q$10*1000000))/('8'!Y23*3600)</f>
        <v>0</v>
      </c>
      <c r="AE23" s="60"/>
      <c r="AF23" s="61">
        <f>('8'!AE23/24)*0.454</f>
        <v>0</v>
      </c>
      <c r="AG23" s="60"/>
      <c r="AH23" s="61">
        <f>('8'!AG23/24)*0.454</f>
        <v>0</v>
      </c>
      <c r="AI23" s="60">
        <v>5000.0</v>
      </c>
      <c r="AJ23" s="61">
        <f>('8'!AI23/24)*0.454</f>
        <v>94.58333333</v>
      </c>
      <c r="AK23" s="62"/>
      <c r="AL23" s="63">
        <f>('8'!AK23/24)*0.454</f>
        <v>0</v>
      </c>
      <c r="AM23" s="62"/>
      <c r="AN23" s="63">
        <f>('8'!AM23/24)*0.454</f>
        <v>0</v>
      </c>
      <c r="AO23" s="62"/>
      <c r="AP23" s="63">
        <f>('8'!AO23/24)*0.454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3353.0</v>
      </c>
      <c r="Z24" s="392">
        <v>1480.0</v>
      </c>
      <c r="AA24" s="392">
        <v>1.0</v>
      </c>
      <c r="AB24" s="57">
        <f>IF('8'!AA24=1,(('8'!Z24*'8'!$AS$6*'8'!$AT$6)/('8'!Y24*0.0036)),IF('8'!AA24=2,(('8'!Z24*'8'!$AS$7*'8'!$AT$7)/('8'!Y24*0.0036))))</f>
        <v>81.53560659</v>
      </c>
      <c r="AC24" s="58"/>
      <c r="AD24" s="59">
        <f>(('8'!AC24*'8'!$Q$10*1000000))/('8'!Y24*3600)</f>
        <v>0</v>
      </c>
      <c r="AE24" s="60"/>
      <c r="AF24" s="311">
        <f>('8'!AE24/24)*0.454</f>
        <v>0</v>
      </c>
      <c r="AG24" s="125"/>
      <c r="AH24" s="311">
        <f>('8'!AG24/24)*0.454</f>
        <v>0</v>
      </c>
      <c r="AI24" s="60">
        <v>5000.0</v>
      </c>
      <c r="AJ24" s="311">
        <f>('8'!AI24/24)*0.454</f>
        <v>94.58333333</v>
      </c>
      <c r="AK24" s="62"/>
      <c r="AL24" s="110">
        <f>('8'!AK24/24)*0.454</f>
        <v>0</v>
      </c>
      <c r="AM24" s="312"/>
      <c r="AN24" s="110">
        <f>('8'!AM24/24)*0.454</f>
        <v>0</v>
      </c>
      <c r="AO24" s="62"/>
      <c r="AP24" s="110">
        <f>('8'!AO24/24)*0.454</f>
        <v>0</v>
      </c>
    </row>
    <row r="25" ht="19.5" customHeight="1">
      <c r="A25" s="111">
        <v>0.416666666666667</v>
      </c>
      <c r="B25" s="313">
        <v>0.61</v>
      </c>
      <c r="C25" s="313">
        <v>0.64</v>
      </c>
      <c r="D25" s="313">
        <v>0.63</v>
      </c>
      <c r="E25" s="313">
        <v>0.58</v>
      </c>
      <c r="F25" s="313">
        <v>0.6</v>
      </c>
      <c r="G25" s="313" t="s">
        <v>132</v>
      </c>
      <c r="H25" s="313">
        <v>0.55</v>
      </c>
      <c r="I25" s="313">
        <v>0.62</v>
      </c>
      <c r="J25" s="313" t="s">
        <v>132</v>
      </c>
      <c r="K25" s="313">
        <v>0.49</v>
      </c>
      <c r="L25" s="313">
        <v>0.52</v>
      </c>
      <c r="M25" s="313">
        <v>0.49</v>
      </c>
      <c r="N25" s="313">
        <v>0.52</v>
      </c>
      <c r="O25" s="313">
        <v>0.47</v>
      </c>
      <c r="P25" s="313">
        <v>0.44</v>
      </c>
      <c r="Q25" s="313" t="s">
        <v>132</v>
      </c>
      <c r="R25" s="112" t="str">
        <f t="shared" ref="R25:R26" si="1">#DIV/0!</f>
        <v>#DIV/0!</v>
      </c>
      <c r="S25" s="113"/>
      <c r="T25" s="314" t="s">
        <v>0</v>
      </c>
      <c r="U25" s="361">
        <f>ESCALA!$A$10</f>
        <v>43929</v>
      </c>
      <c r="X25" s="54">
        <v>0.833333333333333</v>
      </c>
      <c r="Y25" s="125">
        <v>3421.0</v>
      </c>
      <c r="Z25" s="392">
        <v>1480.0</v>
      </c>
      <c r="AA25" s="392">
        <v>1.0</v>
      </c>
      <c r="AB25" s="58">
        <f>IF('8'!AA25=1,(('8'!Z25*'8'!$AS$6*'8'!$AT$6)/('8'!Y25*0.0036)),IF('8'!AA25=2,(('8'!Z25*'8'!$AS$7*'8'!$AT$7)/('8'!Y25*0.0036))))</f>
        <v>79.91490467</v>
      </c>
      <c r="AC25" s="58"/>
      <c r="AD25" s="59">
        <f>(('8'!AC25*'8'!$Q$10*1000000))/('8'!Y25*3600)</f>
        <v>0</v>
      </c>
      <c r="AE25" s="60"/>
      <c r="AF25" s="61">
        <f>('8'!AE25/24)*0.454</f>
        <v>0</v>
      </c>
      <c r="AG25" s="60"/>
      <c r="AH25" s="61">
        <f>('8'!AG25/24)*0.454</f>
        <v>0</v>
      </c>
      <c r="AI25" s="60">
        <v>5000.0</v>
      </c>
      <c r="AJ25" s="61">
        <f>('8'!AI25/24)*0.454</f>
        <v>94.58333333</v>
      </c>
      <c r="AK25" s="62"/>
      <c r="AL25" s="63">
        <f>('8'!AK25/24)*0.454</f>
        <v>0</v>
      </c>
      <c r="AM25" s="62"/>
      <c r="AN25" s="63">
        <f>('8'!AM25/24)*0.454</f>
        <v>0</v>
      </c>
      <c r="AO25" s="62"/>
      <c r="AP25" s="63">
        <f>('8'!AO25/24)*0.454</f>
        <v>0</v>
      </c>
    </row>
    <row r="26" ht="19.5" customHeight="1">
      <c r="A26" s="111">
        <v>0.666666666666667</v>
      </c>
      <c r="B26" s="313"/>
      <c r="C26" s="313"/>
      <c r="D26" s="313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3361.0</v>
      </c>
      <c r="Z26" s="392">
        <v>1480.0</v>
      </c>
      <c r="AA26" s="392">
        <v>1.0</v>
      </c>
      <c r="AB26" s="58">
        <f>IF('8'!AA26=1,(('8'!Z26*'8'!$AS$6*'8'!$AT$6)/('8'!Y26*0.0036)),IF('8'!AA26=2,(('8'!Z26*'8'!$AS$7*'8'!$AT$7)/('8'!Y26*0.0036))))</f>
        <v>81.34153195</v>
      </c>
      <c r="AC26" s="58"/>
      <c r="AD26" s="59">
        <f>(('8'!AC26*'8'!$Q$10*1000000))/('8'!Y26*3600)</f>
        <v>0</v>
      </c>
      <c r="AE26" s="60"/>
      <c r="AF26" s="61">
        <f>('8'!AE26/24)*0.454</f>
        <v>0</v>
      </c>
      <c r="AG26" s="60"/>
      <c r="AH26" s="61">
        <f>('8'!AG26/24)*0.454</f>
        <v>0</v>
      </c>
      <c r="AI26" s="60">
        <v>5000.0</v>
      </c>
      <c r="AJ26" s="61">
        <f>('8'!AI26/24)*0.454</f>
        <v>94.58333333</v>
      </c>
      <c r="AK26" s="62"/>
      <c r="AL26" s="63">
        <f>('8'!AK26/24)*0.454</f>
        <v>0</v>
      </c>
      <c r="AM26" s="62"/>
      <c r="AN26" s="63">
        <f>('8'!AM26/24)*0.454</f>
        <v>0</v>
      </c>
      <c r="AO26" s="62"/>
      <c r="AP26" s="63">
        <f>('8'!AO26/24)*0.454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3353.0</v>
      </c>
      <c r="Z27" s="392">
        <v>1480.0</v>
      </c>
      <c r="AA27" s="392">
        <v>1.0</v>
      </c>
      <c r="AB27" s="58">
        <f>IF('8'!AA27=1,(('8'!Z27*'8'!$AS$6*'8'!$AT$6)/('8'!Y27*0.0036)),IF('8'!AA27=2,(('8'!Z27*'8'!$AS$7*'8'!$AT$7)/('8'!Y27*0.0036))))</f>
        <v>81.53560659</v>
      </c>
      <c r="AC27" s="58"/>
      <c r="AD27" s="59">
        <f>(('8'!AC27*'8'!$Q$10*1000000))/('8'!Y27*3600)</f>
        <v>0</v>
      </c>
      <c r="AE27" s="60"/>
      <c r="AF27" s="61">
        <f>('8'!AE27/24)*0.454</f>
        <v>0</v>
      </c>
      <c r="AG27" s="60"/>
      <c r="AH27" s="61">
        <f>('8'!AG27/24)*0.454</f>
        <v>0</v>
      </c>
      <c r="AI27" s="60">
        <v>5000.0</v>
      </c>
      <c r="AJ27" s="61">
        <f>('8'!AI27/24)*0.454</f>
        <v>94.58333333</v>
      </c>
      <c r="AK27" s="62"/>
      <c r="AL27" s="63">
        <f>('8'!AK27/24)*0.454</f>
        <v>0</v>
      </c>
      <c r="AM27" s="62"/>
      <c r="AN27" s="63">
        <f>('8'!AM27/24)*0.454</f>
        <v>0</v>
      </c>
      <c r="AO27" s="62"/>
      <c r="AP27" s="63">
        <f>('8'!AO27/24)*0.454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3350.0</v>
      </c>
      <c r="Z28" s="392">
        <v>1480.0</v>
      </c>
      <c r="AA28" s="392">
        <v>1.0</v>
      </c>
      <c r="AB28" s="58">
        <f>IF('8'!AA28=1,(('8'!Z28*'8'!$AS$6*'8'!$AT$6)/('8'!Y28*0.0036)),IF('8'!AA28=2,(('8'!Z28*'8'!$AS$7*'8'!$AT$7)/('8'!Y28*0.0036))))</f>
        <v>81.60862355</v>
      </c>
      <c r="AC28" s="58"/>
      <c r="AD28" s="59">
        <f>(('8'!AC28*'8'!$Q$10*1000000))/('8'!Y28*3600)</f>
        <v>0</v>
      </c>
      <c r="AE28" s="60"/>
      <c r="AF28" s="61">
        <f>('8'!AE28/24)*0.454</f>
        <v>0</v>
      </c>
      <c r="AG28" s="60"/>
      <c r="AH28" s="61">
        <f>('8'!AG28/24)*0.454</f>
        <v>0</v>
      </c>
      <c r="AI28" s="60">
        <v>5000.0</v>
      </c>
      <c r="AJ28" s="61">
        <f>('8'!AI28/24)*0.454</f>
        <v>94.58333333</v>
      </c>
      <c r="AK28" s="62"/>
      <c r="AL28" s="63">
        <f>('8'!AK28/24)*0.454</f>
        <v>0</v>
      </c>
      <c r="AM28" s="62"/>
      <c r="AN28" s="63">
        <f>('8'!AM28/24)*0.454</f>
        <v>0</v>
      </c>
      <c r="AO28" s="62"/>
      <c r="AP28" s="63">
        <f>('8'!AO28/24)*0.454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3361.0</v>
      </c>
      <c r="Z29" s="392">
        <v>1480.0</v>
      </c>
      <c r="AA29" s="392">
        <v>1.0</v>
      </c>
      <c r="AB29" s="58">
        <f>IF('8'!AA29=1,(('8'!Z29*'8'!$AS$6*'8'!$AT$6)/('8'!Y29*0.0036)),IF('8'!AA29=2,(('8'!Z29*'8'!$AS$7*'8'!$AT$7)/('8'!Y29*0.0036))))</f>
        <v>81.34153195</v>
      </c>
      <c r="AC29" s="58"/>
      <c r="AD29" s="59">
        <f>(('8'!AC29*'8'!$Q$10*1000000))/('8'!Y29*3600)</f>
        <v>0</v>
      </c>
      <c r="AE29" s="60"/>
      <c r="AF29" s="61">
        <f>('8'!AE29/24)*0.454</f>
        <v>0</v>
      </c>
      <c r="AG29" s="60"/>
      <c r="AH29" s="61">
        <f>('8'!AG29/24)*0.454</f>
        <v>0</v>
      </c>
      <c r="AI29" s="60">
        <v>5000.0</v>
      </c>
      <c r="AJ29" s="61">
        <f>('8'!AI29/24)*0.454</f>
        <v>94.58333333</v>
      </c>
      <c r="AK29" s="62"/>
      <c r="AL29" s="63">
        <f>('8'!AK29/24)*0.454</f>
        <v>0</v>
      </c>
      <c r="AM29" s="62"/>
      <c r="AN29" s="63">
        <f>('8'!AM29/24)*0.454</f>
        <v>0</v>
      </c>
      <c r="AO29" s="62"/>
      <c r="AP29" s="63">
        <f>('8'!AO29/24)*0.454</f>
        <v>0</v>
      </c>
    </row>
    <row r="30" ht="18.75" customHeight="1">
      <c r="A30" s="43"/>
      <c r="U30" s="27"/>
      <c r="X30" s="130" t="s">
        <v>55</v>
      </c>
      <c r="Y30" s="131">
        <f>SUM('8'!Y6:Y29)*3.6</f>
        <v>291366</v>
      </c>
      <c r="Z30" s="132">
        <f>SUM('8'!Z6:Z29)</f>
        <v>35520</v>
      </c>
      <c r="AA30" s="133"/>
      <c r="AB30" s="132"/>
      <c r="AC30" s="133"/>
      <c r="AD30" s="132"/>
      <c r="AE30" s="60"/>
      <c r="AF30" s="61">
        <f>SUM('8'!AF6:AF29)</f>
        <v>0</v>
      </c>
      <c r="AG30" s="60"/>
      <c r="AH30" s="61">
        <f>SUM('8'!AH6:AH29)</f>
        <v>0</v>
      </c>
      <c r="AI30" s="60"/>
      <c r="AJ30" s="61">
        <f>SUM('8'!AJ6:AJ29)</f>
        <v>2270</v>
      </c>
      <c r="AK30" s="62"/>
      <c r="AL30" s="63">
        <f>SUM('8'!AL6:AL29)</f>
        <v>0</v>
      </c>
      <c r="AM30" s="62"/>
      <c r="AN30" s="63">
        <f>SUM('8'!AN6:AN29)</f>
        <v>0</v>
      </c>
      <c r="AO30" s="62"/>
      <c r="AP30" s="63">
        <f>SUM('8'!AP6:AP29)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SUMIF('8'!AA6:AA29,"=1",'8'!Z6:Z29)</f>
        <v>35520</v>
      </c>
      <c r="AA32" s="132">
        <f>'8'!Z32*'8'!AS6</f>
        <v>47241.6</v>
      </c>
      <c r="AB32" s="139">
        <f>SUMIF('8'!$AA$6:$AA$29,"=1",'8'!$AB$6:$AB$29)/COUNTIF('8'!$AA$6:$AA$29,"=1")</f>
        <v>81.08056001</v>
      </c>
      <c r="AC32" s="140">
        <f>SUMIF('8'!AA6:AA29,"=1",'8'!AC6:AC29)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SUMIF('8'!AA6:AA29,"=2",'8'!Z6:Z29)</f>
        <v>0</v>
      </c>
      <c r="AA33" s="132">
        <f>'8'!Z33*'8'!AS7</f>
        <v>0</v>
      </c>
      <c r="AB33" s="139" t="str">
        <f>SUMIF('8'!$AA$6:$AA$29,"=2",'8'!$AB$6:$AB$29)/COUNTIF('8'!$AA$6:$AA$29,"=2")</f>
        <v>#DIV/0!</v>
      </c>
      <c r="AC33" s="140">
        <f>SUMIF('8'!AA6:AA29,"=2",'8'!AC6:AC29)</f>
        <v>0</v>
      </c>
      <c r="AD33" s="140"/>
      <c r="AE33" s="141"/>
      <c r="AF33" s="147"/>
      <c r="AG33" s="146"/>
      <c r="AH33" s="147"/>
      <c r="AI33" s="146"/>
      <c r="AJ33" s="363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AVERAGE('8'!Y6:Y29)</f>
        <v>3372.291667</v>
      </c>
      <c r="Z34" s="56">
        <f>AVERAGE('8'!Z6:Z29)</f>
        <v>1480</v>
      </c>
      <c r="AA34" s="152"/>
      <c r="AB34" s="152"/>
      <c r="AC34" s="371" t="str">
        <f>SUM('8'!AC6:AC29)/COUNTIF('8'!AC6:AC29,"&lt;&gt;0")</f>
        <v>#DIV/0!</v>
      </c>
      <c r="AD34" s="372" t="str">
        <f>SUM('8'!AD6:AD29)/COUNTIF('8'!AD6:AD29,"&lt;&gt;0")</f>
        <v>#DIV/0!</v>
      </c>
      <c r="AE34" s="373"/>
      <c r="AF34" s="155">
        <f>AVERAGE('8'!AF6:AF29)</f>
        <v>0</v>
      </c>
      <c r="AG34" s="155"/>
      <c r="AH34" s="153">
        <f>AVERAGE('8'!AH6:AH29)</f>
        <v>0</v>
      </c>
      <c r="AI34" s="153"/>
      <c r="AJ34" s="153">
        <f>'8'!AJ30/24</f>
        <v>94.58333333</v>
      </c>
      <c r="AK34" s="153"/>
      <c r="AL34" s="153">
        <f>AVERAGE('8'!AL6:AL29)</f>
        <v>0</v>
      </c>
      <c r="AM34" s="153"/>
      <c r="AN34" s="153">
        <f>AVERAGE('8'!AN6:AN29)</f>
        <v>0</v>
      </c>
      <c r="AO34" s="153"/>
      <c r="AP34" s="153">
        <f>AVERAGE('8'!AP6:AP29)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374"/>
      <c r="AC35" s="375"/>
      <c r="AD35" s="376"/>
      <c r="AE35" s="377"/>
      <c r="AF35" s="378"/>
      <c r="AG35" s="379"/>
      <c r="AH35" s="380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5" t="s">
        <v>74</v>
      </c>
      <c r="Y36" s="163">
        <v>3343.0</v>
      </c>
      <c r="Z36" s="164"/>
      <c r="AA36" s="165" t="s">
        <v>74</v>
      </c>
      <c r="AB36" s="163"/>
      <c r="AC36" s="175"/>
      <c r="AD36" s="175"/>
      <c r="AE36" s="175"/>
      <c r="AF36" s="381"/>
      <c r="AG36" s="381"/>
      <c r="AH36" s="382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360">
        <v>74.2</v>
      </c>
      <c r="D37" s="360">
        <v>28.2</v>
      </c>
      <c r="E37" s="360">
        <v>24.2</v>
      </c>
      <c r="F37" s="76">
        <v>1.0</v>
      </c>
      <c r="G37" s="60">
        <v>0.1</v>
      </c>
      <c r="H37" s="60">
        <v>0.1</v>
      </c>
      <c r="I37" s="60">
        <v>0.1</v>
      </c>
      <c r="J37" s="60">
        <v>0.06</v>
      </c>
      <c r="K37" s="60">
        <v>0.03</v>
      </c>
      <c r="L37" s="52"/>
      <c r="M37" s="106"/>
      <c r="N37" s="157"/>
      <c r="O37" s="51"/>
      <c r="P37" s="51"/>
      <c r="Q37" s="51"/>
      <c r="R37" s="51"/>
      <c r="S37" s="51"/>
      <c r="T37" s="51"/>
      <c r="U37" s="393" t="str">
        <f>'8'!V12</f>
        <v/>
      </c>
      <c r="X37" s="277" t="s">
        <v>75</v>
      </c>
      <c r="Y37" s="128"/>
      <c r="Z37" s="170">
        <f>COUNTA('8'!Z6:Z29)</f>
        <v>24</v>
      </c>
      <c r="AA37" s="171"/>
      <c r="AB37" s="171"/>
      <c r="AC37" s="175"/>
      <c r="AD37" s="175"/>
      <c r="AE37" s="175"/>
      <c r="AF37" s="189"/>
      <c r="AG37" s="189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383"/>
      <c r="D38" s="383"/>
      <c r="E38" s="384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C38" s="171"/>
      <c r="AD38" s="171"/>
      <c r="AE38" s="171"/>
      <c r="AF38" s="189"/>
      <c r="AG38" s="189"/>
      <c r="AJ38" s="178" t="s">
        <v>78</v>
      </c>
      <c r="AK38" s="180">
        <f>SUM('8'!AF30+'8'!AH30)</f>
        <v>0</v>
      </c>
      <c r="AL38" s="178" t="s">
        <v>78</v>
      </c>
      <c r="AM38" s="179">
        <f>SUM('8'!AL30+'8'!AN30)</f>
        <v>0</v>
      </c>
      <c r="AO38" s="178" t="s">
        <v>78</v>
      </c>
      <c r="AP38" s="180">
        <f>'8'!AJ30</f>
        <v>2270</v>
      </c>
      <c r="AQ38" s="178" t="s">
        <v>78</v>
      </c>
      <c r="AR38" s="179">
        <f>'8'!AP30</f>
        <v>0</v>
      </c>
    </row>
    <row r="39" ht="23.2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C39" s="171"/>
      <c r="AD39" s="171"/>
      <c r="AE39" s="171"/>
      <c r="AF39" s="189"/>
      <c r="AG39" s="189"/>
      <c r="AJ39" s="325" t="s">
        <v>86</v>
      </c>
      <c r="AK39" s="326">
        <f>('8'!AK38/'8'!Y30)*1000</f>
        <v>0</v>
      </c>
      <c r="AL39" s="327" t="s">
        <v>86</v>
      </c>
      <c r="AM39" s="328">
        <f>('8'!AM38/'8'!Y30)*1000</f>
        <v>0</v>
      </c>
      <c r="AO39" s="325" t="s">
        <v>86</v>
      </c>
      <c r="AP39" s="326">
        <f>('8'!AP38/'8'!Y30)*1000</f>
        <v>7.790888436</v>
      </c>
      <c r="AQ39" s="327" t="s">
        <v>86</v>
      </c>
      <c r="AR39" s="328">
        <f>('8'!AR38/'8'!Y30)*1000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SUM('8'!AK38,'8'!AM38)</f>
        <v>0</v>
      </c>
      <c r="AM40" s="128"/>
      <c r="AO40" s="210" t="s">
        <v>90</v>
      </c>
      <c r="AP40" s="128"/>
      <c r="AQ40" s="211">
        <f>SUM('8'!AP38,'8'!AR38)</f>
        <v>2270</v>
      </c>
      <c r="AR40" s="128"/>
    </row>
    <row r="41" ht="15.75" customHeight="1">
      <c r="A41" s="212">
        <f>COUNTA('8'!E7:E18)</f>
        <v>12</v>
      </c>
      <c r="B41" s="213">
        <f>COUNTA('8'!I7:I18)</f>
        <v>12</v>
      </c>
      <c r="C41" s="214">
        <f>COUNTA('8'!J7:J18)</f>
        <v>12</v>
      </c>
      <c r="D41" s="80"/>
      <c r="E41" s="214">
        <f>COUNTIF('8'!E7:E18,"&gt;15")</f>
        <v>0</v>
      </c>
      <c r="F41" s="80"/>
      <c r="G41" s="214">
        <f>COUNTIF('8'!J7:J18,"&gt;1")</f>
        <v>4</v>
      </c>
      <c r="H41" s="80"/>
      <c r="I41" s="215"/>
      <c r="J41" s="214">
        <f>'8'!A41-'8'!E41</f>
        <v>12</v>
      </c>
      <c r="K41" s="80"/>
      <c r="L41" s="214">
        <f>'8'!C41-'8'!G41</f>
        <v>8</v>
      </c>
      <c r="M41" s="80"/>
      <c r="N41" s="215"/>
      <c r="O41" s="216">
        <f>COUNTIF('8'!J7:J18,"&lt;=0,5")</f>
        <v>6</v>
      </c>
      <c r="P41" s="217"/>
      <c r="Q41" s="218"/>
      <c r="R41" s="219"/>
      <c r="S41" s="220">
        <f>COUNTIF('8'!J7:J18,"&lt;=1,0")</f>
        <v>8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SUM(('8'!AK38+'8'!AM38)/'8'!Y30)*1000</f>
        <v>0</v>
      </c>
      <c r="AM41" s="128"/>
      <c r="AO41" s="210" t="s">
        <v>91</v>
      </c>
      <c r="AP41" s="128"/>
      <c r="AQ41" s="223">
        <f>SUM(('8'!AP38+'8'!AR38)/'8'!Y30)*1000</f>
        <v>7.790888436</v>
      </c>
      <c r="AR41" s="128"/>
    </row>
    <row r="42" ht="18.0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394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21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SUM('8'!Y45,'8'!AA45,'8'!AC45,'8'!AE45)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COUNTIF('8'!I7:I18,"&lt;=5,0")</f>
        <v>12</v>
      </c>
      <c r="I45" s="127"/>
      <c r="J45" s="128"/>
      <c r="K45" s="215"/>
      <c r="L45" s="208">
        <f>COUNTA('8'!L37)</f>
        <v>0</v>
      </c>
      <c r="M45" s="128"/>
      <c r="O45" s="248"/>
      <c r="P45" s="249"/>
      <c r="Q45" s="250">
        <f>'8'!S41-'8'!O41</f>
        <v>2</v>
      </c>
      <c r="R45" s="251"/>
      <c r="S45" s="252"/>
      <c r="T45" s="253"/>
      <c r="X45" s="133" t="s">
        <v>104</v>
      </c>
      <c r="Y45" s="254">
        <f>'8'!Y44*275.3</f>
        <v>0</v>
      </c>
      <c r="Z45" s="133" t="s">
        <v>104</v>
      </c>
      <c r="AA45" s="254">
        <f>262.4*'8'!AA44</f>
        <v>0</v>
      </c>
      <c r="AB45" s="133" t="s">
        <v>104</v>
      </c>
      <c r="AC45" s="254">
        <f>'8'!AC44*277.7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75" customHeight="1">
      <c r="F46" s="257"/>
      <c r="X46" s="196" t="s">
        <v>105</v>
      </c>
      <c r="Y46" s="258">
        <f>'8'!AS6</f>
        <v>1.33</v>
      </c>
      <c r="Z46" s="196" t="s">
        <v>105</v>
      </c>
      <c r="AA46" s="258">
        <f>'8'!Y46</f>
        <v>1.33</v>
      </c>
      <c r="AB46" s="196" t="s">
        <v>105</v>
      </c>
      <c r="AC46" s="258">
        <f>'8'!Y46</f>
        <v>1.33</v>
      </c>
      <c r="AD46" s="196" t="s">
        <v>105</v>
      </c>
      <c r="AE46" s="259">
        <f>'8'!Y46</f>
        <v>1.33</v>
      </c>
      <c r="AF46" s="260" t="s">
        <v>106</v>
      </c>
      <c r="AG46" s="261">
        <f>SUM('8'!Y47,'8'!AA47,'8'!AC47,'8'!AE47)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'8'!Y45*'8'!Y46</f>
        <v>0</v>
      </c>
      <c r="Z47" s="133" t="s">
        <v>108</v>
      </c>
      <c r="AA47" s="254">
        <f>'8'!AA45*'8'!AA46</f>
        <v>0</v>
      </c>
      <c r="AB47" s="133" t="s">
        <v>108</v>
      </c>
      <c r="AC47" s="254">
        <f>'8'!AC45*'8'!AC46</f>
        <v>0</v>
      </c>
      <c r="AD47" s="133" t="s">
        <v>108</v>
      </c>
      <c r="AE47" s="254">
        <f>'8'!AE45*'8'!AE46</f>
        <v>0</v>
      </c>
      <c r="AF47" s="46"/>
      <c r="AG47" s="46"/>
      <c r="AI47" s="133" t="s">
        <v>104</v>
      </c>
      <c r="AJ47" s="254">
        <f>'8'!AJ46*275.3</f>
        <v>0</v>
      </c>
      <c r="AK47" s="133" t="s">
        <v>104</v>
      </c>
      <c r="AL47" s="254">
        <f>262.4*'8'!AL46</f>
        <v>0</v>
      </c>
      <c r="AM47" s="133" t="s">
        <v>104</v>
      </c>
      <c r="AN47" s="254">
        <f>'8'!AN46*277.7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'8'!Y46</f>
        <v>1.33</v>
      </c>
      <c r="AK48" s="265" t="s">
        <v>105</v>
      </c>
      <c r="AL48" s="258">
        <f>'8'!AJ48</f>
        <v>1.33</v>
      </c>
      <c r="AM48" s="265" t="s">
        <v>105</v>
      </c>
      <c r="AN48" s="258">
        <f>'8'!AJ48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'8'!AJ47*'8'!AJ48</f>
        <v>0</v>
      </c>
      <c r="AK49" s="133" t="s">
        <v>108</v>
      </c>
      <c r="AL49" s="254">
        <f>'8'!AL47*'8'!AL48</f>
        <v>0</v>
      </c>
      <c r="AM49" s="133" t="s">
        <v>108</v>
      </c>
      <c r="AN49" s="254">
        <f>'8'!AN47*'8'!AN48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COUNTA('8'!O7:O18)</f>
        <v>12</v>
      </c>
      <c r="P51" s="128"/>
      <c r="R51" s="247">
        <f>COUNTIF('8'!O7:O18,"&gt;=0,5")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SUM('8'!Y53,'8'!AA53,'8'!AC53,'8'!AE53)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'8'!Y52*275.3</f>
        <v>0</v>
      </c>
      <c r="Z53" s="133" t="s">
        <v>104</v>
      </c>
      <c r="AA53" s="254">
        <f>262.4*'8'!AA52</f>
        <v>0</v>
      </c>
      <c r="AB53" s="133" t="s">
        <v>104</v>
      </c>
      <c r="AC53" s="276">
        <f>'8'!AC52*277.7</f>
        <v>0</v>
      </c>
      <c r="AD53" s="133" t="s">
        <v>104</v>
      </c>
      <c r="AE53" s="352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'8'!AS7</f>
        <v>1.377</v>
      </c>
      <c r="Z54" s="196" t="s">
        <v>105</v>
      </c>
      <c r="AA54" s="258">
        <f>'8'!Y54</f>
        <v>1.377</v>
      </c>
      <c r="AB54" s="196" t="s">
        <v>105</v>
      </c>
      <c r="AC54" s="258">
        <f>'8'!Y54</f>
        <v>1.377</v>
      </c>
      <c r="AD54" s="196" t="s">
        <v>105</v>
      </c>
      <c r="AE54" s="259">
        <f>'8'!Y54</f>
        <v>1.377</v>
      </c>
      <c r="AF54" s="260" t="s">
        <v>106</v>
      </c>
      <c r="AG54" s="261">
        <f>SUM('8'!Y55,'8'!AA55,'8'!AC55,'8'!AE55)</f>
        <v>0</v>
      </c>
      <c r="AI54" s="133" t="s">
        <v>104</v>
      </c>
      <c r="AJ54" s="254">
        <f>'8'!AJ53*275.3</f>
        <v>0</v>
      </c>
      <c r="AK54" s="133" t="s">
        <v>104</v>
      </c>
      <c r="AL54" s="254">
        <f>262.4*'8'!AL53</f>
        <v>0</v>
      </c>
      <c r="AM54" s="133" t="s">
        <v>104</v>
      </c>
      <c r="AN54" s="276">
        <f>'8'!AN53*277.7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'8'!Y53*'8'!Y54</f>
        <v>0</v>
      </c>
      <c r="Z55" s="133" t="s">
        <v>108</v>
      </c>
      <c r="AA55" s="254">
        <f>'8'!AA53*'8'!AA54</f>
        <v>0</v>
      </c>
      <c r="AB55" s="133" t="s">
        <v>108</v>
      </c>
      <c r="AC55" s="254">
        <f>'8'!AC53*'8'!AC54</f>
        <v>0</v>
      </c>
      <c r="AD55" s="133" t="s">
        <v>108</v>
      </c>
      <c r="AE55" s="254">
        <f>'8'!AE53*'8'!AE54</f>
        <v>0</v>
      </c>
      <c r="AF55" s="46"/>
      <c r="AG55" s="46"/>
      <c r="AI55" s="196" t="s">
        <v>105</v>
      </c>
      <c r="AJ55" s="258">
        <f>'8'!Y54</f>
        <v>1.377</v>
      </c>
      <c r="AK55" s="196" t="s">
        <v>105</v>
      </c>
      <c r="AL55" s="258">
        <f>'8'!AJ55</f>
        <v>1.377</v>
      </c>
      <c r="AM55" s="196" t="s">
        <v>105</v>
      </c>
      <c r="AN55" s="258">
        <f>'8'!AJ55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'8'!AJ54*'8'!AJ55</f>
        <v>0</v>
      </c>
      <c r="AK56" s="133" t="s">
        <v>108</v>
      </c>
      <c r="AL56" s="254">
        <f>'8'!AL54*'8'!AL55</f>
        <v>0</v>
      </c>
      <c r="AM56" s="133" t="s">
        <v>108</v>
      </c>
      <c r="AN56" s="254">
        <f>'8'!AN54*'8'!AN55</f>
        <v>0</v>
      </c>
      <c r="AO56" s="16"/>
      <c r="AP56" s="17"/>
      <c r="AQ56" s="17"/>
      <c r="AR56" s="18"/>
    </row>
    <row r="57" ht="15.75" customHeight="1">
      <c r="O57" s="169">
        <f>COUNTA('8'!N7:N18)</f>
        <v>12</v>
      </c>
      <c r="P57" s="128"/>
      <c r="R57" s="277">
        <f>COUNTIF('8'!N7:N18,"&gt;=6")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391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'8'!AJ56+'8'!AL56+'8'!AN56</f>
        <v>0</v>
      </c>
      <c r="AM61" s="80"/>
      <c r="AN61" s="286" t="s">
        <v>121</v>
      </c>
      <c r="AO61" s="79"/>
      <c r="AP61" s="80"/>
      <c r="AQ61" s="287">
        <f>'8'!AJ49+'8'!AL49+'8'!AN49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'8'!AA32</f>
        <v>47241.6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/>
      <c r="AE63" s="97"/>
      <c r="AI63" s="286" t="s">
        <v>125</v>
      </c>
      <c r="AJ63" s="79"/>
      <c r="AK63" s="80"/>
      <c r="AL63" s="287">
        <f>'8'!AL61-'8'!AL62</f>
        <v>0</v>
      </c>
      <c r="AM63" s="80"/>
      <c r="AN63" s="286" t="s">
        <v>125</v>
      </c>
      <c r="AO63" s="79"/>
      <c r="AP63" s="80"/>
      <c r="AQ63" s="287">
        <f>'8'!AQ61-'8'!AQ62</f>
        <v>-47241.6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 t="str">
        <f>'7'!Y65</f>
        <v/>
      </c>
      <c r="Z65" s="43"/>
      <c r="AA65" s="27"/>
      <c r="AB65" s="299" t="s">
        <v>126</v>
      </c>
      <c r="AC65" s="330" t="str">
        <f>'7'!AC65</f>
        <v/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>
        <f>SUM('8'!AK38,'8'!AP38)</f>
        <v>2270</v>
      </c>
      <c r="Z67" s="43"/>
      <c r="AA67" s="27"/>
      <c r="AB67" s="296" t="s">
        <v>124</v>
      </c>
      <c r="AC67" s="254">
        <f>SUM('8'!AM38,'8'!AR38)</f>
        <v>0</v>
      </c>
    </row>
    <row r="68" ht="15.75" customHeight="1">
      <c r="X68" s="294" t="s">
        <v>128</v>
      </c>
      <c r="Y68" s="301">
        <f>SUM('8'!Y63,'8'!Y65)-'8'!Y67</f>
        <v>-2270</v>
      </c>
      <c r="Z68" s="16"/>
      <c r="AA68" s="18"/>
      <c r="AB68" s="296" t="s">
        <v>128</v>
      </c>
      <c r="AC68" s="302">
        <f>SUM('8'!AC63,'8'!AC65)-'8'!AC67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7" width="8.57"/>
    <col customWidth="1" min="18" max="18" width="6.14"/>
    <col customWidth="1" min="19" max="19" width="8.14"/>
    <col customWidth="1" min="20" max="21" width="8.71"/>
    <col customWidth="1" min="22" max="23" width="8.57"/>
    <col customWidth="1" min="24" max="27" width="8.71"/>
    <col customWidth="1" min="28" max="28" width="8.14"/>
    <col customWidth="1" min="29" max="36" width="8.71"/>
    <col customWidth="1" min="37" max="37" width="8.57"/>
    <col customWidth="1" min="38" max="40" width="8.71"/>
    <col customWidth="1" min="41" max="41" width="8.57"/>
    <col customWidth="1" min="42" max="42" width="8.71"/>
    <col customWidth="1" min="43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3343.0</v>
      </c>
      <c r="Z6" s="392">
        <v>1480.0</v>
      </c>
      <c r="AA6" s="56">
        <v>1.0</v>
      </c>
      <c r="AB6" s="58">
        <f>IF('9'!AA6=1,(('9'!Z6*'9'!$AS$6*'9'!$AT$6)/('9'!Y6*0.0036)),IF('9'!AA6=2,(('9'!Z6*'9'!$AS$7*'9'!$AT$7)/('9'!Y6*0.0036))))</f>
        <v>81.7795061</v>
      </c>
      <c r="AC6" s="58"/>
      <c r="AD6" s="59">
        <f>(('9'!AC6*'9'!$Q$10*1000000))/('9'!Y6*3600)</f>
        <v>0</v>
      </c>
      <c r="AE6" s="60"/>
      <c r="AF6" s="61">
        <f>('9'!AE6/24)*0.454</f>
        <v>0</v>
      </c>
      <c r="AG6" s="60"/>
      <c r="AH6" s="61">
        <f>('9'!AG6/24)*0.454</f>
        <v>0</v>
      </c>
      <c r="AI6" s="392">
        <v>5000.0</v>
      </c>
      <c r="AJ6" s="61">
        <f>('9'!AI6/24)*0.454</f>
        <v>94.58333333</v>
      </c>
      <c r="AK6" s="62"/>
      <c r="AL6" s="63">
        <f>('9'!AK6/24)*0.454</f>
        <v>0</v>
      </c>
      <c r="AM6" s="62"/>
      <c r="AN6" s="63">
        <f>('9'!AM6/24)*0.454</f>
        <v>0</v>
      </c>
      <c r="AO6" s="64"/>
      <c r="AP6" s="63">
        <f>('9'!AO6/24)*0.454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223.0</v>
      </c>
      <c r="C7" s="76">
        <v>14.0</v>
      </c>
      <c r="D7" s="76">
        <v>10.0</v>
      </c>
      <c r="E7" s="76">
        <v>7.0</v>
      </c>
      <c r="F7" s="76">
        <v>32.0</v>
      </c>
      <c r="G7" s="76">
        <v>0.91</v>
      </c>
      <c r="H7" s="76">
        <v>1.0</v>
      </c>
      <c r="I7" s="76">
        <v>0.8</v>
      </c>
      <c r="J7" s="76">
        <v>0.7</v>
      </c>
      <c r="K7" s="76">
        <v>6.9</v>
      </c>
      <c r="L7" s="76">
        <v>6.5</v>
      </c>
      <c r="M7" s="76">
        <v>6.5</v>
      </c>
      <c r="N7" s="76">
        <v>6.1</v>
      </c>
      <c r="O7" s="76">
        <v>3.3</v>
      </c>
      <c r="P7" s="76"/>
      <c r="Q7" s="310"/>
      <c r="R7" s="77">
        <f>'8'!$Z$29</f>
        <v>1480</v>
      </c>
      <c r="S7" s="309">
        <f>'8'!$AB$29</f>
        <v>81.34153195</v>
      </c>
      <c r="T7" s="77">
        <f>'8'!$Y$29</f>
        <v>3361</v>
      </c>
      <c r="U7" s="73" t="str">
        <f>IF('9'!AA6=1,'9'!AR6,'9'!AR7)</f>
        <v>S.A.L</v>
      </c>
      <c r="V7" s="395" t="str">
        <f>ESCALA!$B$10</f>
        <v/>
      </c>
      <c r="W7" s="12"/>
      <c r="X7" s="54">
        <v>0.0833333333333333</v>
      </c>
      <c r="Y7" s="125">
        <v>3421.0</v>
      </c>
      <c r="Z7" s="392">
        <v>1480.0</v>
      </c>
      <c r="AA7" s="56">
        <v>1.0</v>
      </c>
      <c r="AB7" s="58">
        <f>IF('9'!AA7=1,(('9'!Z7*'9'!$AS$6*'9'!$AT$6)/('9'!Y7*0.0036)),IF('9'!AA7=2,(('9'!Z7*'9'!$AS$7*'9'!$AT$7)/('9'!Y7*0.0036))))</f>
        <v>79.91490467</v>
      </c>
      <c r="AC7" s="58"/>
      <c r="AD7" s="59">
        <f>(('9'!AC7*'9'!$Q$10*1000000))/('9'!Y7*3600)</f>
        <v>0</v>
      </c>
      <c r="AE7" s="60"/>
      <c r="AF7" s="61">
        <f>('9'!AE7/24)*0.454</f>
        <v>0</v>
      </c>
      <c r="AG7" s="60"/>
      <c r="AH7" s="61">
        <f>('9'!AG7/24)*0.454</f>
        <v>0</v>
      </c>
      <c r="AI7" s="392">
        <v>5000.0</v>
      </c>
      <c r="AJ7" s="61">
        <f>('9'!AI7/24)*0.454</f>
        <v>94.58333333</v>
      </c>
      <c r="AK7" s="62"/>
      <c r="AL7" s="63">
        <f>('9'!AK7/24)*0.454</f>
        <v>0</v>
      </c>
      <c r="AM7" s="62"/>
      <c r="AN7" s="63">
        <f>('9'!AM7/24)*0.454</f>
        <v>0</v>
      </c>
      <c r="AO7" s="64"/>
      <c r="AP7" s="63">
        <f>('9'!AO7/24)*0.454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219.0</v>
      </c>
      <c r="C8" s="76">
        <v>12.0</v>
      </c>
      <c r="D8" s="76">
        <v>10.0</v>
      </c>
      <c r="E8" s="76">
        <v>7.0</v>
      </c>
      <c r="F8" s="76">
        <v>30.0</v>
      </c>
      <c r="G8" s="76">
        <v>1.0</v>
      </c>
      <c r="H8" s="76">
        <v>0.9</v>
      </c>
      <c r="I8" s="76">
        <v>0.8</v>
      </c>
      <c r="J8" s="76">
        <v>0.6</v>
      </c>
      <c r="K8" s="76">
        <v>6.9</v>
      </c>
      <c r="L8" s="76">
        <v>6.5</v>
      </c>
      <c r="M8" s="76">
        <v>6.5</v>
      </c>
      <c r="N8" s="76">
        <v>6.1</v>
      </c>
      <c r="O8" s="76">
        <v>3.5</v>
      </c>
      <c r="P8" s="76"/>
      <c r="Q8" s="310"/>
      <c r="R8" s="75">
        <f>'9'!Z7</f>
        <v>1480</v>
      </c>
      <c r="S8" s="76">
        <f>'9'!AB7</f>
        <v>79.91490467</v>
      </c>
      <c r="T8" s="77">
        <f>'9'!Y7</f>
        <v>3421</v>
      </c>
      <c r="U8" s="73" t="str">
        <f>IF('9'!AA7=1,'9'!AR6,'9'!AR7)</f>
        <v>S.A.L</v>
      </c>
      <c r="V8" s="43"/>
      <c r="W8" s="27"/>
      <c r="X8" s="54">
        <v>0.125</v>
      </c>
      <c r="Y8" s="125">
        <v>3334.0</v>
      </c>
      <c r="Z8" s="392">
        <v>1480.0</v>
      </c>
      <c r="AA8" s="56">
        <v>1.0</v>
      </c>
      <c r="AB8" s="58">
        <f>IF('9'!AA8=1,(('9'!Z8*'9'!$AS$6*'9'!$AT$6)/('9'!Y8*0.0036)),IF('9'!AA8=2,(('9'!Z8*'9'!$AS$7*'9'!$AT$7)/('9'!Y8*0.0036))))</f>
        <v>82.00026661</v>
      </c>
      <c r="AC8" s="58"/>
      <c r="AD8" s="59">
        <f>(('9'!AC8*'9'!$Q$10*1000000))/('9'!Y8*3600)</f>
        <v>0</v>
      </c>
      <c r="AE8" s="60"/>
      <c r="AF8" s="61">
        <f>('9'!AE8/24)*0.454</f>
        <v>0</v>
      </c>
      <c r="AG8" s="60"/>
      <c r="AH8" s="61">
        <f>('9'!AG8/24)*0.454</f>
        <v>0</v>
      </c>
      <c r="AI8" s="392">
        <v>5000.0</v>
      </c>
      <c r="AJ8" s="61">
        <f>('9'!AI8/24)*0.454</f>
        <v>94.58333333</v>
      </c>
      <c r="AK8" s="62"/>
      <c r="AL8" s="63">
        <f>('9'!AK8/24)*0.454</f>
        <v>0</v>
      </c>
      <c r="AM8" s="62"/>
      <c r="AN8" s="63">
        <f>('9'!AM8/24)*0.454</f>
        <v>0</v>
      </c>
      <c r="AO8" s="64"/>
      <c r="AP8" s="63">
        <f>('9'!AO8/24)*0.454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209.0</v>
      </c>
      <c r="C9" s="76">
        <v>12.0</v>
      </c>
      <c r="D9" s="76">
        <v>11.0</v>
      </c>
      <c r="E9" s="76">
        <v>7.0</v>
      </c>
      <c r="F9" s="76">
        <v>30.0</v>
      </c>
      <c r="G9" s="76">
        <v>1.0</v>
      </c>
      <c r="H9" s="76">
        <v>1.0</v>
      </c>
      <c r="I9" s="76">
        <v>0.6</v>
      </c>
      <c r="J9" s="76">
        <v>0.6</v>
      </c>
      <c r="K9" s="76">
        <v>6.9</v>
      </c>
      <c r="L9" s="76">
        <v>6.5</v>
      </c>
      <c r="M9" s="76">
        <v>6.5</v>
      </c>
      <c r="N9" s="76">
        <v>6.1</v>
      </c>
      <c r="O9" s="76">
        <v>3.5</v>
      </c>
      <c r="P9" s="76"/>
      <c r="Q9" s="310"/>
      <c r="R9" s="77">
        <f>'9'!Z9</f>
        <v>1480</v>
      </c>
      <c r="S9" s="76">
        <f>'9'!AB9</f>
        <v>81.7795061</v>
      </c>
      <c r="T9" s="77">
        <f>'9'!Y9</f>
        <v>3343</v>
      </c>
      <c r="U9" s="73" t="str">
        <f>IF('9'!AA9=1,'9'!AR6,'9'!AR7)</f>
        <v>S.A.L</v>
      </c>
      <c r="V9" s="43"/>
      <c r="W9" s="27"/>
      <c r="X9" s="54">
        <v>0.166666666666667</v>
      </c>
      <c r="Y9" s="125">
        <v>3343.0</v>
      </c>
      <c r="Z9" s="392">
        <v>1480.0</v>
      </c>
      <c r="AA9" s="56">
        <v>1.0</v>
      </c>
      <c r="AB9" s="58">
        <f>IF('9'!AA9=1,(('9'!Z9*'9'!$AS$6*'9'!$AT$6)/('9'!Y9*0.0036)),IF('9'!AA9=2,(('9'!Z9*'9'!$AS$7*'9'!$AT$7)/('9'!Y9*0.0036))))</f>
        <v>81.7795061</v>
      </c>
      <c r="AC9" s="58"/>
      <c r="AD9" s="59">
        <f>(('9'!AC9*'9'!$Q$10*1000000))/('9'!Y9*3600)</f>
        <v>0</v>
      </c>
      <c r="AE9" s="60"/>
      <c r="AF9" s="61">
        <f>('9'!AE9/24)*0.454</f>
        <v>0</v>
      </c>
      <c r="AG9" s="60"/>
      <c r="AH9" s="61">
        <f>('9'!AG9/24)*0.454</f>
        <v>0</v>
      </c>
      <c r="AI9" s="392">
        <v>5000.0</v>
      </c>
      <c r="AJ9" s="61">
        <f>('9'!AI9/24)*0.454</f>
        <v>94.58333333</v>
      </c>
      <c r="AK9" s="62"/>
      <c r="AL9" s="63">
        <f>('9'!AK9/24)*0.454</f>
        <v>0</v>
      </c>
      <c r="AM9" s="62"/>
      <c r="AN9" s="63">
        <f>('9'!AM9/24)*0.454</f>
        <v>0</v>
      </c>
      <c r="AO9" s="64"/>
      <c r="AP9" s="63">
        <f>('9'!AO9/24)*0.454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217.0</v>
      </c>
      <c r="C10" s="76">
        <v>12.0</v>
      </c>
      <c r="D10" s="76">
        <v>9.0</v>
      </c>
      <c r="E10" s="76">
        <v>7.0</v>
      </c>
      <c r="F10" s="76">
        <v>29.0</v>
      </c>
      <c r="G10" s="76">
        <v>1.2</v>
      </c>
      <c r="H10" s="76">
        <v>1.0</v>
      </c>
      <c r="I10" s="76">
        <v>0.5</v>
      </c>
      <c r="J10" s="76">
        <v>0.6</v>
      </c>
      <c r="K10" s="76">
        <v>6.9</v>
      </c>
      <c r="L10" s="76">
        <v>6.5</v>
      </c>
      <c r="M10" s="76">
        <v>6.5</v>
      </c>
      <c r="N10" s="76">
        <v>6.1</v>
      </c>
      <c r="O10" s="76">
        <v>3.5</v>
      </c>
      <c r="P10" s="76"/>
      <c r="Q10" s="310"/>
      <c r="R10" s="77">
        <f>'9'!Z11</f>
        <v>1480</v>
      </c>
      <c r="S10" s="76">
        <f>'9'!AB11</f>
        <v>81.14837901</v>
      </c>
      <c r="T10" s="77">
        <f>'9'!Y11</f>
        <v>3369</v>
      </c>
      <c r="U10" s="73" t="str">
        <f>IF('9'!AA11=1,'9'!AR6,'9'!AR7)</f>
        <v>S.A.L</v>
      </c>
      <c r="V10" s="43"/>
      <c r="W10" s="27"/>
      <c r="X10" s="54">
        <v>0.208333333333333</v>
      </c>
      <c r="Y10" s="125">
        <v>3369.0</v>
      </c>
      <c r="Z10" s="392">
        <v>1480.0</v>
      </c>
      <c r="AA10" s="56">
        <v>1.0</v>
      </c>
      <c r="AB10" s="58">
        <f>IF('9'!AA10=1,(('9'!Z10*'9'!$AS$6*'9'!$AT$6)/('9'!Y10*0.0036)),IF('9'!AA10=2,(('9'!Z10*'9'!$AS$7*'9'!$AT$7)/('9'!Y10*0.0036))))</f>
        <v>81.14837901</v>
      </c>
      <c r="AC10" s="58"/>
      <c r="AD10" s="59">
        <f>(('9'!AC10*'9'!$Q$10*1000000))/('9'!Y10*3600)</f>
        <v>0</v>
      </c>
      <c r="AE10" s="60"/>
      <c r="AF10" s="61">
        <f>('9'!AE10/24)*0.454</f>
        <v>0</v>
      </c>
      <c r="AG10" s="60"/>
      <c r="AH10" s="61">
        <f>('9'!AG10/24)*0.454</f>
        <v>0</v>
      </c>
      <c r="AI10" s="392">
        <v>5000.0</v>
      </c>
      <c r="AJ10" s="61">
        <f>('9'!AI10/24)*0.454</f>
        <v>94.58333333</v>
      </c>
      <c r="AK10" s="62"/>
      <c r="AL10" s="63">
        <f>('9'!AK10/24)*0.454</f>
        <v>0</v>
      </c>
      <c r="AM10" s="62"/>
      <c r="AN10" s="63">
        <f>('9'!AM10/24)*0.454</f>
        <v>0</v>
      </c>
      <c r="AO10" s="64"/>
      <c r="AP10" s="63">
        <f>('9'!AO10/24)*0.454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112.0</v>
      </c>
      <c r="C11" s="76">
        <v>12.0</v>
      </c>
      <c r="D11" s="76">
        <v>10.0</v>
      </c>
      <c r="E11" s="76">
        <v>6.0</v>
      </c>
      <c r="F11" s="76">
        <v>27.0</v>
      </c>
      <c r="G11" s="76">
        <v>1.3</v>
      </c>
      <c r="H11" s="76">
        <v>1.1</v>
      </c>
      <c r="I11" s="76">
        <v>0.5</v>
      </c>
      <c r="J11" s="76">
        <v>0.6</v>
      </c>
      <c r="K11" s="76">
        <v>6.9</v>
      </c>
      <c r="L11" s="76">
        <v>6.5</v>
      </c>
      <c r="M11" s="76">
        <v>6.5</v>
      </c>
      <c r="N11" s="76">
        <v>6.1</v>
      </c>
      <c r="O11" s="76">
        <v>3.5</v>
      </c>
      <c r="P11" s="76"/>
      <c r="Q11" s="310"/>
      <c r="R11" s="77">
        <f>'9'!Z13</f>
        <v>1480</v>
      </c>
      <c r="S11" s="76">
        <f>'9'!AB13</f>
        <v>85.75561132</v>
      </c>
      <c r="T11" s="77">
        <f>'9'!Y13</f>
        <v>3188</v>
      </c>
      <c r="U11" s="73" t="str">
        <f>IF('9'!AA13=1,'9'!AR6,'9'!AR7)</f>
        <v>S.A.L</v>
      </c>
      <c r="V11" s="16"/>
      <c r="W11" s="18"/>
      <c r="X11" s="54">
        <v>0.25</v>
      </c>
      <c r="Y11" s="125">
        <v>3369.0</v>
      </c>
      <c r="Z11" s="392">
        <v>1480.0</v>
      </c>
      <c r="AA11" s="56">
        <v>1.0</v>
      </c>
      <c r="AB11" s="58">
        <f>IF('9'!AA11=1,(('9'!Z11*'9'!$AS$6*'9'!$AT$6)/('9'!Y11*0.0036)),IF('9'!AA11=2,(('9'!Z11*'9'!$AS$7*'9'!$AT$7)/('9'!Y11*0.0036))))</f>
        <v>81.14837901</v>
      </c>
      <c r="AC11" s="58"/>
      <c r="AD11" s="59">
        <f>(('9'!AC11*'9'!$Q$10*1000000))/('9'!Y11*3600)</f>
        <v>0</v>
      </c>
      <c r="AE11" s="60"/>
      <c r="AF11" s="61">
        <f>('9'!AE11/24)*0.454</f>
        <v>0</v>
      </c>
      <c r="AG11" s="60"/>
      <c r="AH11" s="61">
        <f>('9'!AG11/24)*0.454</f>
        <v>0</v>
      </c>
      <c r="AI11" s="392">
        <v>5000.0</v>
      </c>
      <c r="AJ11" s="61">
        <f>('9'!AI11/24)*0.454</f>
        <v>94.58333333</v>
      </c>
      <c r="AK11" s="62"/>
      <c r="AL11" s="63">
        <f>('9'!AK11/24)*0.454</f>
        <v>0</v>
      </c>
      <c r="AM11" s="62"/>
      <c r="AN11" s="63">
        <f>('9'!AM11/24)*0.454</f>
        <v>0</v>
      </c>
      <c r="AO11" s="64"/>
      <c r="AP11" s="63">
        <f>('9'!AO11/24)*0.454</f>
        <v>0</v>
      </c>
    </row>
    <row r="12" ht="18.75" customHeight="1">
      <c r="A12" s="69">
        <v>0.416666666666667</v>
      </c>
      <c r="B12" s="76">
        <v>110.0</v>
      </c>
      <c r="C12" s="76">
        <v>13.0</v>
      </c>
      <c r="D12" s="76">
        <v>10.0</v>
      </c>
      <c r="E12" s="76">
        <v>5.0</v>
      </c>
      <c r="F12" s="76">
        <v>26.0</v>
      </c>
      <c r="G12" s="76">
        <v>1.3</v>
      </c>
      <c r="H12" s="76">
        <v>1.2</v>
      </c>
      <c r="I12" s="76">
        <v>0.5</v>
      </c>
      <c r="J12" s="76">
        <v>0.6</v>
      </c>
      <c r="K12" s="76">
        <v>6.9</v>
      </c>
      <c r="L12" s="76">
        <v>6.5</v>
      </c>
      <c r="M12" s="76">
        <v>6.5</v>
      </c>
      <c r="N12" s="76">
        <v>6.1</v>
      </c>
      <c r="O12" s="76">
        <v>3.5</v>
      </c>
      <c r="P12" s="76"/>
      <c r="Q12" s="310"/>
      <c r="R12" s="77">
        <f>'9'!Z15</f>
        <v>1480</v>
      </c>
      <c r="S12" s="76">
        <f>'9'!AB15</f>
        <v>91.61826035</v>
      </c>
      <c r="T12" s="77">
        <f>'9'!Y15</f>
        <v>2984</v>
      </c>
      <c r="U12" s="73" t="str">
        <f>IF('9'!AA15=1,'9'!AR6,'9'!AR7)</f>
        <v>S.A.L</v>
      </c>
      <c r="V12" s="90" t="str">
        <f>ESCALA!$B$11</f>
        <v/>
      </c>
      <c r="W12" s="89"/>
      <c r="X12" s="54">
        <v>0.291666666666667</v>
      </c>
      <c r="Y12" s="125">
        <v>3182.0</v>
      </c>
      <c r="Z12" s="392">
        <v>1480.0</v>
      </c>
      <c r="AA12" s="56">
        <v>1.0</v>
      </c>
      <c r="AB12" s="58">
        <f>IF('9'!AA12=1,(('9'!Z12*'9'!$AS$6*'9'!$AT$6)/('9'!Y12*0.0036)),IF('9'!AA12=2,(('9'!Z12*'9'!$AS$7*'9'!$AT$7)/('9'!Y12*0.0036))))</f>
        <v>85.91731266</v>
      </c>
      <c r="AC12" s="58"/>
      <c r="AD12" s="59">
        <f>(('9'!AC12*'9'!$Q$10*1000000))/('9'!Y12*3600)</f>
        <v>0</v>
      </c>
      <c r="AE12" s="60"/>
      <c r="AF12" s="61">
        <f>('9'!AE12/24)*0.454</f>
        <v>0</v>
      </c>
      <c r="AG12" s="60"/>
      <c r="AH12" s="61">
        <f>('9'!AG12/24)*0.454</f>
        <v>0</v>
      </c>
      <c r="AI12" s="392">
        <v>5000.0</v>
      </c>
      <c r="AJ12" s="61">
        <f>('9'!AI12/24)*0.454</f>
        <v>94.58333333</v>
      </c>
      <c r="AK12" s="62"/>
      <c r="AL12" s="63">
        <f>('9'!AK12/24)*0.454</f>
        <v>0</v>
      </c>
      <c r="AM12" s="62"/>
      <c r="AN12" s="63">
        <f>('9'!AM12/24)*0.454</f>
        <v>0</v>
      </c>
      <c r="AO12" s="64"/>
      <c r="AP12" s="63">
        <f>('9'!AO12/24)*0.454</f>
        <v>0</v>
      </c>
    </row>
    <row r="13" ht="18.75" customHeight="1">
      <c r="A13" s="69">
        <v>0.5</v>
      </c>
      <c r="B13" s="76">
        <v>108.0</v>
      </c>
      <c r="C13" s="76">
        <v>13.0</v>
      </c>
      <c r="D13" s="76">
        <v>11.0</v>
      </c>
      <c r="E13" s="76">
        <v>5.0</v>
      </c>
      <c r="F13" s="76">
        <v>27.0</v>
      </c>
      <c r="G13" s="76">
        <v>1.3</v>
      </c>
      <c r="H13" s="76">
        <v>1.2</v>
      </c>
      <c r="I13" s="76">
        <v>0.5</v>
      </c>
      <c r="J13" s="76">
        <v>0.5</v>
      </c>
      <c r="K13" s="76">
        <v>6.9</v>
      </c>
      <c r="L13" s="76">
        <v>6.5</v>
      </c>
      <c r="M13" s="76">
        <v>6.5</v>
      </c>
      <c r="N13" s="76">
        <v>6.1</v>
      </c>
      <c r="O13" s="76">
        <v>3.5</v>
      </c>
      <c r="P13" s="76"/>
      <c r="Q13" s="310"/>
      <c r="R13" s="77">
        <f>'9'!Z17</f>
        <v>1480</v>
      </c>
      <c r="S13" s="76">
        <f>'9'!AB17</f>
        <v>85.19441848</v>
      </c>
      <c r="T13" s="77">
        <f>'9'!Y17</f>
        <v>3209</v>
      </c>
      <c r="U13" s="73" t="str">
        <f>IF('9'!AA17=1,'9'!AR6,'9'!AR7)</f>
        <v>S.A.L</v>
      </c>
      <c r="V13" s="43"/>
      <c r="W13" s="27"/>
      <c r="X13" s="54">
        <v>0.333333333333333</v>
      </c>
      <c r="Y13" s="125">
        <v>3188.0</v>
      </c>
      <c r="Z13" s="392">
        <v>1480.0</v>
      </c>
      <c r="AA13" s="56">
        <v>1.0</v>
      </c>
      <c r="AB13" s="58">
        <f>IF('9'!AA13=1,(('9'!Z13*'9'!$AS$6*'9'!$AT$6)/('9'!Y13*0.0036)),IF('9'!AA13=2,(('9'!Z13*'9'!$AS$7*'9'!$AT$7)/('9'!Y13*0.0036))))</f>
        <v>85.75561132</v>
      </c>
      <c r="AC13" s="58"/>
      <c r="AD13" s="59">
        <f>(('9'!AC13*'9'!$Q$10*1000000))/('9'!Y13*3600)</f>
        <v>0</v>
      </c>
      <c r="AE13" s="60"/>
      <c r="AF13" s="61">
        <f>('9'!AE13/24)*0.454</f>
        <v>0</v>
      </c>
      <c r="AG13" s="60"/>
      <c r="AH13" s="61">
        <f>('9'!AG13/24)*0.454</f>
        <v>0</v>
      </c>
      <c r="AI13" s="392">
        <v>5000.0</v>
      </c>
      <c r="AJ13" s="61">
        <f>('9'!AI13/24)*0.454</f>
        <v>94.58333333</v>
      </c>
      <c r="AK13" s="62"/>
      <c r="AL13" s="63">
        <f>('9'!AK13/24)*0.454</f>
        <v>0</v>
      </c>
      <c r="AM13" s="62"/>
      <c r="AN13" s="63">
        <f>('9'!AM13/24)*0.454</f>
        <v>0</v>
      </c>
      <c r="AO13" s="64"/>
      <c r="AP13" s="63">
        <f>('9'!AO13/24)*0.454</f>
        <v>0</v>
      </c>
    </row>
    <row r="14" ht="18.75" customHeight="1">
      <c r="A14" s="69">
        <v>0.583333333333333</v>
      </c>
      <c r="B14" s="76">
        <v>115.0</v>
      </c>
      <c r="C14" s="76">
        <v>12.0</v>
      </c>
      <c r="D14" s="76">
        <v>10.0</v>
      </c>
      <c r="E14" s="76">
        <v>5.0</v>
      </c>
      <c r="F14" s="76">
        <v>30.0</v>
      </c>
      <c r="G14" s="76">
        <v>1.4</v>
      </c>
      <c r="H14" s="76">
        <v>1.1</v>
      </c>
      <c r="I14" s="76">
        <v>0.5</v>
      </c>
      <c r="J14" s="76">
        <v>0.5</v>
      </c>
      <c r="K14" s="76">
        <v>6.9</v>
      </c>
      <c r="L14" s="76">
        <v>6.5</v>
      </c>
      <c r="M14" s="76">
        <v>6.5</v>
      </c>
      <c r="N14" s="76">
        <v>6.1</v>
      </c>
      <c r="O14" s="76">
        <v>3.5</v>
      </c>
      <c r="P14" s="76"/>
      <c r="Q14" s="310"/>
      <c r="R14" s="77">
        <f>'9'!Z19</f>
        <v>1480</v>
      </c>
      <c r="S14" s="76">
        <f>'9'!AB19</f>
        <v>82.17279498</v>
      </c>
      <c r="T14" s="77">
        <f>'9'!Y19</f>
        <v>3327</v>
      </c>
      <c r="U14" s="73" t="str">
        <f>IF('9'!AA19=1,'9'!AR6,'9'!AR7)</f>
        <v>S.A.L</v>
      </c>
      <c r="V14" s="43"/>
      <c r="W14" s="27"/>
      <c r="X14" s="54">
        <v>0.375</v>
      </c>
      <c r="Y14" s="125">
        <v>3251.0</v>
      </c>
      <c r="Z14" s="392">
        <v>1480.0</v>
      </c>
      <c r="AA14" s="56">
        <v>1.0</v>
      </c>
      <c r="AB14" s="58">
        <f>IF('9'!AA14=1,(('9'!Z14*'9'!$AS$6*'9'!$AT$6)/('9'!Y14*0.0036)),IF('9'!AA14=2,(('9'!Z14*'9'!$AS$7*'9'!$AT$7)/('9'!Y14*0.0036))))</f>
        <v>84.09378311</v>
      </c>
      <c r="AC14" s="58"/>
      <c r="AD14" s="59">
        <f>(('9'!AC14*'9'!$Q$10*1000000))/('9'!Y14*3600)</f>
        <v>0</v>
      </c>
      <c r="AE14" s="60"/>
      <c r="AF14" s="61">
        <f>('9'!AE14/24)*0.454</f>
        <v>0</v>
      </c>
      <c r="AG14" s="60"/>
      <c r="AH14" s="61">
        <f>('9'!AG14/24)*0.454</f>
        <v>0</v>
      </c>
      <c r="AI14" s="392">
        <v>5000.0</v>
      </c>
      <c r="AJ14" s="61">
        <f>('9'!AI14/24)*0.454</f>
        <v>94.58333333</v>
      </c>
      <c r="AK14" s="62"/>
      <c r="AL14" s="63">
        <f>('9'!AK14/24)*0.454</f>
        <v>0</v>
      </c>
      <c r="AM14" s="62"/>
      <c r="AN14" s="63">
        <f>('9'!AM14/24)*0.454</f>
        <v>0</v>
      </c>
      <c r="AO14" s="64"/>
      <c r="AP14" s="63">
        <f>('9'!AO14/24)*0.454</f>
        <v>0</v>
      </c>
    </row>
    <row r="15" ht="18.75" customHeight="1">
      <c r="A15" s="69">
        <v>0.666666666666667</v>
      </c>
      <c r="B15" s="76">
        <v>116.0</v>
      </c>
      <c r="C15" s="76">
        <v>12.0</v>
      </c>
      <c r="D15" s="76">
        <v>10.0</v>
      </c>
      <c r="E15" s="76">
        <v>5.0</v>
      </c>
      <c r="F15" s="76">
        <v>30.0</v>
      </c>
      <c r="G15" s="76">
        <v>1.3</v>
      </c>
      <c r="H15" s="76">
        <v>1.1</v>
      </c>
      <c r="I15" s="76">
        <v>0.5</v>
      </c>
      <c r="J15" s="76">
        <v>0.5</v>
      </c>
      <c r="K15" s="76">
        <v>6.9</v>
      </c>
      <c r="L15" s="76">
        <v>6.5</v>
      </c>
      <c r="M15" s="76">
        <v>6.5</v>
      </c>
      <c r="N15" s="76">
        <v>6.1</v>
      </c>
      <c r="O15" s="76">
        <v>3.5</v>
      </c>
      <c r="P15" s="76"/>
      <c r="Q15" s="310"/>
      <c r="R15" s="77">
        <f>'9'!Z21</f>
        <v>1390</v>
      </c>
      <c r="S15" s="76">
        <f>'9'!AB21</f>
        <v>78.61723481</v>
      </c>
      <c r="T15" s="77">
        <f>'9'!Y21</f>
        <v>3266</v>
      </c>
      <c r="U15" s="73" t="str">
        <f>IF('9'!AA21=1,'9'!AR6,'9'!AR7)</f>
        <v>S.A.L</v>
      </c>
      <c r="V15" s="43"/>
      <c r="W15" s="27"/>
      <c r="X15" s="54">
        <v>0.416666666666667</v>
      </c>
      <c r="Y15" s="125">
        <v>2984.0</v>
      </c>
      <c r="Z15" s="392">
        <v>1480.0</v>
      </c>
      <c r="AA15" s="56">
        <v>1.0</v>
      </c>
      <c r="AB15" s="58">
        <f>IF('9'!AA15=1,(('9'!Z15*'9'!$AS$6*'9'!$AT$6)/('9'!Y15*0.0036)),IF('9'!AA15=2,(('9'!Z15*'9'!$AS$7*'9'!$AT$7)/('9'!Y15*0.0036))))</f>
        <v>91.61826035</v>
      </c>
      <c r="AC15" s="58"/>
      <c r="AD15" s="59">
        <f>(('9'!AC15*'9'!$Q$10*1000000))/('9'!Y15*3600)</f>
        <v>0</v>
      </c>
      <c r="AE15" s="60"/>
      <c r="AF15" s="61">
        <f>('9'!AE15/24)*0.454</f>
        <v>0</v>
      </c>
      <c r="AG15" s="60"/>
      <c r="AH15" s="61">
        <f>('9'!AG15/24)*0.454</f>
        <v>0</v>
      </c>
      <c r="AI15" s="392">
        <v>5000.0</v>
      </c>
      <c r="AJ15" s="61">
        <f>('9'!AI15/24)*0.454</f>
        <v>94.58333333</v>
      </c>
      <c r="AK15" s="62"/>
      <c r="AL15" s="63">
        <f>('9'!AK15/24)*0.454</f>
        <v>0</v>
      </c>
      <c r="AM15" s="62"/>
      <c r="AN15" s="63">
        <f>('9'!AM15/24)*0.454</f>
        <v>0</v>
      </c>
      <c r="AO15" s="64"/>
      <c r="AP15" s="63">
        <f>('9'!AO15/24)*0.454</f>
        <v>0</v>
      </c>
    </row>
    <row r="16" ht="18.75" customHeight="1">
      <c r="A16" s="69">
        <v>0.75</v>
      </c>
      <c r="B16" s="76">
        <v>118.0</v>
      </c>
      <c r="C16" s="76">
        <v>12.0</v>
      </c>
      <c r="D16" s="76">
        <v>10.0</v>
      </c>
      <c r="E16" s="76">
        <v>5.0</v>
      </c>
      <c r="F16" s="76">
        <v>31.0</v>
      </c>
      <c r="G16" s="76">
        <v>1.2</v>
      </c>
      <c r="H16" s="76">
        <v>1.1</v>
      </c>
      <c r="I16" s="76">
        <v>0.5</v>
      </c>
      <c r="J16" s="76">
        <v>0.5</v>
      </c>
      <c r="K16" s="76">
        <v>6.9</v>
      </c>
      <c r="L16" s="76">
        <v>6.5</v>
      </c>
      <c r="M16" s="76">
        <v>6.5</v>
      </c>
      <c r="N16" s="76">
        <v>6.1</v>
      </c>
      <c r="O16" s="76">
        <v>3.5</v>
      </c>
      <c r="P16" s="76"/>
      <c r="Q16" s="310"/>
      <c r="R16" s="77">
        <f>'9'!Z23</f>
        <v>1390</v>
      </c>
      <c r="S16" s="76">
        <f>'9'!AB23</f>
        <v>76.7834596</v>
      </c>
      <c r="T16" s="77">
        <f>'9'!Y23</f>
        <v>3344</v>
      </c>
      <c r="U16" s="73" t="str">
        <f>IF('9'!AA23=1,'9'!AR6,'9'!AR7)</f>
        <v>S.A.L</v>
      </c>
      <c r="V16" s="16"/>
      <c r="W16" s="18"/>
      <c r="X16" s="54">
        <v>0.458333333333333</v>
      </c>
      <c r="Y16" s="125">
        <v>3007.0</v>
      </c>
      <c r="Z16" s="392">
        <v>1480.0</v>
      </c>
      <c r="AA16" s="56">
        <v>1.0</v>
      </c>
      <c r="AB16" s="58">
        <f>IF('9'!AA16=1,(('9'!Z16*'9'!$AS$6*'9'!$AT$6)/('9'!Y16*0.0036)),IF('9'!AA16=2,(('9'!Z16*'9'!$AS$7*'9'!$AT$7)/('9'!Y16*0.0036))))</f>
        <v>90.91748882</v>
      </c>
      <c r="AC16" s="58"/>
      <c r="AD16" s="59">
        <f>(('9'!AC16*'9'!$Q$10*1000000))/('9'!Y16*3600)</f>
        <v>0</v>
      </c>
      <c r="AE16" s="60"/>
      <c r="AF16" s="61">
        <f>('9'!AE16/24)*0.454</f>
        <v>0</v>
      </c>
      <c r="AG16" s="60"/>
      <c r="AH16" s="61">
        <f>('9'!AG16/24)*0.454</f>
        <v>0</v>
      </c>
      <c r="AI16" s="392">
        <v>5000.0</v>
      </c>
      <c r="AJ16" s="61">
        <f>('9'!AI16/24)*0.454</f>
        <v>94.58333333</v>
      </c>
      <c r="AK16" s="62"/>
      <c r="AL16" s="63">
        <f>('9'!AK16/24)*0.454</f>
        <v>0</v>
      </c>
      <c r="AM16" s="62"/>
      <c r="AN16" s="63">
        <f>('9'!AM16/24)*0.454</f>
        <v>0</v>
      </c>
      <c r="AO16" s="64"/>
      <c r="AP16" s="63">
        <f>('9'!AO16/24)*0.454</f>
        <v>0</v>
      </c>
    </row>
    <row r="17" ht="18.75" customHeight="1">
      <c r="A17" s="69">
        <v>0.833333333333333</v>
      </c>
      <c r="B17" s="76">
        <v>119.0</v>
      </c>
      <c r="C17" s="76">
        <v>11.0</v>
      </c>
      <c r="D17" s="76">
        <v>10.0</v>
      </c>
      <c r="E17" s="76">
        <v>4.0</v>
      </c>
      <c r="F17" s="76">
        <v>32.0</v>
      </c>
      <c r="G17" s="76">
        <v>1.1</v>
      </c>
      <c r="H17" s="76">
        <v>1.0</v>
      </c>
      <c r="I17" s="76">
        <v>0.4</v>
      </c>
      <c r="J17" s="76">
        <v>0.5</v>
      </c>
      <c r="K17" s="76">
        <v>6.9</v>
      </c>
      <c r="L17" s="76">
        <v>6.5</v>
      </c>
      <c r="M17" s="76">
        <v>6.5</v>
      </c>
      <c r="N17" s="76">
        <v>6.1</v>
      </c>
      <c r="O17" s="76">
        <v>3.6</v>
      </c>
      <c r="P17" s="76"/>
      <c r="Q17" s="310"/>
      <c r="R17" s="77">
        <f>'9'!Z25</f>
        <v>1390</v>
      </c>
      <c r="S17" s="76">
        <f>'9'!AB25</f>
        <v>78.13873673</v>
      </c>
      <c r="T17" s="77">
        <f>'9'!Y25</f>
        <v>3286</v>
      </c>
      <c r="U17" s="73" t="str">
        <f>IF('9'!AA25=1,'9'!AR6,'9'!AR7)</f>
        <v>S.A.L</v>
      </c>
      <c r="V17" s="90" t="str">
        <f>ESCALA!$C$11</f>
        <v/>
      </c>
      <c r="W17" s="89"/>
      <c r="X17" s="54">
        <v>0.5</v>
      </c>
      <c r="Y17" s="125">
        <v>3209.0</v>
      </c>
      <c r="Z17" s="392">
        <v>1480.0</v>
      </c>
      <c r="AA17" s="56">
        <v>1.0</v>
      </c>
      <c r="AB17" s="58">
        <f>IF('9'!AA17=1,(('9'!Z17*'9'!$AS$6*'9'!$AT$6)/('9'!Y17*0.0036)),IF('9'!AA17=2,(('9'!Z17*'9'!$AS$7*'9'!$AT$7)/('9'!Y17*0.0036))))</f>
        <v>85.19441848</v>
      </c>
      <c r="AC17" s="58"/>
      <c r="AD17" s="59">
        <f>(('9'!AC17*'9'!$Q$10*1000000))/('9'!Y17*3600)</f>
        <v>0</v>
      </c>
      <c r="AE17" s="60"/>
      <c r="AF17" s="61">
        <f>('9'!AE17/24)*0.454</f>
        <v>0</v>
      </c>
      <c r="AG17" s="60"/>
      <c r="AH17" s="61">
        <f>('9'!AG17/24)*0.454</f>
        <v>0</v>
      </c>
      <c r="AI17" s="392">
        <v>5000.0</v>
      </c>
      <c r="AJ17" s="61">
        <f>('9'!AI17/24)*0.454</f>
        <v>94.58333333</v>
      </c>
      <c r="AK17" s="62"/>
      <c r="AL17" s="63">
        <f>('9'!AK17/24)*0.454</f>
        <v>0</v>
      </c>
      <c r="AM17" s="62"/>
      <c r="AN17" s="63">
        <f>('9'!AM17/24)*0.454</f>
        <v>0</v>
      </c>
      <c r="AO17" s="64"/>
      <c r="AP17" s="63">
        <f>('9'!AO17/24)*0.454</f>
        <v>0</v>
      </c>
    </row>
    <row r="18" ht="19.5" customHeight="1">
      <c r="A18" s="69">
        <v>0.916666666666667</v>
      </c>
      <c r="B18" s="76">
        <v>119.0</v>
      </c>
      <c r="C18" s="76">
        <v>11.0</v>
      </c>
      <c r="D18" s="76">
        <v>10.0</v>
      </c>
      <c r="E18" s="76">
        <v>4.0</v>
      </c>
      <c r="F18" s="76">
        <v>31.0</v>
      </c>
      <c r="G18" s="76">
        <v>1.0</v>
      </c>
      <c r="H18" s="76">
        <v>1.0</v>
      </c>
      <c r="I18" s="76">
        <v>0.4</v>
      </c>
      <c r="J18" s="76">
        <v>0.5</v>
      </c>
      <c r="K18" s="76">
        <v>6.9</v>
      </c>
      <c r="L18" s="76">
        <v>6.5</v>
      </c>
      <c r="M18" s="76">
        <v>6.5</v>
      </c>
      <c r="N18" s="76">
        <v>6.1</v>
      </c>
      <c r="O18" s="76">
        <v>3.6</v>
      </c>
      <c r="P18" s="76"/>
      <c r="Q18" s="310"/>
      <c r="R18" s="77">
        <f>'9'!Z27</f>
        <v>1390</v>
      </c>
      <c r="S18" s="76">
        <f>'9'!AB27</f>
        <v>78.21013978</v>
      </c>
      <c r="T18" s="77">
        <f>'9'!Y27</f>
        <v>3283</v>
      </c>
      <c r="U18" s="73" t="str">
        <f>IF('9'!AA27=1,'9'!AR6,'9'!AR7)</f>
        <v>S.A.L</v>
      </c>
      <c r="V18" s="16"/>
      <c r="W18" s="18"/>
      <c r="X18" s="54">
        <v>0.541666666666667</v>
      </c>
      <c r="Y18" s="125">
        <v>3214.0</v>
      </c>
      <c r="Z18" s="392">
        <v>1480.0</v>
      </c>
      <c r="AA18" s="56">
        <v>1.0</v>
      </c>
      <c r="AB18" s="58">
        <f>IF('9'!AA18=1,(('9'!Z18*'9'!$AS$6*'9'!$AT$6)/('9'!Y18*0.0036)),IF('9'!AA18=2,(('9'!Z18*'9'!$AS$7*'9'!$AT$7)/('9'!Y18*0.0036))))</f>
        <v>85.06188204</v>
      </c>
      <c r="AC18" s="58"/>
      <c r="AD18" s="59">
        <f>(('9'!AC18*'9'!$Q$10*1000000))/('9'!Y18*3600)</f>
        <v>0</v>
      </c>
      <c r="AE18" s="60"/>
      <c r="AF18" s="61">
        <f>('9'!AE18/24)*0.454</f>
        <v>0</v>
      </c>
      <c r="AG18" s="60"/>
      <c r="AH18" s="61">
        <f>('9'!AG18/24)*0.454</f>
        <v>0</v>
      </c>
      <c r="AI18" s="392">
        <v>5000.0</v>
      </c>
      <c r="AJ18" s="61">
        <f>('9'!AI18/24)*0.454</f>
        <v>94.58333333</v>
      </c>
      <c r="AK18" s="62"/>
      <c r="AL18" s="63">
        <f>('9'!AK18/24)*0.454</f>
        <v>0</v>
      </c>
      <c r="AM18" s="62"/>
      <c r="AN18" s="63">
        <f>('9'!AM18/24)*0.454</f>
        <v>0</v>
      </c>
      <c r="AO18" s="64"/>
      <c r="AP18" s="63">
        <f>('9'!AO18/24)*0.454</f>
        <v>0</v>
      </c>
    </row>
    <row r="19" ht="18.75" customHeight="1">
      <c r="A19" s="51" t="s">
        <v>52</v>
      </c>
      <c r="B19" s="91">
        <f t="array" ref="B19">IF('9'!B7:B18&gt;0.01,AVERAGE('9'!B7:B18),"")</f>
        <v>148.75</v>
      </c>
      <c r="C19" s="92">
        <f t="array" ref="C19">IF('9'!C7:C18&gt;0.01,AVERAGE('9'!C7:C18),"")</f>
        <v>12.16666667</v>
      </c>
      <c r="D19" s="92">
        <f t="array" ref="D19">IF('9'!D7:D18&gt;0.01,AVERAGE('9'!D7:D18),"")</f>
        <v>10.08333333</v>
      </c>
      <c r="E19" s="92">
        <f t="array" ref="E19">IF('9'!E7:E18&gt;0.01,AVERAGE('9'!E7:E18),"")</f>
        <v>5.583333333</v>
      </c>
      <c r="F19" s="92">
        <f t="array" ref="F19">IF('9'!F7:F18&gt;0.01,AVERAGE('9'!F7:F18),"")</f>
        <v>29.58333333</v>
      </c>
      <c r="G19" s="92">
        <f t="array" ref="G19">IF('9'!G7:G18&gt;0.01,AVERAGE('9'!G7:G18),"")</f>
        <v>1.1675</v>
      </c>
      <c r="H19" s="92">
        <f t="array" ref="H19">IF('9'!H7:H18&gt;0.01,AVERAGE('9'!H7:H18),"")</f>
        <v>1.058333333</v>
      </c>
      <c r="I19" s="92">
        <f t="array" ref="I19">IF('9'!I7:I18&gt;0.01,AVERAGE('9'!I7:I18),"")</f>
        <v>0.5416666667</v>
      </c>
      <c r="J19" s="92">
        <f t="array" ref="J19">IF('9'!J7:J18&gt;0.01,AVERAGE('9'!J7:J18),"")</f>
        <v>0.5583333333</v>
      </c>
      <c r="K19" s="92">
        <f t="array" ref="K19">IF('9'!K7:K18&gt;0.01,AVERAGE('9'!K7:K18),"")</f>
        <v>6.9</v>
      </c>
      <c r="L19" s="92">
        <f t="array" ref="L19">IF('9'!L7:L18&gt;0.01,AVERAGE('9'!L7:L18),"")</f>
        <v>6.5</v>
      </c>
      <c r="M19" s="92">
        <f t="array" ref="M19">IF('9'!M7:M18&gt;0.01,AVERAGE('9'!M7:M18),"")</f>
        <v>6.5</v>
      </c>
      <c r="N19" s="92">
        <f t="array" ref="N19">IF('9'!N7:N18&gt;0.01,AVERAGE('9'!N7:N18),"")</f>
        <v>6.1</v>
      </c>
      <c r="O19" s="92">
        <f t="array" ref="O19">IF('9'!O7:O18&gt;0.01,AVERAGE('9'!O7:O18),"")</f>
        <v>3.5</v>
      </c>
      <c r="P19" s="92" t="str">
        <f t="array" ref="P19">IF('9'!P7:P18&gt;0.01,AVERAGE('9'!P7:P18),"")</f>
        <v/>
      </c>
      <c r="Q19" s="92" t="str">
        <f t="array" ref="Q19">IF('9'!Q7:Q18&gt;0.01,AVERAGE('9'!Q7:Q18),"")</f>
        <v/>
      </c>
      <c r="R19" s="92">
        <f t="array" ref="R19">IF('9'!R7:R18&gt;0.01,AVERAGE('9'!R7:R18),"")</f>
        <v>1450</v>
      </c>
      <c r="S19" s="94">
        <f t="array" ref="S19">IF('9'!S7:S18&gt;0.01,AVERAGE('9'!S7:S18),"")</f>
        <v>81.72291481</v>
      </c>
      <c r="T19" s="95"/>
      <c r="U19" s="96"/>
      <c r="V19" s="97"/>
      <c r="W19" s="97"/>
      <c r="X19" s="54">
        <v>0.583333333333333</v>
      </c>
      <c r="Y19" s="125">
        <v>3327.0</v>
      </c>
      <c r="Z19" s="392">
        <v>1480.0</v>
      </c>
      <c r="AA19" s="56">
        <v>1.0</v>
      </c>
      <c r="AB19" s="58">
        <f>IF('9'!AA19=1,(('9'!Z19*'9'!$AS$6*'9'!$AT$6)/('9'!Y19*0.0036)),IF('9'!AA19=2,(('9'!Z19*'9'!$AS$7*'9'!$AT$7)/('9'!Y19*0.0036))))</f>
        <v>82.17279498</v>
      </c>
      <c r="AC19" s="58"/>
      <c r="AD19" s="59">
        <f>(('9'!AC19*'9'!$Q$10*1000000))/('9'!Y19*3600)</f>
        <v>0</v>
      </c>
      <c r="AE19" s="60"/>
      <c r="AF19" s="61">
        <f>('9'!AE19/24)*0.454</f>
        <v>0</v>
      </c>
      <c r="AG19" s="60"/>
      <c r="AH19" s="61">
        <f>('9'!AG19/24)*0.454</f>
        <v>0</v>
      </c>
      <c r="AI19" s="392">
        <v>5000.0</v>
      </c>
      <c r="AJ19" s="61">
        <f>('9'!AI19/24)*0.454</f>
        <v>94.58333333</v>
      </c>
      <c r="AK19" s="62"/>
      <c r="AL19" s="63">
        <f>('9'!AK19/24)*0.454</f>
        <v>0</v>
      </c>
      <c r="AM19" s="62"/>
      <c r="AN19" s="63">
        <f>('9'!AM19/24)*0.454</f>
        <v>0</v>
      </c>
      <c r="AO19" s="64"/>
      <c r="AP19" s="63">
        <f>('9'!AO19/24)*0.454</f>
        <v>0</v>
      </c>
    </row>
    <row r="20" ht="18.75" customHeight="1">
      <c r="A20" s="51" t="s">
        <v>53</v>
      </c>
      <c r="B20" s="91">
        <f>MAX('9'!B7:B18)</f>
        <v>223</v>
      </c>
      <c r="C20" s="92">
        <f>MAX('9'!C7:C18)</f>
        <v>14</v>
      </c>
      <c r="D20" s="92">
        <f>MAX('9'!D7:D18)</f>
        <v>11</v>
      </c>
      <c r="E20" s="92">
        <f>MAX('9'!E7:E18)</f>
        <v>7</v>
      </c>
      <c r="F20" s="92">
        <f>MAX('9'!F7:F18)</f>
        <v>32</v>
      </c>
      <c r="G20" s="92">
        <f>MAX('9'!G7:G18)</f>
        <v>1.4</v>
      </c>
      <c r="H20" s="92">
        <f>MAX('9'!H7:H18)</f>
        <v>1.2</v>
      </c>
      <c r="I20" s="92">
        <f>MAX('9'!I7:I18)</f>
        <v>0.8</v>
      </c>
      <c r="J20" s="92">
        <f>MAX('9'!J7:J18)</f>
        <v>0.7</v>
      </c>
      <c r="K20" s="92">
        <f>MAX('9'!K8:K18)</f>
        <v>6.9</v>
      </c>
      <c r="L20" s="92">
        <f>MAX('9'!L8:L18)</f>
        <v>6.5</v>
      </c>
      <c r="M20" s="92">
        <f>MAX('9'!M8:M18)</f>
        <v>6.5</v>
      </c>
      <c r="N20" s="92">
        <f>MAX('9'!N8:N18)</f>
        <v>6.1</v>
      </c>
      <c r="O20" s="98">
        <f>MAX('9'!O7:O18)</f>
        <v>3.6</v>
      </c>
      <c r="P20" s="98">
        <f>MAX('9'!P7:P18)</f>
        <v>0</v>
      </c>
      <c r="Q20" s="98">
        <f>MAX('9'!Q7:Q18)</f>
        <v>0</v>
      </c>
      <c r="R20" s="98">
        <f>MAX('9'!R7:R18)</f>
        <v>1480</v>
      </c>
      <c r="S20" s="98">
        <f>MAX('9'!S7:S18)</f>
        <v>91.61826035</v>
      </c>
      <c r="T20" s="99"/>
      <c r="U20" s="21"/>
      <c r="X20" s="54">
        <v>0.625</v>
      </c>
      <c r="Y20" s="125">
        <v>3361.0</v>
      </c>
      <c r="Z20" s="392">
        <v>1480.0</v>
      </c>
      <c r="AA20" s="56">
        <v>1.0</v>
      </c>
      <c r="AB20" s="58">
        <f>IF('9'!AA20=1,(('9'!Z20*'9'!$AS$6*'9'!$AT$6)/('9'!Y20*0.0036)),IF('9'!AA20=2,(('9'!Z20*'9'!$AS$7*'9'!$AT$7)/('9'!Y20*0.0036))))</f>
        <v>81.34153195</v>
      </c>
      <c r="AC20" s="58"/>
      <c r="AD20" s="59">
        <f>(('9'!AC20*'9'!$Q$10*1000000))/('9'!Y20*3600)</f>
        <v>0</v>
      </c>
      <c r="AE20" s="60"/>
      <c r="AF20" s="61">
        <f>('9'!AE20/24)*0.454</f>
        <v>0</v>
      </c>
      <c r="AG20" s="60"/>
      <c r="AH20" s="61">
        <f>('9'!AG20/24)*0.454</f>
        <v>0</v>
      </c>
      <c r="AI20" s="392">
        <v>5000.0</v>
      </c>
      <c r="AJ20" s="61">
        <f>('9'!AI20/24)*0.454</f>
        <v>94.58333333</v>
      </c>
      <c r="AK20" s="62"/>
      <c r="AL20" s="63">
        <f>('9'!AK20/24)*0.454</f>
        <v>0</v>
      </c>
      <c r="AM20" s="62"/>
      <c r="AN20" s="63">
        <f>('9'!AM20/24)*0.454</f>
        <v>0</v>
      </c>
      <c r="AO20" s="64"/>
      <c r="AP20" s="63">
        <f>('9'!AO20/24)*0.454</f>
        <v>0</v>
      </c>
    </row>
    <row r="21" ht="19.5" customHeight="1">
      <c r="A21" s="51" t="s">
        <v>54</v>
      </c>
      <c r="B21" s="91">
        <f>MIN('9'!B7:B18)</f>
        <v>108</v>
      </c>
      <c r="C21" s="92">
        <f>MIN('9'!C7:C18)</f>
        <v>11</v>
      </c>
      <c r="D21" s="92">
        <f>MIN('9'!D7:D18)</f>
        <v>9</v>
      </c>
      <c r="E21" s="92">
        <f>MIN('9'!E7:E18)</f>
        <v>4</v>
      </c>
      <c r="F21" s="92">
        <f>MIN('9'!F7:F18)</f>
        <v>26</v>
      </c>
      <c r="G21" s="100">
        <f>MIN('9'!G7:G18)</f>
        <v>0.91</v>
      </c>
      <c r="H21" s="100">
        <f>MIN('9'!H7:H18)</f>
        <v>0.9</v>
      </c>
      <c r="I21" s="100">
        <f>MIN('9'!I7:I18)</f>
        <v>0.4</v>
      </c>
      <c r="J21" s="100">
        <f>MIN('9'!J7:J18)</f>
        <v>0.5</v>
      </c>
      <c r="K21" s="100">
        <f>MIN('9'!K8:K18)</f>
        <v>6.9</v>
      </c>
      <c r="L21" s="100">
        <f>MIN('9'!L8:L18)</f>
        <v>6.5</v>
      </c>
      <c r="M21" s="100">
        <f>MIN('9'!M8:M18)</f>
        <v>6.5</v>
      </c>
      <c r="N21" s="100">
        <f>MIN('9'!N8:N18)</f>
        <v>6.1</v>
      </c>
      <c r="O21" s="101">
        <f>MIN('9'!O7:O18)</f>
        <v>3.3</v>
      </c>
      <c r="P21" s="101">
        <f>MIN('9'!P7:P18)</f>
        <v>0</v>
      </c>
      <c r="Q21" s="101">
        <f>MIN('9'!Q7:Q18)</f>
        <v>0</v>
      </c>
      <c r="R21" s="101">
        <f>MIN('9'!R7:R18)</f>
        <v>1390</v>
      </c>
      <c r="S21" s="101">
        <f>MIN('9'!S7:S18)</f>
        <v>76.7834596</v>
      </c>
      <c r="T21" s="99"/>
      <c r="U21" s="21"/>
      <c r="X21" s="54">
        <v>0.666666666666667</v>
      </c>
      <c r="Y21" s="125">
        <v>3266.0</v>
      </c>
      <c r="Z21" s="392">
        <v>1390.0</v>
      </c>
      <c r="AA21" s="56">
        <v>1.0</v>
      </c>
      <c r="AB21" s="58">
        <f>IF('9'!AA21=1,(('9'!Z21*'9'!$AS$6*'9'!$AT$6)/('9'!Y21*0.0036)),IF('9'!AA21=2,(('9'!Z21*'9'!$AS$7*'9'!$AT$7)/('9'!Y21*0.0036))))</f>
        <v>78.61723481</v>
      </c>
      <c r="AC21" s="58"/>
      <c r="AD21" s="59">
        <f>(('9'!AC21*'9'!$Q$10*1000000))/('9'!Y21*3600)</f>
        <v>0</v>
      </c>
      <c r="AE21" s="60"/>
      <c r="AF21" s="61">
        <f>('9'!AE21/24)*0.454</f>
        <v>0</v>
      </c>
      <c r="AG21" s="60"/>
      <c r="AH21" s="61">
        <f>('9'!AG21/24)*0.454</f>
        <v>0</v>
      </c>
      <c r="AI21" s="392">
        <v>5000.0</v>
      </c>
      <c r="AJ21" s="61">
        <f>('9'!AI21/24)*0.454</f>
        <v>94.58333333</v>
      </c>
      <c r="AK21" s="62"/>
      <c r="AL21" s="63">
        <f>('9'!AK21/24)*0.454</f>
        <v>0</v>
      </c>
      <c r="AM21" s="62"/>
      <c r="AN21" s="63">
        <f>('9'!AM21/24)*0.454</f>
        <v>0</v>
      </c>
      <c r="AO21" s="64"/>
      <c r="AP21" s="63">
        <f>('9'!AO21/24)*0.454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3401.0</v>
      </c>
      <c r="Z22" s="392">
        <v>1390.0</v>
      </c>
      <c r="AA22" s="56">
        <v>1.0</v>
      </c>
      <c r="AB22" s="58">
        <f>IF('9'!AA22=1,(('9'!Z22*'9'!$AS$6*'9'!$AT$6)/('9'!Y22*0.0036)),IF('9'!AA22=2,(('9'!Z22*'9'!$AS$7*'9'!$AT$7)/('9'!Y22*0.0036))))</f>
        <v>75.49658597</v>
      </c>
      <c r="AC22" s="58"/>
      <c r="AD22" s="59">
        <f>(('9'!AC22*'9'!$Q$10*1000000))/('9'!Y22*3600)</f>
        <v>0</v>
      </c>
      <c r="AE22" s="60"/>
      <c r="AF22" s="61">
        <f>('9'!AE22/24)*0.454</f>
        <v>0</v>
      </c>
      <c r="AG22" s="60"/>
      <c r="AH22" s="61">
        <f>('9'!AG22/24)*0.454</f>
        <v>0</v>
      </c>
      <c r="AI22" s="392">
        <v>5000.0</v>
      </c>
      <c r="AJ22" s="61">
        <f>('9'!AI22/24)*0.454</f>
        <v>94.58333333</v>
      </c>
      <c r="AK22" s="62"/>
      <c r="AL22" s="63">
        <f>('9'!AK22/24)*0.454</f>
        <v>0</v>
      </c>
      <c r="AM22" s="62"/>
      <c r="AN22" s="63">
        <f>('9'!AM22/24)*0.454</f>
        <v>0</v>
      </c>
      <c r="AO22" s="64"/>
      <c r="AP22" s="63">
        <f>('9'!AO22/24)*0.454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/>
      <c r="S23" s="107" t="s">
        <v>57</v>
      </c>
      <c r="T23" s="99"/>
      <c r="U23" s="21"/>
      <c r="X23" s="54">
        <v>0.75</v>
      </c>
      <c r="Y23" s="125">
        <v>3344.0</v>
      </c>
      <c r="Z23" s="392">
        <v>1390.0</v>
      </c>
      <c r="AA23" s="56">
        <v>1.0</v>
      </c>
      <c r="AB23" s="58">
        <f>IF('9'!AA23=1,(('9'!Z23*'9'!$AS$6*'9'!$AT$6)/('9'!Y23*0.0036)),IF('9'!AA23=2,(('9'!Z23*'9'!$AS$7*'9'!$AT$7)/('9'!Y23*0.0036))))</f>
        <v>76.7834596</v>
      </c>
      <c r="AC23" s="58"/>
      <c r="AD23" s="59">
        <f>(('9'!AC23*'9'!$Q$10*1000000))/('9'!Y23*3600)</f>
        <v>0</v>
      </c>
      <c r="AE23" s="60"/>
      <c r="AF23" s="61">
        <f>('9'!AE23/24)*0.454</f>
        <v>0</v>
      </c>
      <c r="AG23" s="60"/>
      <c r="AH23" s="61">
        <f>('9'!AG23/24)*0.454</f>
        <v>0</v>
      </c>
      <c r="AI23" s="392">
        <v>5000.0</v>
      </c>
      <c r="AJ23" s="61">
        <f>('9'!AI23/24)*0.454</f>
        <v>94.58333333</v>
      </c>
      <c r="AK23" s="62"/>
      <c r="AL23" s="63">
        <f>('9'!AK23/24)*0.454</f>
        <v>0</v>
      </c>
      <c r="AM23" s="62"/>
      <c r="AN23" s="63">
        <f>('9'!AM23/24)*0.454</f>
        <v>0</v>
      </c>
      <c r="AO23" s="64"/>
      <c r="AP23" s="63">
        <f>('9'!AO23/24)*0.454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3293.0</v>
      </c>
      <c r="Z24" s="392">
        <v>1390.0</v>
      </c>
      <c r="AA24" s="56">
        <v>1.0</v>
      </c>
      <c r="AB24" s="57">
        <f>IF('9'!AA24=1,(('9'!Z24*'9'!$AS$6*'9'!$AT$6)/('9'!Y24*0.0036)),IF('9'!AA24=2,(('9'!Z24*'9'!$AS$7*'9'!$AT$7)/('9'!Y24*0.0036))))</f>
        <v>77.97263556</v>
      </c>
      <c r="AC24" s="57"/>
      <c r="AD24" s="154">
        <f>(('9'!AC24*'9'!$Q$10*1000000))/('9'!Y24*3600)</f>
        <v>0</v>
      </c>
      <c r="AE24" s="60"/>
      <c r="AF24" s="311">
        <f>('9'!AE24/24)*0.454</f>
        <v>0</v>
      </c>
      <c r="AG24" s="125"/>
      <c r="AH24" s="311">
        <f>('9'!AG24/24)*0.454</f>
        <v>0</v>
      </c>
      <c r="AI24" s="392">
        <v>5000.0</v>
      </c>
      <c r="AJ24" s="311">
        <f>('9'!AI24/24)*0.454</f>
        <v>94.58333333</v>
      </c>
      <c r="AK24" s="62"/>
      <c r="AL24" s="110">
        <f>('9'!AK24/24)*0.454</f>
        <v>0</v>
      </c>
      <c r="AM24" s="312"/>
      <c r="AN24" s="110">
        <f>('9'!AM24/24)*0.454</f>
        <v>0</v>
      </c>
      <c r="AO24" s="64"/>
      <c r="AP24" s="110">
        <f>('9'!AO24/24)*0.454</f>
        <v>0</v>
      </c>
    </row>
    <row r="25" ht="19.5" customHeight="1">
      <c r="A25" s="111">
        <v>0.416666666666667</v>
      </c>
      <c r="B25" s="396"/>
      <c r="C25" s="396"/>
      <c r="D25" s="396"/>
      <c r="E25" s="396"/>
      <c r="F25" s="396"/>
      <c r="G25" s="396"/>
      <c r="H25" s="396"/>
      <c r="I25" s="396"/>
      <c r="J25" s="396"/>
      <c r="K25" s="396"/>
      <c r="L25" s="396"/>
      <c r="M25" s="396"/>
      <c r="N25" s="396"/>
      <c r="O25" s="396"/>
      <c r="P25" s="396"/>
      <c r="Q25" s="396"/>
      <c r="R25" s="112" t="str">
        <f t="shared" ref="R25:R26" si="1">#DIV/0!</f>
        <v>#DIV/0!</v>
      </c>
      <c r="S25" s="113"/>
      <c r="T25" s="397" t="s">
        <v>0</v>
      </c>
      <c r="U25" s="361">
        <f>ESCALA!$A$11</f>
        <v>43930</v>
      </c>
      <c r="X25" s="54">
        <v>0.833333333333333</v>
      </c>
      <c r="Y25" s="125">
        <v>3286.0</v>
      </c>
      <c r="Z25" s="392">
        <v>1390.0</v>
      </c>
      <c r="AA25" s="56">
        <v>1.0</v>
      </c>
      <c r="AB25" s="58">
        <f>IF('9'!AA25=1,(('9'!Z25*'9'!$AS$6*'9'!$AT$6)/('9'!Y25*0.0036)),IF('9'!AA25=2,(('9'!Z25*'9'!$AS$7*'9'!$AT$7)/('9'!Y25*0.0036))))</f>
        <v>78.13873673</v>
      </c>
      <c r="AC25" s="58"/>
      <c r="AD25" s="59">
        <f>(('9'!AC25*'9'!$Q$10*1000000))/('9'!Y25*3600)</f>
        <v>0</v>
      </c>
      <c r="AE25" s="60"/>
      <c r="AF25" s="61">
        <f>('9'!AE25/24)*0.454</f>
        <v>0</v>
      </c>
      <c r="AG25" s="60"/>
      <c r="AH25" s="61">
        <f>('9'!AG25/24)*0.454</f>
        <v>0</v>
      </c>
      <c r="AI25" s="392">
        <v>5000.0</v>
      </c>
      <c r="AJ25" s="61">
        <f>('9'!AI25/24)*0.454</f>
        <v>94.58333333</v>
      </c>
      <c r="AK25" s="62"/>
      <c r="AL25" s="63">
        <f>('9'!AK25/24)*0.454</f>
        <v>0</v>
      </c>
      <c r="AM25" s="62"/>
      <c r="AN25" s="63">
        <f>('9'!AM25/24)*0.454</f>
        <v>0</v>
      </c>
      <c r="AO25" s="64"/>
      <c r="AP25" s="63">
        <f>('9'!AO25/24)*0.454</f>
        <v>0</v>
      </c>
    </row>
    <row r="26" ht="19.5" customHeight="1">
      <c r="A26" s="111">
        <v>0.666666666666667</v>
      </c>
      <c r="B26" s="108">
        <v>0.58</v>
      </c>
      <c r="C26" s="108">
        <v>0.64</v>
      </c>
      <c r="D26" s="108">
        <v>0.57</v>
      </c>
      <c r="E26" s="258">
        <v>0.61</v>
      </c>
      <c r="F26" s="258">
        <v>0.66</v>
      </c>
      <c r="G26" s="258"/>
      <c r="H26" s="258">
        <v>0.65</v>
      </c>
      <c r="I26" s="258">
        <v>0.6</v>
      </c>
      <c r="J26" s="258"/>
      <c r="K26" s="258">
        <v>0.57</v>
      </c>
      <c r="L26" s="258">
        <v>0.56</v>
      </c>
      <c r="M26" s="258">
        <v>0.61</v>
      </c>
      <c r="N26" s="258">
        <v>0.53</v>
      </c>
      <c r="O26" s="258">
        <v>0.58</v>
      </c>
      <c r="P26" s="258">
        <v>0.49</v>
      </c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125">
        <v>3294.0</v>
      </c>
      <c r="Z26" s="392">
        <v>1390.0</v>
      </c>
      <c r="AA26" s="56">
        <v>1.0</v>
      </c>
      <c r="AB26" s="58">
        <f>IF('9'!AA26=1,(('9'!Z26*'9'!$AS$6*'9'!$AT$6)/('9'!Y26*0.0036)),IF('9'!AA26=2,(('9'!Z26*'9'!$AS$7*'9'!$AT$7)/('9'!Y26*0.0036))))</f>
        <v>77.94896445</v>
      </c>
      <c r="AC26" s="58"/>
      <c r="AD26" s="59">
        <f>(('9'!AC26*'9'!$Q$10*1000000))/('9'!Y26*3600)</f>
        <v>0</v>
      </c>
      <c r="AE26" s="60"/>
      <c r="AF26" s="61">
        <f>('9'!AE26/24)*0.454</f>
        <v>0</v>
      </c>
      <c r="AG26" s="60"/>
      <c r="AH26" s="61">
        <f>('9'!AG26/24)*0.454</f>
        <v>0</v>
      </c>
      <c r="AI26" s="392">
        <v>5000.0</v>
      </c>
      <c r="AJ26" s="61">
        <f>('9'!AI26/24)*0.454</f>
        <v>94.58333333</v>
      </c>
      <c r="AK26" s="62"/>
      <c r="AL26" s="63">
        <f>('9'!AK26/24)*0.454</f>
        <v>0</v>
      </c>
      <c r="AM26" s="62"/>
      <c r="AN26" s="63">
        <f>('9'!AM26/24)*0.454</f>
        <v>0</v>
      </c>
      <c r="AO26" s="64"/>
      <c r="AP26" s="63">
        <f>('9'!AO26/24)*0.454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3283.0</v>
      </c>
      <c r="Z27" s="392">
        <v>1390.0</v>
      </c>
      <c r="AA27" s="56">
        <v>1.0</v>
      </c>
      <c r="AB27" s="58">
        <f>IF('9'!AA27=1,(('9'!Z27*'9'!$AS$6*'9'!$AT$6)/('9'!Y27*0.0036)),IF('9'!AA27=2,(('9'!Z27*'9'!$AS$7*'9'!$AT$7)/('9'!Y27*0.0036))))</f>
        <v>78.21013978</v>
      </c>
      <c r="AC27" s="58"/>
      <c r="AD27" s="59">
        <f>(('9'!AC27*'9'!$Q$10*1000000))/('9'!Y27*3600)</f>
        <v>0</v>
      </c>
      <c r="AE27" s="60"/>
      <c r="AF27" s="61">
        <f>('9'!AE27/24)*0.454</f>
        <v>0</v>
      </c>
      <c r="AG27" s="60"/>
      <c r="AH27" s="61">
        <f>('9'!AG27/24)*0.454</f>
        <v>0</v>
      </c>
      <c r="AI27" s="392">
        <v>5000.0</v>
      </c>
      <c r="AJ27" s="61">
        <f>('9'!AI27/24)*0.454</f>
        <v>94.58333333</v>
      </c>
      <c r="AK27" s="62"/>
      <c r="AL27" s="63">
        <f>('9'!AK27/24)*0.454</f>
        <v>0</v>
      </c>
      <c r="AM27" s="62"/>
      <c r="AN27" s="63">
        <f>('9'!AM27/24)*0.454</f>
        <v>0</v>
      </c>
      <c r="AO27" s="64"/>
      <c r="AP27" s="63">
        <f>('9'!AO27/24)*0.454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3286.0</v>
      </c>
      <c r="Z28" s="392">
        <v>1390.0</v>
      </c>
      <c r="AA28" s="56">
        <v>1.0</v>
      </c>
      <c r="AB28" s="58">
        <f>IF('9'!AA28=1,(('9'!Z28*'9'!$AS$6*'9'!$AT$6)/('9'!Y28*0.0036)),IF('9'!AA28=2,(('9'!Z28*'9'!$AS$7*'9'!$AT$7)/('9'!Y28*0.0036))))</f>
        <v>78.13873673</v>
      </c>
      <c r="AC28" s="58"/>
      <c r="AD28" s="59">
        <f>(('9'!AC28*'9'!$Q$10*1000000))/('9'!Y28*3600)</f>
        <v>0</v>
      </c>
      <c r="AE28" s="60"/>
      <c r="AF28" s="61">
        <f>('9'!AE28/24)*0.454</f>
        <v>0</v>
      </c>
      <c r="AG28" s="60"/>
      <c r="AH28" s="61">
        <f>('9'!AG28/24)*0.454</f>
        <v>0</v>
      </c>
      <c r="AI28" s="392">
        <v>5000.0</v>
      </c>
      <c r="AJ28" s="61">
        <f>('9'!AI28/24)*0.454</f>
        <v>94.58333333</v>
      </c>
      <c r="AK28" s="62"/>
      <c r="AL28" s="63">
        <f>('9'!AK28/24)*0.454</f>
        <v>0</v>
      </c>
      <c r="AM28" s="62"/>
      <c r="AN28" s="63">
        <f>('9'!AM28/24)*0.454</f>
        <v>0</v>
      </c>
      <c r="AO28" s="64"/>
      <c r="AP28" s="63">
        <f>('9'!AO28/24)*0.454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/>
      <c r="Z29" s="392">
        <v>1390.0</v>
      </c>
      <c r="AA29" s="56">
        <v>1.0</v>
      </c>
      <c r="AB29" s="58" t="str">
        <f>IF('9'!AA29=1,(('9'!Z29*'9'!$AS$6*'9'!$AT$6)/('9'!Y29*0.0036)),IF('9'!AA29=2,(('9'!Z29*'9'!$AS$7*'9'!$AT$7)/('9'!Y29*0.0036))))</f>
        <v>#DIV/0!</v>
      </c>
      <c r="AC29" s="58"/>
      <c r="AD29" s="59" t="str">
        <f>(('9'!AC29*'9'!$Q$10*1000000))/('9'!Y29*3600)</f>
        <v>#DIV/0!</v>
      </c>
      <c r="AE29" s="60"/>
      <c r="AF29" s="61">
        <f>('9'!AE29/24)*0.454</f>
        <v>0</v>
      </c>
      <c r="AG29" s="60"/>
      <c r="AH29" s="61">
        <f>('9'!AG29/24)*0.454</f>
        <v>0</v>
      </c>
      <c r="AI29" s="392">
        <v>5000.0</v>
      </c>
      <c r="AJ29" s="61">
        <f>('9'!AI29/24)*0.454</f>
        <v>94.58333333</v>
      </c>
      <c r="AK29" s="62"/>
      <c r="AL29" s="63">
        <f>('9'!AK29/24)*0.454</f>
        <v>0</v>
      </c>
      <c r="AM29" s="62"/>
      <c r="AN29" s="63">
        <f>('9'!AM29/24)*0.454</f>
        <v>0</v>
      </c>
      <c r="AO29" s="64"/>
      <c r="AP29" s="63">
        <f>('9'!AO29/24)*0.454</f>
        <v>0</v>
      </c>
    </row>
    <row r="30" ht="18.75" customHeight="1">
      <c r="A30" s="43"/>
      <c r="U30" s="27"/>
      <c r="X30" s="130" t="s">
        <v>55</v>
      </c>
      <c r="Y30" s="131">
        <f>SUM('9'!Y6:Y29)*3.6</f>
        <v>271278</v>
      </c>
      <c r="Z30" s="132">
        <f>SUM('9'!Z6:Z29)</f>
        <v>34710</v>
      </c>
      <c r="AA30" s="133"/>
      <c r="AB30" s="132"/>
      <c r="AC30" s="133"/>
      <c r="AD30" s="132"/>
      <c r="AE30" s="60"/>
      <c r="AF30" s="61">
        <f>SUM('9'!AF6:AF29)</f>
        <v>0</v>
      </c>
      <c r="AG30" s="60"/>
      <c r="AH30" s="61">
        <f>SUM('9'!AH6:AH29)</f>
        <v>0</v>
      </c>
      <c r="AI30" s="60"/>
      <c r="AJ30" s="61">
        <f>SUM('9'!AJ6:AJ29)</f>
        <v>2270</v>
      </c>
      <c r="AK30" s="62"/>
      <c r="AL30" s="63">
        <f>SUM('9'!AL6:AL29)</f>
        <v>0</v>
      </c>
      <c r="AM30" s="62"/>
      <c r="AN30" s="63">
        <f>SUM('9'!AN6:AN29)</f>
        <v>0</v>
      </c>
      <c r="AO30" s="62"/>
      <c r="AP30" s="63">
        <f>SUM('9'!AP6:AP29)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SUMIF('9'!AA6:AA29,"=1",'9'!Z6:Z29)</f>
        <v>34710</v>
      </c>
      <c r="AA32" s="132">
        <f>'9'!Z32*'9'!AS6</f>
        <v>46164.3</v>
      </c>
      <c r="AB32" s="139" t="str">
        <f>SUMIF('9'!$AA$6:$AA$29,"=1",'9'!$AB$6:$AB$29)/COUNTIF('9'!$AA$6:$AA$29,"=1")</f>
        <v>#DIV/0!</v>
      </c>
      <c r="AC32" s="140">
        <f>SUMIF('9'!AA6:AA29,"=1",'9'!AC6:AC29)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SUMIF('9'!AA6:AA29,"=2",'9'!Z6:Z29)</f>
        <v>0</v>
      </c>
      <c r="AA33" s="132">
        <f>'9'!Z33*'9'!AS7</f>
        <v>0</v>
      </c>
      <c r="AB33" s="139" t="str">
        <f>SUMIF('9'!$AA$6:$AA$29,"=2",'9'!$AB$6:$AB$29)/COUNTIF('9'!$AA$6:$AA$29,"=2")</f>
        <v>#DIV/0!</v>
      </c>
      <c r="AC33" s="145">
        <f>SUMIF('9'!AA6:AA29,"=2",'9'!AC6:AC29)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AVERAGE('9'!Y6:Y29)</f>
        <v>3276.304348</v>
      </c>
      <c r="Z34" s="56">
        <f>AVERAGE('9'!Z6:Z29)</f>
        <v>1446.25</v>
      </c>
      <c r="AA34" s="152"/>
      <c r="AB34" s="152"/>
      <c r="AC34" s="153" t="str">
        <f>SUM('9'!AC6:AC29)/COUNTIF('9'!AC6:AC29,"&lt;&gt;0")</f>
        <v>#DIV/0!</v>
      </c>
      <c r="AD34" s="154" t="str">
        <f>SUM('9'!AD6:AD29)/COUNTIF('9'!AD6:AD29,"&lt;&gt;0")</f>
        <v>#DIV/0!</v>
      </c>
      <c r="AE34" s="133"/>
      <c r="AF34" s="153">
        <f>AVERAGE('9'!AF6:AF29)</f>
        <v>0</v>
      </c>
      <c r="AG34" s="153"/>
      <c r="AH34" s="153">
        <f>AVERAGE('9'!AH6:AH29)</f>
        <v>0</v>
      </c>
      <c r="AI34" s="153"/>
      <c r="AJ34" s="153">
        <f>'9'!AJ30/24</f>
        <v>94.58333333</v>
      </c>
      <c r="AK34" s="153"/>
      <c r="AL34" s="153">
        <f>AVERAGE('9'!AL6:AL29)</f>
        <v>0</v>
      </c>
      <c r="AM34" s="153"/>
      <c r="AN34" s="153">
        <f>AVERAGE('9'!AN6:AN29)</f>
        <v>0</v>
      </c>
      <c r="AO34" s="153"/>
      <c r="AP34" s="153">
        <f>AVERAGE('9'!AP6:AP29)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>
        <v>5.0</v>
      </c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156">
        <v>58.2</v>
      </c>
      <c r="D37" s="156">
        <v>28.1</v>
      </c>
      <c r="E37" s="323">
        <v>23.1</v>
      </c>
      <c r="F37" s="323">
        <v>1.2</v>
      </c>
      <c r="G37" s="323">
        <v>0.2</v>
      </c>
      <c r="H37" s="323">
        <v>0.1</v>
      </c>
      <c r="I37" s="156">
        <v>0.2</v>
      </c>
      <c r="J37" s="156">
        <v>0.06</v>
      </c>
      <c r="K37" s="156">
        <v>0.03</v>
      </c>
      <c r="L37" s="52"/>
      <c r="M37" s="106"/>
      <c r="N37" s="157"/>
      <c r="O37" s="51"/>
      <c r="P37" s="51"/>
      <c r="Q37" s="51"/>
      <c r="R37" s="51"/>
      <c r="S37" s="51"/>
      <c r="T37" s="51"/>
      <c r="U37" s="168" t="str">
        <f>'9'!V12</f>
        <v/>
      </c>
      <c r="X37" s="169" t="s">
        <v>75</v>
      </c>
      <c r="Y37" s="128"/>
      <c r="Z37" s="170">
        <f>COUNTA('9'!Z6:Z29)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SUM('9'!AF30+'9'!AH30)</f>
        <v>0</v>
      </c>
      <c r="AL38" s="178" t="s">
        <v>78</v>
      </c>
      <c r="AM38" s="179">
        <f>SUM('9'!AL30+'9'!AN30)</f>
        <v>0</v>
      </c>
      <c r="AO38" s="178" t="s">
        <v>78</v>
      </c>
      <c r="AP38" s="180">
        <f>'9'!AJ30</f>
        <v>2270</v>
      </c>
      <c r="AQ38" s="178" t="s">
        <v>78</v>
      </c>
      <c r="AR38" s="179">
        <f>'9'!AP30</f>
        <v>0</v>
      </c>
    </row>
    <row r="39" ht="16.5" customHeight="1">
      <c r="A39" s="398" t="s">
        <v>79</v>
      </c>
      <c r="B39" s="80"/>
      <c r="C39" s="398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('9'!AK38/'9'!Y30)*1000</f>
        <v>0</v>
      </c>
      <c r="AL39" s="327" t="s">
        <v>86</v>
      </c>
      <c r="AM39" s="328">
        <f>('9'!AM38/'9'!Y30)*1000</f>
        <v>0</v>
      </c>
      <c r="AO39" s="325" t="s">
        <v>86</v>
      </c>
      <c r="AP39" s="326">
        <f>('9'!AP38/'9'!Y30)*1000</f>
        <v>8.367799822</v>
      </c>
      <c r="AQ39" s="327" t="s">
        <v>86</v>
      </c>
      <c r="AR39" s="328">
        <f>('9'!AR38/'9'!Y30)*1000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SUM('9'!AK38,'9'!AM38)</f>
        <v>0</v>
      </c>
      <c r="AM40" s="128"/>
      <c r="AO40" s="210" t="s">
        <v>90</v>
      </c>
      <c r="AP40" s="128"/>
      <c r="AQ40" s="211">
        <f>SUM('9'!AP38,'9'!AR38)</f>
        <v>2270</v>
      </c>
      <c r="AR40" s="128"/>
    </row>
    <row r="41" ht="16.5" customHeight="1">
      <c r="A41" s="212">
        <f>COUNTA('9'!E7:E18)</f>
        <v>12</v>
      </c>
      <c r="B41" s="213">
        <f>COUNTA('9'!I7:I18)</f>
        <v>12</v>
      </c>
      <c r="C41" s="214">
        <f>COUNTA('9'!J7:J18)</f>
        <v>12</v>
      </c>
      <c r="D41" s="80"/>
      <c r="E41" s="214">
        <f>COUNTIF('9'!E7:E18,"&gt;15")</f>
        <v>0</v>
      </c>
      <c r="F41" s="80"/>
      <c r="G41" s="214">
        <f>COUNTIF('9'!J7:J18,"&gt;1,0")</f>
        <v>0</v>
      </c>
      <c r="H41" s="80"/>
      <c r="I41" s="215"/>
      <c r="J41" s="214">
        <f>'9'!A41-'9'!E41</f>
        <v>12</v>
      </c>
      <c r="K41" s="80"/>
      <c r="L41" s="214">
        <f>'9'!C41-'9'!G41</f>
        <v>12</v>
      </c>
      <c r="M41" s="80"/>
      <c r="N41" s="215"/>
      <c r="O41" s="216">
        <f>COUNTIF('9'!J7:J18,"&lt;=0,5")</f>
        <v>6</v>
      </c>
      <c r="P41" s="217"/>
      <c r="Q41" s="218"/>
      <c r="R41" s="219"/>
      <c r="S41" s="220">
        <f>COUNTIF('9'!J7:J18,"&lt;=1,0")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SUM(('9'!AK38+'9'!AM38)/'9'!Y30)*1000</f>
        <v>0</v>
      </c>
      <c r="AM41" s="128"/>
      <c r="AO41" s="210" t="s">
        <v>91</v>
      </c>
      <c r="AP41" s="128"/>
      <c r="AQ41" s="223">
        <f>SUM(('9'!AP38+'9'!AR38)/'9'!Y30)*1000</f>
        <v>8.367799822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SUM('9'!Y45,'9'!AA45,'9'!AC45,'9'!AE45)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COUNTIF('9'!I7:I18,"&lt;=5,0")</f>
        <v>12</v>
      </c>
      <c r="I45" s="127"/>
      <c r="J45" s="128"/>
      <c r="K45" s="215"/>
      <c r="L45" s="208">
        <f>COUNTA('9'!L37)</f>
        <v>0</v>
      </c>
      <c r="M45" s="128"/>
      <c r="O45" s="248"/>
      <c r="P45" s="249"/>
      <c r="Q45" s="250">
        <f>'9'!S41-'9'!O41</f>
        <v>6</v>
      </c>
      <c r="R45" s="251"/>
      <c r="S45" s="252"/>
      <c r="T45" s="253"/>
      <c r="X45" s="133" t="s">
        <v>104</v>
      </c>
      <c r="Y45" s="254">
        <f>'9'!Y44*275.3</f>
        <v>0</v>
      </c>
      <c r="Z45" s="133" t="s">
        <v>104</v>
      </c>
      <c r="AA45" s="254">
        <f>262.4*'9'!AA44</f>
        <v>0</v>
      </c>
      <c r="AB45" s="133" t="s">
        <v>104</v>
      </c>
      <c r="AC45" s="254">
        <f>'9'!AC44*277.7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343"/>
      <c r="AP45" s="233"/>
      <c r="AQ45" s="233"/>
      <c r="AR45" s="89"/>
    </row>
    <row r="46" ht="15.75" customHeight="1">
      <c r="F46" s="257"/>
      <c r="X46" s="196" t="s">
        <v>105</v>
      </c>
      <c r="Y46" s="258">
        <f>'9'!AS6</f>
        <v>1.33</v>
      </c>
      <c r="Z46" s="196" t="s">
        <v>105</v>
      </c>
      <c r="AA46" s="258">
        <f>'9'!Y46</f>
        <v>1.33</v>
      </c>
      <c r="AB46" s="196" t="s">
        <v>105</v>
      </c>
      <c r="AC46" s="258">
        <f>'9'!Y46</f>
        <v>1.33</v>
      </c>
      <c r="AD46" s="196" t="s">
        <v>105</v>
      </c>
      <c r="AE46" s="259">
        <f>'9'!Y46</f>
        <v>1.33</v>
      </c>
      <c r="AF46" s="260" t="s">
        <v>106</v>
      </c>
      <c r="AG46" s="261">
        <f>SUM('9'!Y47,'9'!AA47,'9'!AC47,'9'!AE47)</f>
        <v>0</v>
      </c>
      <c r="AI46" s="68" t="s">
        <v>101</v>
      </c>
      <c r="AJ46" s="399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'9'!Y45*'9'!Y46</f>
        <v>0</v>
      </c>
      <c r="Z47" s="133" t="s">
        <v>108</v>
      </c>
      <c r="AA47" s="254">
        <f>'9'!AA45*'9'!AA46</f>
        <v>0</v>
      </c>
      <c r="AB47" s="133" t="s">
        <v>108</v>
      </c>
      <c r="AC47" s="254">
        <f>'9'!AC45*'9'!AC46</f>
        <v>0</v>
      </c>
      <c r="AD47" s="133" t="s">
        <v>108</v>
      </c>
      <c r="AE47" s="254">
        <f>'9'!AE45*'9'!AE46</f>
        <v>0</v>
      </c>
      <c r="AF47" s="46"/>
      <c r="AG47" s="46"/>
      <c r="AI47" s="133" t="s">
        <v>104</v>
      </c>
      <c r="AJ47" s="400">
        <f>AJ46*275.3</f>
        <v>0</v>
      </c>
      <c r="AK47" s="133" t="s">
        <v>104</v>
      </c>
      <c r="AL47" s="254">
        <f>262.4*'9'!AL46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401">
        <f>Y46</f>
        <v>1.33</v>
      </c>
      <c r="AK48" s="68" t="s">
        <v>101</v>
      </c>
      <c r="AL48" s="258" t="str">
        <f>'9'!AJ50</f>
        <v/>
      </c>
      <c r="AM48" s="265" t="s">
        <v>105</v>
      </c>
      <c r="AN48" s="258">
        <f>'9'!AJ48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AJ48*AJ47</f>
        <v>0</v>
      </c>
      <c r="AK49" s="133" t="s">
        <v>104</v>
      </c>
      <c r="AL49" s="254">
        <f>'9'!AL47*'9'!AL48</f>
        <v>0</v>
      </c>
      <c r="AM49" s="133" t="s">
        <v>108</v>
      </c>
      <c r="AN49" s="254">
        <f>'9'!AN47*'9'!AN48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  <c r="AJ50" s="258"/>
      <c r="AK50" s="265">
        <v>3.0</v>
      </c>
    </row>
    <row r="51" ht="16.5" customHeight="1">
      <c r="O51" s="208">
        <f>COUNTA('9'!O7:O18)</f>
        <v>12</v>
      </c>
      <c r="P51" s="128"/>
      <c r="R51" s="247">
        <f>COUNTIF('9'!O7:O18,"&gt;=0,5")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SUM('9'!Y53,'9'!AA53,'9'!AC53,'9'!AE53)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343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'9'!Y52*275.3</f>
        <v>0</v>
      </c>
      <c r="Z53" s="133" t="s">
        <v>104</v>
      </c>
      <c r="AA53" s="254">
        <f>262.4*'9'!AA52</f>
        <v>0</v>
      </c>
      <c r="AB53" s="133" t="s">
        <v>104</v>
      </c>
      <c r="AC53" s="276">
        <f>'9'!AC52*277.7</f>
        <v>0</v>
      </c>
      <c r="AD53" s="133" t="s">
        <v>104</v>
      </c>
      <c r="AE53" s="352">
        <v>0.0</v>
      </c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'9'!AS7</f>
        <v>1.377</v>
      </c>
      <c r="Z54" s="196" t="s">
        <v>105</v>
      </c>
      <c r="AA54" s="258">
        <f>'9'!Y54</f>
        <v>1.377</v>
      </c>
      <c r="AB54" s="196" t="s">
        <v>105</v>
      </c>
      <c r="AC54" s="258">
        <f>'9'!Y54</f>
        <v>1.377</v>
      </c>
      <c r="AD54" s="196" t="s">
        <v>105</v>
      </c>
      <c r="AE54" s="259">
        <f>'9'!Y54</f>
        <v>1.377</v>
      </c>
      <c r="AF54" s="260" t="s">
        <v>106</v>
      </c>
      <c r="AG54" s="261">
        <f>SUM('9'!Y55,'9'!AA55,'9'!AC55,'9'!AE55)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262.4*'9'!AL53</f>
        <v>0</v>
      </c>
      <c r="AM54" s="133" t="s">
        <v>104</v>
      </c>
      <c r="AN54" s="276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'9'!Y53*'9'!Y54</f>
        <v>0</v>
      </c>
      <c r="Z55" s="133" t="s">
        <v>108</v>
      </c>
      <c r="AA55" s="254">
        <f>'9'!AA53*'9'!AA54</f>
        <v>0</v>
      </c>
      <c r="AB55" s="133" t="s">
        <v>108</v>
      </c>
      <c r="AC55" s="254">
        <f>'9'!AC53*'9'!AC54</f>
        <v>0</v>
      </c>
      <c r="AD55" s="133" t="s">
        <v>108</v>
      </c>
      <c r="AE55" s="254">
        <f>'9'!AE53*'9'!AE54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>
        <f>'9'!AJ55</f>
        <v>1.377</v>
      </c>
      <c r="AM55" s="196" t="s">
        <v>105</v>
      </c>
      <c r="AN55" s="258">
        <f>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'9'!AL54*'9'!AL55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COUNTA('9'!N7:N18)</f>
        <v>12</v>
      </c>
      <c r="P57" s="128"/>
      <c r="R57" s="277">
        <f>COUNTIF('9'!N7:N18,"&gt;=6")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3">
        <f>AA33</f>
        <v>0</v>
      </c>
      <c r="AM62" s="80"/>
      <c r="AN62" s="286" t="s">
        <v>123</v>
      </c>
      <c r="AO62" s="79"/>
      <c r="AP62" s="80"/>
      <c r="AQ62" s="293">
        <f>AA32</f>
        <v>46164.3</v>
      </c>
      <c r="AR62" s="80"/>
    </row>
    <row r="63" ht="15.0" customHeight="1">
      <c r="X63" s="294" t="s">
        <v>124</v>
      </c>
      <c r="Y63" s="133"/>
      <c r="Z63" s="43"/>
      <c r="AA63" s="27"/>
      <c r="AB63" s="296" t="s">
        <v>124</v>
      </c>
      <c r="AC63" s="125"/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-46164.3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'8'!$Y$68</f>
        <v>-2270</v>
      </c>
      <c r="Z65" s="43"/>
      <c r="AA65" s="27"/>
      <c r="AB65" s="299" t="s">
        <v>126</v>
      </c>
      <c r="AC65" s="330">
        <f>'8'!$AC$68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>
        <f>SUM('9'!AK38,'9'!AP38)</f>
        <v>2270</v>
      </c>
      <c r="Z67" s="43"/>
      <c r="AA67" s="27"/>
      <c r="AB67" s="296" t="s">
        <v>124</v>
      </c>
      <c r="AC67" s="254">
        <f>SUM('9'!AM38,'9'!AR38)</f>
        <v>0</v>
      </c>
    </row>
    <row r="68" ht="15.75" customHeight="1">
      <c r="X68" s="294" t="s">
        <v>128</v>
      </c>
      <c r="Y68" s="301">
        <f>SUM('9'!Y63,'9'!Y65)-'9'!Y67</f>
        <v>-4540</v>
      </c>
      <c r="Z68" s="16"/>
      <c r="AA68" s="18"/>
      <c r="AB68" s="296" t="s">
        <v>128</v>
      </c>
      <c r="AC68" s="302">
        <f>SUM('9'!AC63,'9'!AC65)-'9'!AC67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1">
    <cfRule type="cellIs" dxfId="0" priority="1" operator="lessThan">
      <formula>2.5</formula>
    </cfRule>
  </conditionalFormatting>
  <conditionalFormatting sqref="O20">
    <cfRule type="cellIs" dxfId="0" priority="2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0" width="6.14"/>
    <col customWidth="1" min="21" max="21" width="8.71"/>
    <col customWidth="1" min="22" max="24" width="8.57"/>
    <col customWidth="1" min="25" max="26" width="8.71"/>
    <col customWidth="1" min="27" max="32" width="8.57"/>
    <col customWidth="1" min="33" max="33" width="8.14"/>
    <col customWidth="1" min="34" max="34" width="8.71"/>
    <col customWidth="1" min="35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2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3285.0</v>
      </c>
      <c r="Z6" s="392">
        <v>1395.0</v>
      </c>
      <c r="AA6" s="56">
        <v>1.0</v>
      </c>
      <c r="AB6" s="58">
        <f>IF('10'!AA6=1,(('10'!Z6*'10'!$AS$6*'10'!$AT$6)/('10'!Y6*0.0036)),IF('10'!AA6=2,(('10'!Z6*'10'!$AS$7*'10'!$AT$7)/('10'!Y6*0.0036))))</f>
        <v>78.44368341</v>
      </c>
      <c r="AC6" s="58"/>
      <c r="AD6" s="59">
        <f>(('10'!AC6*'10'!$Q$10*1000000))/('10'!Y6*3600)</f>
        <v>0</v>
      </c>
      <c r="AE6" s="60"/>
      <c r="AF6" s="61">
        <f>('10'!AE6/24)*0.454</f>
        <v>0</v>
      </c>
      <c r="AG6" s="60"/>
      <c r="AH6" s="61">
        <f>('10'!AG6/24)*0.454</f>
        <v>0</v>
      </c>
      <c r="AI6" s="60">
        <v>5000.0</v>
      </c>
      <c r="AJ6" s="61">
        <f>('10'!AI6/24)*0.454</f>
        <v>94.58333333</v>
      </c>
      <c r="AK6" s="62"/>
      <c r="AL6" s="63">
        <f>('10'!AK6/24)*0.454</f>
        <v>0</v>
      </c>
      <c r="AM6" s="62"/>
      <c r="AN6" s="63">
        <f>('10'!AM6/24)*0.454</f>
        <v>0</v>
      </c>
      <c r="AO6" s="62"/>
      <c r="AP6" s="61">
        <f>('10'!AO6/24)*0.454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114.0</v>
      </c>
      <c r="C7" s="76">
        <v>11.0</v>
      </c>
      <c r="D7" s="76">
        <v>10.0</v>
      </c>
      <c r="E7" s="76">
        <v>4.0</v>
      </c>
      <c r="F7" s="76">
        <v>27.0</v>
      </c>
      <c r="G7" s="76">
        <v>1.0</v>
      </c>
      <c r="H7" s="76">
        <v>1.0</v>
      </c>
      <c r="I7" s="76">
        <v>0.4</v>
      </c>
      <c r="J7" s="76">
        <v>0.4</v>
      </c>
      <c r="K7" s="76">
        <v>6.9</v>
      </c>
      <c r="L7" s="76">
        <v>6.5</v>
      </c>
      <c r="M7" s="76">
        <v>6.5</v>
      </c>
      <c r="N7" s="76">
        <v>6.1</v>
      </c>
      <c r="O7" s="76">
        <v>3.6</v>
      </c>
      <c r="P7" s="76"/>
      <c r="Q7" s="310"/>
      <c r="R7" s="77">
        <f>'9'!$Z$29</f>
        <v>1390</v>
      </c>
      <c r="S7" s="309" t="str">
        <f>'9'!$AB$29</f>
        <v>#DIV/0!</v>
      </c>
      <c r="T7" s="77" t="str">
        <f>'9'!$Y$29</f>
        <v/>
      </c>
      <c r="U7" s="73" t="str">
        <f>IF('10'!AA6=1,'10'!AR6,'10'!AR7)</f>
        <v>S.A.L</v>
      </c>
      <c r="V7" s="74" t="str">
        <f>ESCALA!$C$11</f>
        <v/>
      </c>
      <c r="W7" s="12"/>
      <c r="X7" s="54">
        <v>0.0833333333333333</v>
      </c>
      <c r="Y7" s="125">
        <v>3291.0</v>
      </c>
      <c r="Z7" s="392">
        <v>1395.0</v>
      </c>
      <c r="AA7" s="56">
        <v>1.0</v>
      </c>
      <c r="AB7" s="58">
        <f>IF('10'!AA7=1,(('10'!Z7*'10'!$AS$6*'10'!$AT$6)/('10'!Y7*0.0036)),IF('10'!AA7=2,(('10'!Z7*'10'!$AS$7*'10'!$AT$7)/('10'!Y7*0.0036))))</f>
        <v>78.30066849</v>
      </c>
      <c r="AC7" s="58"/>
      <c r="AD7" s="59">
        <f>(('10'!AC7*'10'!$Q$10*1000000))/('10'!Y7*3600)</f>
        <v>0</v>
      </c>
      <c r="AE7" s="60"/>
      <c r="AF7" s="61">
        <f>('10'!AE7/24)*0.454</f>
        <v>0</v>
      </c>
      <c r="AG7" s="60"/>
      <c r="AH7" s="61">
        <f>('10'!AG7/24)*0.454</f>
        <v>0</v>
      </c>
      <c r="AI7" s="60">
        <v>5000.0</v>
      </c>
      <c r="AJ7" s="61">
        <f>('10'!AI7/24)*0.454</f>
        <v>94.58333333</v>
      </c>
      <c r="AK7" s="62"/>
      <c r="AL7" s="63">
        <f>('10'!AK7/24)*0.454</f>
        <v>0</v>
      </c>
      <c r="AM7" s="62"/>
      <c r="AN7" s="63">
        <f>('10'!AM7/24)*0.454</f>
        <v>0</v>
      </c>
      <c r="AO7" s="62"/>
      <c r="AP7" s="61">
        <f>('10'!AO7/24)*0.454</f>
        <v>0</v>
      </c>
      <c r="AQ7" s="65">
        <v>2.0</v>
      </c>
      <c r="AR7" s="66" t="s">
        <v>49</v>
      </c>
      <c r="AS7" s="67"/>
      <c r="AT7" s="66"/>
      <c r="AU7" s="60">
        <v>24.0</v>
      </c>
    </row>
    <row r="8" ht="18.75" customHeight="1">
      <c r="A8" s="69">
        <v>0.0833333333333333</v>
      </c>
      <c r="B8" s="76">
        <v>108.0</v>
      </c>
      <c r="C8" s="76">
        <v>11.0</v>
      </c>
      <c r="D8" s="76">
        <v>10.0</v>
      </c>
      <c r="E8" s="76">
        <v>4.0</v>
      </c>
      <c r="F8" s="76">
        <v>24.0</v>
      </c>
      <c r="G8" s="76">
        <v>1.0</v>
      </c>
      <c r="H8" s="76">
        <v>1.0</v>
      </c>
      <c r="I8" s="76">
        <v>0.4</v>
      </c>
      <c r="J8" s="76">
        <v>0.4</v>
      </c>
      <c r="K8" s="76">
        <v>6.9</v>
      </c>
      <c r="L8" s="76">
        <v>6.5</v>
      </c>
      <c r="M8" s="76">
        <v>6.5</v>
      </c>
      <c r="N8" s="76">
        <v>6.1</v>
      </c>
      <c r="O8" s="76">
        <v>3.6</v>
      </c>
      <c r="P8" s="76"/>
      <c r="Q8" s="310"/>
      <c r="R8" s="75">
        <f>'10'!Z7</f>
        <v>1395</v>
      </c>
      <c r="S8" s="76">
        <f>'10'!AB7</f>
        <v>78.30066849</v>
      </c>
      <c r="T8" s="77">
        <f>'10'!Y7</f>
        <v>3291</v>
      </c>
      <c r="U8" s="73" t="str">
        <f>IF('10'!AA7=1,'10'!AR6,'10'!AR7)</f>
        <v>S.A.L</v>
      </c>
      <c r="V8" s="43"/>
      <c r="W8" s="27"/>
      <c r="X8" s="54">
        <v>0.125</v>
      </c>
      <c r="Y8" s="125">
        <v>3306.0</v>
      </c>
      <c r="Z8" s="392">
        <v>1395.0</v>
      </c>
      <c r="AA8" s="56">
        <v>1.0</v>
      </c>
      <c r="AB8" s="58">
        <f>IF('10'!AA8=1,(('10'!Z8*'10'!$AS$6*'10'!$AT$6)/('10'!Y8*0.0036)),IF('10'!AA8=2,(('10'!Z8*'10'!$AS$7*'10'!$AT$7)/('10'!Y8*0.0036))))</f>
        <v>77.9454023</v>
      </c>
      <c r="AC8" s="58"/>
      <c r="AD8" s="59">
        <f>(('10'!AC8*'10'!$Q$10*1000000))/('10'!Y8*3600)</f>
        <v>0</v>
      </c>
      <c r="AE8" s="60"/>
      <c r="AF8" s="61">
        <f>('10'!AE8/24)*0.454</f>
        <v>0</v>
      </c>
      <c r="AG8" s="60"/>
      <c r="AH8" s="61">
        <f>('10'!AG8/24)*0.454</f>
        <v>0</v>
      </c>
      <c r="AI8" s="60">
        <v>5000.0</v>
      </c>
      <c r="AJ8" s="61">
        <f>('10'!AI8/24)*0.454</f>
        <v>94.58333333</v>
      </c>
      <c r="AK8" s="62"/>
      <c r="AL8" s="63">
        <f>('10'!AK8/24)*0.454</f>
        <v>0</v>
      </c>
      <c r="AM8" s="62"/>
      <c r="AN8" s="63">
        <f>('10'!AM8/24)*0.454</f>
        <v>0</v>
      </c>
      <c r="AO8" s="62"/>
      <c r="AP8" s="61">
        <f>('10'!AO8/24)*0.454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103.0</v>
      </c>
      <c r="C9" s="76">
        <v>10.0</v>
      </c>
      <c r="D9" s="76">
        <v>10.0</v>
      </c>
      <c r="E9" s="76">
        <v>4.0</v>
      </c>
      <c r="F9" s="76">
        <v>25.0</v>
      </c>
      <c r="G9" s="76">
        <v>1.0</v>
      </c>
      <c r="H9" s="76">
        <v>0.9</v>
      </c>
      <c r="I9" s="76">
        <v>0.5</v>
      </c>
      <c r="J9" s="76">
        <v>0.4</v>
      </c>
      <c r="K9" s="76">
        <v>6.9</v>
      </c>
      <c r="L9" s="76">
        <v>6.5</v>
      </c>
      <c r="M9" s="76">
        <v>6.5</v>
      </c>
      <c r="N9" s="76">
        <v>6.1</v>
      </c>
      <c r="O9" s="76">
        <v>3.6</v>
      </c>
      <c r="P9" s="76"/>
      <c r="Q9" s="310"/>
      <c r="R9" s="77">
        <f>'10'!Z9</f>
        <v>1395</v>
      </c>
      <c r="S9" s="76">
        <f>'10'!AB9</f>
        <v>78.08712121</v>
      </c>
      <c r="T9" s="77">
        <f>'10'!Y9</f>
        <v>3300</v>
      </c>
      <c r="U9" s="73" t="str">
        <f>IF('10'!AA9=1,'10'!AR6,'10'!AR7)</f>
        <v>S.A.L</v>
      </c>
      <c r="V9" s="43"/>
      <c r="W9" s="27"/>
      <c r="X9" s="54">
        <v>0.166666666666667</v>
      </c>
      <c r="Y9" s="125">
        <v>3300.0</v>
      </c>
      <c r="Z9" s="392">
        <v>1395.0</v>
      </c>
      <c r="AA9" s="56">
        <v>1.0</v>
      </c>
      <c r="AB9" s="58">
        <f>IF('10'!AA9=1,(('10'!Z9*'10'!$AS$6*'10'!$AT$6)/('10'!Y9*0.0036)),IF('10'!AA9=2,(('10'!Z9*'10'!$AS$7*'10'!$AT$7)/('10'!Y9*0.0036))))</f>
        <v>78.08712121</v>
      </c>
      <c r="AC9" s="58"/>
      <c r="AD9" s="59">
        <f>(('10'!AC9*'10'!$Q$10*1000000))/('10'!Y9*3600)</f>
        <v>0</v>
      </c>
      <c r="AE9" s="60"/>
      <c r="AF9" s="61">
        <f>('10'!AE9/24)*0.454</f>
        <v>0</v>
      </c>
      <c r="AG9" s="60"/>
      <c r="AH9" s="61">
        <f>('10'!AG9/24)*0.454</f>
        <v>0</v>
      </c>
      <c r="AI9" s="60">
        <v>5000.0</v>
      </c>
      <c r="AJ9" s="61">
        <f>('10'!AI9/24)*0.454</f>
        <v>94.58333333</v>
      </c>
      <c r="AK9" s="62"/>
      <c r="AL9" s="63">
        <f>('10'!AK9/24)*0.454</f>
        <v>0</v>
      </c>
      <c r="AM9" s="62"/>
      <c r="AN9" s="63">
        <f>('10'!AM9/24)*0.454</f>
        <v>0</v>
      </c>
      <c r="AO9" s="62"/>
      <c r="AP9" s="61">
        <f>('10'!AO9/24)*0.454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98.0</v>
      </c>
      <c r="C10" s="76">
        <v>10.0</v>
      </c>
      <c r="D10" s="76">
        <v>10.0</v>
      </c>
      <c r="E10" s="76">
        <v>4.0</v>
      </c>
      <c r="F10" s="76">
        <v>22.0</v>
      </c>
      <c r="G10" s="76">
        <v>1.0</v>
      </c>
      <c r="H10" s="76">
        <v>0.9</v>
      </c>
      <c r="I10" s="76">
        <v>0.5</v>
      </c>
      <c r="J10" s="76">
        <v>0.4</v>
      </c>
      <c r="K10" s="76">
        <v>6.9</v>
      </c>
      <c r="L10" s="76">
        <v>6.5</v>
      </c>
      <c r="M10" s="76">
        <v>6.5</v>
      </c>
      <c r="N10" s="76">
        <v>6.1</v>
      </c>
      <c r="O10" s="76">
        <v>3.6</v>
      </c>
      <c r="P10" s="76"/>
      <c r="Q10" s="310"/>
      <c r="R10" s="77">
        <f>'10'!Z11</f>
        <v>1395</v>
      </c>
      <c r="S10" s="76">
        <f>'10'!AB11</f>
        <v>77.85120846</v>
      </c>
      <c r="T10" s="77">
        <f>'10'!Y11</f>
        <v>3310</v>
      </c>
      <c r="U10" s="73" t="str">
        <f>IF('10'!AA11=1,'10'!AR6,'10'!AR7)</f>
        <v>S.A.L</v>
      </c>
      <c r="V10" s="43"/>
      <c r="W10" s="27"/>
      <c r="X10" s="54">
        <v>0.208333333333333</v>
      </c>
      <c r="Y10" s="125">
        <v>3301.0</v>
      </c>
      <c r="Z10" s="392">
        <v>1395.0</v>
      </c>
      <c r="AA10" s="56">
        <v>1.0</v>
      </c>
      <c r="AB10" s="58">
        <f>IF('10'!AA10=1,(('10'!Z10*'10'!$AS$6*'10'!$AT$6)/('10'!Y10*0.0036)),IF('10'!AA10=2,(('10'!Z10*'10'!$AS$7*'10'!$AT$7)/('10'!Y10*0.0036))))</f>
        <v>78.06346562</v>
      </c>
      <c r="AC10" s="58"/>
      <c r="AD10" s="59">
        <f>(('10'!AC10*'10'!$Q$10*1000000))/('10'!Y10*3600)</f>
        <v>0</v>
      </c>
      <c r="AE10" s="60"/>
      <c r="AF10" s="61">
        <f>('10'!AE10/24)*0.454</f>
        <v>0</v>
      </c>
      <c r="AG10" s="60"/>
      <c r="AH10" s="61">
        <f>('10'!AG10/24)*0.454</f>
        <v>0</v>
      </c>
      <c r="AI10" s="60">
        <v>5000.0</v>
      </c>
      <c r="AJ10" s="61">
        <f>('10'!AI10/24)*0.454</f>
        <v>94.58333333</v>
      </c>
      <c r="AK10" s="62"/>
      <c r="AL10" s="63">
        <f>('10'!AK10/24)*0.454</f>
        <v>0</v>
      </c>
      <c r="AM10" s="62"/>
      <c r="AN10" s="63">
        <f>('10'!AM10/24)*0.454</f>
        <v>0</v>
      </c>
      <c r="AO10" s="62"/>
      <c r="AP10" s="61">
        <f>('10'!AO10/24)*0.454</f>
        <v>0</v>
      </c>
      <c r="AQ10" s="84" t="s">
        <v>51</v>
      </c>
      <c r="AR10" s="79"/>
      <c r="AS10" s="80"/>
      <c r="AT10" s="85">
        <v>0.2</v>
      </c>
    </row>
    <row r="11" ht="19.5" customHeight="1">
      <c r="A11" s="69">
        <v>0.333333333333333</v>
      </c>
      <c r="B11" s="76">
        <v>102.0</v>
      </c>
      <c r="C11" s="76">
        <v>9.0</v>
      </c>
      <c r="D11" s="76">
        <v>10.0</v>
      </c>
      <c r="E11" s="76">
        <v>3.0</v>
      </c>
      <c r="F11" s="76">
        <v>20.0</v>
      </c>
      <c r="G11" s="76">
        <v>0.8</v>
      </c>
      <c r="H11" s="76">
        <v>0.8</v>
      </c>
      <c r="I11" s="76">
        <v>0.5</v>
      </c>
      <c r="J11" s="76">
        <v>0.4</v>
      </c>
      <c r="K11" s="76">
        <v>6.9</v>
      </c>
      <c r="L11" s="76">
        <v>6.4</v>
      </c>
      <c r="M11" s="76">
        <v>6.4</v>
      </c>
      <c r="N11" s="76">
        <v>6.1</v>
      </c>
      <c r="O11" s="76">
        <v>3.6</v>
      </c>
      <c r="P11" s="76"/>
      <c r="Q11" s="310"/>
      <c r="R11" s="77">
        <f>'10'!Z13</f>
        <v>1395</v>
      </c>
      <c r="S11" s="76">
        <f>'10'!AB13</f>
        <v>78.41981132</v>
      </c>
      <c r="T11" s="77">
        <f>'10'!Y13</f>
        <v>3286</v>
      </c>
      <c r="U11" s="73" t="str">
        <f>IF('10'!AA13=1,'10'!AR6,'10'!AR7)</f>
        <v>S.A.L</v>
      </c>
      <c r="V11" s="16"/>
      <c r="W11" s="18"/>
      <c r="X11" s="54">
        <v>0.25</v>
      </c>
      <c r="Y11" s="125">
        <v>3310.0</v>
      </c>
      <c r="Z11" s="392">
        <v>1395.0</v>
      </c>
      <c r="AA11" s="56">
        <v>1.0</v>
      </c>
      <c r="AB11" s="58">
        <f>IF('10'!AA11=1,(('10'!Z11*'10'!$AS$6*'10'!$AT$6)/('10'!Y11*0.0036)),IF('10'!AA11=2,(('10'!Z11*'10'!$AS$7*'10'!$AT$7)/('10'!Y11*0.0036))))</f>
        <v>77.85120846</v>
      </c>
      <c r="AC11" s="58"/>
      <c r="AD11" s="59">
        <f>(('10'!AC11*'10'!$Q$10*1000000))/('10'!Y11*3600)</f>
        <v>0</v>
      </c>
      <c r="AE11" s="60"/>
      <c r="AF11" s="61">
        <f>('10'!AE11/24)*0.454</f>
        <v>0</v>
      </c>
      <c r="AG11" s="60"/>
      <c r="AH11" s="61">
        <f>('10'!AG11/24)*0.454</f>
        <v>0</v>
      </c>
      <c r="AI11" s="60">
        <v>5000.0</v>
      </c>
      <c r="AJ11" s="61">
        <f>('10'!AI11/24)*0.454</f>
        <v>94.58333333</v>
      </c>
      <c r="AK11" s="62"/>
      <c r="AL11" s="63">
        <f>('10'!AK11/24)*0.454</f>
        <v>0</v>
      </c>
      <c r="AM11" s="62"/>
      <c r="AN11" s="63">
        <f>('10'!AM11/24)*0.454</f>
        <v>0</v>
      </c>
      <c r="AO11" s="62"/>
      <c r="AP11" s="61">
        <f>('10'!AO11/24)*0.454</f>
        <v>0</v>
      </c>
    </row>
    <row r="12" ht="18.75" customHeight="1">
      <c r="A12" s="69">
        <v>0.416666666666667</v>
      </c>
      <c r="B12" s="76">
        <v>95.2</v>
      </c>
      <c r="C12" s="76">
        <v>10.9</v>
      </c>
      <c r="D12" s="76">
        <v>9.3</v>
      </c>
      <c r="E12" s="76">
        <v>3.0</v>
      </c>
      <c r="F12" s="76">
        <v>21.0</v>
      </c>
      <c r="G12" s="76">
        <v>1.1</v>
      </c>
      <c r="H12" s="76">
        <v>1.0</v>
      </c>
      <c r="I12" s="76">
        <v>0.6</v>
      </c>
      <c r="J12" s="76">
        <v>0.6</v>
      </c>
      <c r="K12" s="76">
        <v>6.8</v>
      </c>
      <c r="L12" s="76">
        <v>6.5</v>
      </c>
      <c r="M12" s="76">
        <v>6.4</v>
      </c>
      <c r="N12" s="76">
        <v>6.1</v>
      </c>
      <c r="O12" s="76">
        <v>3.6</v>
      </c>
      <c r="P12" s="76"/>
      <c r="Q12" s="310"/>
      <c r="R12" s="77">
        <f>'10'!Z15</f>
        <v>1395</v>
      </c>
      <c r="S12" s="76">
        <f>'10'!AB15</f>
        <v>78.44368341</v>
      </c>
      <c r="T12" s="77">
        <f>'10'!Y15</f>
        <v>3285</v>
      </c>
      <c r="U12" s="73" t="str">
        <f>IF('10'!AA15=1,'10'!AR6,'10'!AR7)</f>
        <v>S.A.L</v>
      </c>
      <c r="V12" s="88" t="str">
        <f>ESCALA!$B$12</f>
        <v/>
      </c>
      <c r="W12" s="89"/>
      <c r="X12" s="54">
        <v>0.291666666666667</v>
      </c>
      <c r="Y12" s="125">
        <v>3269.0</v>
      </c>
      <c r="Z12" s="392">
        <v>1395.0</v>
      </c>
      <c r="AA12" s="56">
        <v>1.0</v>
      </c>
      <c r="AB12" s="58">
        <f>IF('10'!AA12=1,(('10'!Z12*'10'!$AS$6*'10'!$AT$6)/('10'!Y12*0.0036)),IF('10'!AA12=2,(('10'!Z12*'10'!$AS$7*'10'!$AT$7)/('10'!Y12*0.0036))))</f>
        <v>78.82762313</v>
      </c>
      <c r="AC12" s="58"/>
      <c r="AD12" s="59">
        <f>(('10'!AC12*'10'!$Q$10*1000000))/('10'!Y12*3600)</f>
        <v>0</v>
      </c>
      <c r="AE12" s="60"/>
      <c r="AF12" s="61">
        <f>('10'!AE12/24)*0.454</f>
        <v>0</v>
      </c>
      <c r="AG12" s="60"/>
      <c r="AH12" s="61">
        <f>('10'!AG12/24)*0.454</f>
        <v>0</v>
      </c>
      <c r="AI12" s="60">
        <v>5000.0</v>
      </c>
      <c r="AJ12" s="61">
        <f>('10'!AI12/24)*0.454</f>
        <v>94.58333333</v>
      </c>
      <c r="AK12" s="62"/>
      <c r="AL12" s="63">
        <f>('10'!AK12/24)*0.454</f>
        <v>0</v>
      </c>
      <c r="AM12" s="62"/>
      <c r="AN12" s="63">
        <f>('10'!AM12/24)*0.454</f>
        <v>0</v>
      </c>
      <c r="AO12" s="62"/>
      <c r="AP12" s="61">
        <f>('10'!AO12/24)*0.454</f>
        <v>0</v>
      </c>
    </row>
    <row r="13" ht="18.75" customHeight="1">
      <c r="A13" s="69">
        <v>0.5</v>
      </c>
      <c r="B13" s="76">
        <v>96.3</v>
      </c>
      <c r="C13" s="76">
        <v>11.6</v>
      </c>
      <c r="D13" s="76">
        <v>8.6</v>
      </c>
      <c r="E13" s="76">
        <v>3.0</v>
      </c>
      <c r="F13" s="76">
        <v>20.6</v>
      </c>
      <c r="G13" s="76">
        <v>1.4</v>
      </c>
      <c r="H13" s="76">
        <v>1.2</v>
      </c>
      <c r="I13" s="76">
        <v>0.6</v>
      </c>
      <c r="J13" s="76">
        <v>0.6</v>
      </c>
      <c r="K13" s="76">
        <v>6.8</v>
      </c>
      <c r="L13" s="76">
        <v>6.6</v>
      </c>
      <c r="M13" s="76">
        <v>6.6</v>
      </c>
      <c r="N13" s="76">
        <v>6.1</v>
      </c>
      <c r="O13" s="76">
        <v>3.6</v>
      </c>
      <c r="P13" s="76"/>
      <c r="Q13" s="310"/>
      <c r="R13" s="77">
        <f>'10'!Z17</f>
        <v>1385</v>
      </c>
      <c r="S13" s="76">
        <f>'10'!AB17</f>
        <v>77.92880834</v>
      </c>
      <c r="T13" s="77">
        <f>'10'!Y17</f>
        <v>3283</v>
      </c>
      <c r="U13" s="73" t="str">
        <f>IF('10'!AA17=1,'10'!AR6,'10'!AR7)</f>
        <v>S.A.L</v>
      </c>
      <c r="V13" s="43"/>
      <c r="W13" s="27"/>
      <c r="X13" s="54">
        <v>0.333333333333333</v>
      </c>
      <c r="Y13" s="125">
        <v>3286.0</v>
      </c>
      <c r="Z13" s="392">
        <v>1395.0</v>
      </c>
      <c r="AA13" s="56">
        <v>1.0</v>
      </c>
      <c r="AB13" s="58">
        <f>IF('10'!AA13=1,(('10'!Z13*'10'!$AS$6*'10'!$AT$6)/('10'!Y13*0.0036)),IF('10'!AA13=2,(('10'!Z13*'10'!$AS$7*'10'!$AT$7)/('10'!Y13*0.0036))))</f>
        <v>78.41981132</v>
      </c>
      <c r="AC13" s="58"/>
      <c r="AD13" s="59">
        <f>(('10'!AC13*'10'!$Q$10*1000000))/('10'!Y13*3600)</f>
        <v>0</v>
      </c>
      <c r="AE13" s="60"/>
      <c r="AF13" s="61">
        <f>('10'!AE13/24)*0.454</f>
        <v>0</v>
      </c>
      <c r="AG13" s="60"/>
      <c r="AH13" s="61">
        <f>('10'!AG13/24)*0.454</f>
        <v>0</v>
      </c>
      <c r="AI13" s="60">
        <v>5000.0</v>
      </c>
      <c r="AJ13" s="61">
        <f>('10'!AI13/24)*0.454</f>
        <v>94.58333333</v>
      </c>
      <c r="AK13" s="62"/>
      <c r="AL13" s="63">
        <f>('10'!AK13/24)*0.454</f>
        <v>0</v>
      </c>
      <c r="AM13" s="62"/>
      <c r="AN13" s="63">
        <f>('10'!AM13/24)*0.454</f>
        <v>0</v>
      </c>
      <c r="AO13" s="62"/>
      <c r="AP13" s="61">
        <f>('10'!AO13/24)*0.454</f>
        <v>0</v>
      </c>
    </row>
    <row r="14" ht="18.75" customHeight="1">
      <c r="A14" s="69">
        <v>0.583333333333333</v>
      </c>
      <c r="B14" s="76">
        <v>103.0</v>
      </c>
      <c r="C14" s="76">
        <v>12.0</v>
      </c>
      <c r="D14" s="76">
        <v>11.0</v>
      </c>
      <c r="E14" s="76">
        <v>4.0</v>
      </c>
      <c r="F14" s="76">
        <v>22.0</v>
      </c>
      <c r="G14" s="76">
        <v>1.5</v>
      </c>
      <c r="H14" s="76">
        <v>1.1</v>
      </c>
      <c r="I14" s="76">
        <v>0.6</v>
      </c>
      <c r="J14" s="76">
        <v>0.5</v>
      </c>
      <c r="K14" s="76">
        <v>6.9</v>
      </c>
      <c r="L14" s="76">
        <v>6.4</v>
      </c>
      <c r="M14" s="76">
        <v>6.4</v>
      </c>
      <c r="N14" s="76">
        <v>6.1</v>
      </c>
      <c r="O14" s="76">
        <v>3.6</v>
      </c>
      <c r="P14" s="76"/>
      <c r="Q14" s="310"/>
      <c r="R14" s="77">
        <f>'10'!Z18</f>
        <v>1385</v>
      </c>
      <c r="S14" s="76">
        <f>'10'!AB19</f>
        <v>78.454547</v>
      </c>
      <c r="T14" s="77">
        <f>'10'!Y19</f>
        <v>3261</v>
      </c>
      <c r="U14" s="73" t="str">
        <f>IF('10'!AA19=1,'10'!AR6,'10'!AR7)</f>
        <v>S.A.L</v>
      </c>
      <c r="V14" s="43"/>
      <c r="W14" s="27"/>
      <c r="X14" s="54">
        <v>0.375</v>
      </c>
      <c r="Y14" s="125">
        <v>3312.0</v>
      </c>
      <c r="Z14" s="392">
        <v>1395.0</v>
      </c>
      <c r="AA14" s="56">
        <v>1.0</v>
      </c>
      <c r="AB14" s="58">
        <f>IF('10'!AA14=1,(('10'!Z14*'10'!$AS$6*'10'!$AT$6)/('10'!Y14*0.0036)),IF('10'!AA14=2,(('10'!Z14*'10'!$AS$7*'10'!$AT$7)/('10'!Y14*0.0036))))</f>
        <v>77.80419686</v>
      </c>
      <c r="AC14" s="58"/>
      <c r="AD14" s="59">
        <f>(('10'!AC14*'10'!$Q$10*1000000))/('10'!Y14*3600)</f>
        <v>0</v>
      </c>
      <c r="AE14" s="60"/>
      <c r="AF14" s="61">
        <f>('10'!AE14/24)*0.454</f>
        <v>0</v>
      </c>
      <c r="AG14" s="60"/>
      <c r="AH14" s="61">
        <f>('10'!AG14/24)*0.454</f>
        <v>0</v>
      </c>
      <c r="AI14" s="60">
        <v>5000.0</v>
      </c>
      <c r="AJ14" s="61">
        <f>('10'!AI14/24)*0.454</f>
        <v>94.58333333</v>
      </c>
      <c r="AK14" s="62"/>
      <c r="AL14" s="63">
        <f>('10'!AK14/24)*0.454</f>
        <v>0</v>
      </c>
      <c r="AM14" s="62"/>
      <c r="AN14" s="63">
        <f>('10'!AM14/24)*0.454</f>
        <v>0</v>
      </c>
      <c r="AO14" s="62"/>
      <c r="AP14" s="61">
        <f>('10'!AO14/24)*0.454</f>
        <v>0</v>
      </c>
    </row>
    <row r="15" ht="18.75" customHeight="1">
      <c r="A15" s="69">
        <v>0.666666666666667</v>
      </c>
      <c r="B15" s="76">
        <v>104.0</v>
      </c>
      <c r="C15" s="76">
        <v>9.0</v>
      </c>
      <c r="D15" s="76">
        <v>10.0</v>
      </c>
      <c r="E15" s="76">
        <v>4.0</v>
      </c>
      <c r="F15" s="76">
        <v>22.0</v>
      </c>
      <c r="G15" s="76">
        <v>1.1</v>
      </c>
      <c r="H15" s="76">
        <v>1.0</v>
      </c>
      <c r="I15" s="76">
        <v>0.6</v>
      </c>
      <c r="J15" s="76">
        <v>0.6</v>
      </c>
      <c r="K15" s="76">
        <v>6.9</v>
      </c>
      <c r="L15" s="76">
        <v>6.4</v>
      </c>
      <c r="M15" s="76">
        <v>6.4</v>
      </c>
      <c r="N15" s="76">
        <v>6.1</v>
      </c>
      <c r="O15" s="76">
        <v>3.6</v>
      </c>
      <c r="P15" s="76"/>
      <c r="Q15" s="310"/>
      <c r="R15" s="77">
        <f>'10'!Z19</f>
        <v>1385</v>
      </c>
      <c r="S15" s="76">
        <f>'10'!AB21</f>
        <v>77.85766214</v>
      </c>
      <c r="T15" s="77">
        <f>'10'!Y21</f>
        <v>3286</v>
      </c>
      <c r="U15" s="73" t="str">
        <f>IF('10'!AA21=1,'10'!AR6,'10'!AR7)</f>
        <v>S.A.L</v>
      </c>
      <c r="V15" s="43"/>
      <c r="W15" s="27"/>
      <c r="X15" s="54">
        <v>0.416666666666667</v>
      </c>
      <c r="Y15" s="125">
        <v>3285.0</v>
      </c>
      <c r="Z15" s="392">
        <v>1395.0</v>
      </c>
      <c r="AA15" s="56">
        <v>1.0</v>
      </c>
      <c r="AB15" s="58">
        <f>IF('10'!AA15=1,(('10'!Z15*'10'!$AS$6*'10'!$AT$6)/('10'!Y15*0.0036)),IF('10'!AA15=2,(('10'!Z15*'10'!$AS$7*'10'!$AT$7)/('10'!Y15*0.0036))))</f>
        <v>78.44368341</v>
      </c>
      <c r="AC15" s="58"/>
      <c r="AD15" s="59">
        <f>(('10'!AC15*'10'!$Q$10*1000000))/('10'!Y15*3600)</f>
        <v>0</v>
      </c>
      <c r="AE15" s="60"/>
      <c r="AF15" s="61">
        <f>('10'!AE15/24)*0.454</f>
        <v>0</v>
      </c>
      <c r="AG15" s="60"/>
      <c r="AH15" s="61">
        <f>('10'!AG15/24)*0.454</f>
        <v>0</v>
      </c>
      <c r="AI15" s="60">
        <v>5000.0</v>
      </c>
      <c r="AJ15" s="61">
        <f>('10'!AI15/24)*0.454</f>
        <v>94.58333333</v>
      </c>
      <c r="AK15" s="62"/>
      <c r="AL15" s="63">
        <f>('10'!AK15/24)*0.454</f>
        <v>0</v>
      </c>
      <c r="AM15" s="62"/>
      <c r="AN15" s="63">
        <f>('10'!AM15/24)*0.454</f>
        <v>0</v>
      </c>
      <c r="AO15" s="62"/>
      <c r="AP15" s="61">
        <f>('10'!AO15/24)*0.454</f>
        <v>0</v>
      </c>
    </row>
    <row r="16" ht="18.75" customHeight="1">
      <c r="A16" s="69">
        <v>0.75</v>
      </c>
      <c r="B16" s="76">
        <v>102.0</v>
      </c>
      <c r="C16" s="76">
        <v>9.0</v>
      </c>
      <c r="D16" s="76">
        <v>9.0</v>
      </c>
      <c r="E16" s="76">
        <v>4.0</v>
      </c>
      <c r="F16" s="76">
        <v>21.0</v>
      </c>
      <c r="G16" s="76">
        <v>1.0</v>
      </c>
      <c r="H16" s="76">
        <v>1.0</v>
      </c>
      <c r="I16" s="76">
        <v>0.6</v>
      </c>
      <c r="J16" s="76">
        <v>0.5</v>
      </c>
      <c r="K16" s="76">
        <v>6.9</v>
      </c>
      <c r="L16" s="76">
        <v>6.4</v>
      </c>
      <c r="M16" s="76">
        <v>6.4</v>
      </c>
      <c r="N16" s="76">
        <v>6.1</v>
      </c>
      <c r="O16" s="76">
        <v>3.6</v>
      </c>
      <c r="P16" s="76"/>
      <c r="Q16" s="310"/>
      <c r="R16" s="77">
        <f>'10'!Z20</f>
        <v>1385</v>
      </c>
      <c r="S16" s="76">
        <f>'10'!AB23</f>
        <v>77.17655438</v>
      </c>
      <c r="T16" s="77">
        <f>'10'!Y23</f>
        <v>3315</v>
      </c>
      <c r="U16" s="73" t="str">
        <f>IF('10'!AA23=1,'10'!AR6,'10'!AR7)</f>
        <v>S.A.L</v>
      </c>
      <c r="V16" s="16"/>
      <c r="W16" s="18"/>
      <c r="X16" s="54">
        <v>0.458333333333333</v>
      </c>
      <c r="Y16" s="125">
        <v>3280.0</v>
      </c>
      <c r="Z16" s="392">
        <v>1395.0</v>
      </c>
      <c r="AA16" s="56">
        <v>1.0</v>
      </c>
      <c r="AB16" s="58">
        <f>IF('10'!AA16=1,(('10'!Z16*'10'!$AS$6*'10'!$AT$6)/('10'!Y16*0.0036)),IF('10'!AA16=2,(('10'!Z16*'10'!$AS$7*'10'!$AT$7)/('10'!Y16*0.0036))))</f>
        <v>78.5632622</v>
      </c>
      <c r="AC16" s="58"/>
      <c r="AD16" s="59">
        <f>(('10'!AC16*'10'!$Q$10*1000000))/('10'!Y16*3600)</f>
        <v>0</v>
      </c>
      <c r="AE16" s="60"/>
      <c r="AF16" s="61">
        <f>('10'!AE16/24)*0.454</f>
        <v>0</v>
      </c>
      <c r="AG16" s="60"/>
      <c r="AH16" s="61">
        <f>('10'!AG16/24)*0.454</f>
        <v>0</v>
      </c>
      <c r="AI16" s="60">
        <v>5000.0</v>
      </c>
      <c r="AJ16" s="61">
        <f>('10'!AI16/24)*0.454</f>
        <v>94.58333333</v>
      </c>
      <c r="AK16" s="62"/>
      <c r="AL16" s="63">
        <f>('10'!AK16/24)*0.454</f>
        <v>0</v>
      </c>
      <c r="AM16" s="62"/>
      <c r="AN16" s="63">
        <f>('10'!AM16/24)*0.454</f>
        <v>0</v>
      </c>
      <c r="AO16" s="62"/>
      <c r="AP16" s="61">
        <f>('10'!AO16/24)*0.454</f>
        <v>0</v>
      </c>
    </row>
    <row r="17" ht="18.75" customHeight="1">
      <c r="A17" s="69">
        <v>0.833333333333333</v>
      </c>
      <c r="B17" s="76">
        <v>113.0</v>
      </c>
      <c r="C17" s="76">
        <v>8.7</v>
      </c>
      <c r="D17" s="76">
        <v>9.6</v>
      </c>
      <c r="E17" s="76">
        <v>2.0</v>
      </c>
      <c r="F17" s="76">
        <v>23.0</v>
      </c>
      <c r="G17" s="76">
        <v>1.3</v>
      </c>
      <c r="H17" s="76">
        <v>1.2</v>
      </c>
      <c r="I17" s="76">
        <v>0.6</v>
      </c>
      <c r="J17" s="76">
        <v>0.5</v>
      </c>
      <c r="K17" s="76"/>
      <c r="L17" s="76">
        <v>6.5</v>
      </c>
      <c r="M17" s="76">
        <v>6.4</v>
      </c>
      <c r="N17" s="76">
        <v>6.2</v>
      </c>
      <c r="O17" s="76">
        <v>3.6</v>
      </c>
      <c r="P17" s="76"/>
      <c r="Q17" s="310"/>
      <c r="R17" s="77">
        <f>'10'!Z21</f>
        <v>1385</v>
      </c>
      <c r="S17" s="76">
        <f>'10'!AB25</f>
        <v>77.9050785</v>
      </c>
      <c r="T17" s="77">
        <f>'10'!Y24</f>
        <v>3305</v>
      </c>
      <c r="U17" s="73" t="str">
        <f>IF('10'!AA25=1,'10'!AR6,'10'!AR7)</f>
        <v>S.A.L</v>
      </c>
      <c r="V17" s="90" t="str">
        <f>ESCALA!$C$12</f>
        <v/>
      </c>
      <c r="W17" s="89"/>
      <c r="X17" s="54">
        <v>0.5</v>
      </c>
      <c r="Y17" s="125">
        <v>3283.0</v>
      </c>
      <c r="Z17" s="392">
        <v>1385.0</v>
      </c>
      <c r="AA17" s="56">
        <v>1.0</v>
      </c>
      <c r="AB17" s="58">
        <f>IF('10'!AA17=1,(('10'!Z17*'10'!$AS$6*'10'!$AT$6)/('10'!Y17*0.0036)),IF('10'!AA17=2,(('10'!Z17*'10'!$AS$7*'10'!$AT$7)/('10'!Y17*0.0036))))</f>
        <v>77.92880834</v>
      </c>
      <c r="AC17" s="58"/>
      <c r="AD17" s="59">
        <f>(('10'!AC17*'10'!$Q$10*1000000))/('10'!Y17*3600)</f>
        <v>0</v>
      </c>
      <c r="AE17" s="60"/>
      <c r="AF17" s="61">
        <f>('10'!AE17/24)*0.454</f>
        <v>0</v>
      </c>
      <c r="AG17" s="60"/>
      <c r="AH17" s="61">
        <f>('10'!AG17/24)*0.454</f>
        <v>0</v>
      </c>
      <c r="AI17" s="60">
        <v>5000.0</v>
      </c>
      <c r="AJ17" s="61">
        <f>('10'!AI17/24)*0.454</f>
        <v>94.58333333</v>
      </c>
      <c r="AK17" s="62"/>
      <c r="AL17" s="63">
        <f>('10'!AK17/24)*0.454</f>
        <v>0</v>
      </c>
      <c r="AM17" s="62"/>
      <c r="AN17" s="63">
        <f>('10'!AM17/24)*0.454</f>
        <v>0</v>
      </c>
      <c r="AO17" s="62"/>
      <c r="AP17" s="61">
        <f>('10'!AO17/24)*0.454</f>
        <v>0</v>
      </c>
    </row>
    <row r="18" ht="19.5" customHeight="1">
      <c r="A18" s="69">
        <v>0.916666666666667</v>
      </c>
      <c r="B18" s="76">
        <v>110.0</v>
      </c>
      <c r="C18" s="76">
        <v>9.0</v>
      </c>
      <c r="D18" s="76">
        <v>9.3</v>
      </c>
      <c r="E18" s="76">
        <v>3.6</v>
      </c>
      <c r="F18" s="76">
        <v>23.0</v>
      </c>
      <c r="G18" s="76">
        <v>1.3</v>
      </c>
      <c r="H18" s="76">
        <v>1.2</v>
      </c>
      <c r="I18" s="76">
        <v>0.6</v>
      </c>
      <c r="J18" s="76">
        <v>0.5</v>
      </c>
      <c r="K18" s="76">
        <v>6.9</v>
      </c>
      <c r="L18" s="76">
        <v>6.5</v>
      </c>
      <c r="M18" s="76">
        <v>6.4</v>
      </c>
      <c r="N18" s="76">
        <v>6.2</v>
      </c>
      <c r="O18" s="76">
        <v>3.6</v>
      </c>
      <c r="P18" s="76"/>
      <c r="Q18" s="310"/>
      <c r="R18" s="77">
        <f>'10'!Z27</f>
        <v>1385</v>
      </c>
      <c r="S18" s="76">
        <f>'10'!AB27</f>
        <v>78.38243804</v>
      </c>
      <c r="T18" s="77">
        <f>'10'!Y27</f>
        <v>3264</v>
      </c>
      <c r="U18" s="73" t="str">
        <f>IF('10'!AA27=1,'10'!AR6,'10'!AR7)</f>
        <v>S.A.L</v>
      </c>
      <c r="V18" s="16"/>
      <c r="W18" s="18"/>
      <c r="X18" s="54">
        <v>0.541666666666667</v>
      </c>
      <c r="Y18" s="125">
        <v>3313.0</v>
      </c>
      <c r="Z18" s="392">
        <v>1385.0</v>
      </c>
      <c r="AA18" s="56">
        <v>1.0</v>
      </c>
      <c r="AB18" s="58">
        <f>IF('10'!AA18=1,(('10'!Z18*'10'!$AS$6*'10'!$AT$6)/('10'!Y18*0.0036)),IF('10'!AA18=2,(('10'!Z18*'10'!$AS$7*'10'!$AT$7)/('10'!Y18*0.0036))))</f>
        <v>77.22314451</v>
      </c>
      <c r="AC18" s="58"/>
      <c r="AD18" s="59">
        <f>(('10'!AC18*'10'!$Q$10*1000000))/('10'!Y18*3600)</f>
        <v>0</v>
      </c>
      <c r="AE18" s="60"/>
      <c r="AF18" s="61">
        <f>('10'!AE18/24)*0.454</f>
        <v>0</v>
      </c>
      <c r="AG18" s="60"/>
      <c r="AH18" s="61">
        <f>('10'!AG18/24)*0.454</f>
        <v>0</v>
      </c>
      <c r="AI18" s="60">
        <v>5000.0</v>
      </c>
      <c r="AJ18" s="61">
        <f>('10'!AI18/24)*0.454</f>
        <v>94.58333333</v>
      </c>
      <c r="AK18" s="62"/>
      <c r="AL18" s="63">
        <f>('10'!AK18/24)*0.454</f>
        <v>0</v>
      </c>
      <c r="AM18" s="62"/>
      <c r="AN18" s="63">
        <f>('10'!AM18/24)*0.454</f>
        <v>0</v>
      </c>
      <c r="AO18" s="62"/>
      <c r="AP18" s="61">
        <f>('10'!AO18/24)*0.454</f>
        <v>0</v>
      </c>
    </row>
    <row r="19" ht="18.75" customHeight="1">
      <c r="A19" s="51" t="s">
        <v>52</v>
      </c>
      <c r="B19" s="92">
        <f t="array" ref="B19">IF('10'!B7:B18&gt;0.01,AVERAGE('10'!B7:B18),"")</f>
        <v>104.0416667</v>
      </c>
      <c r="C19" s="92">
        <f t="array" ref="C19">IF('10'!C7:C18&gt;0.01,AVERAGE('10'!C7:C18),"")</f>
        <v>10.1</v>
      </c>
      <c r="D19" s="92">
        <f t="array" ref="D19">IF('10'!D7:D18&gt;0.01,AVERAGE('10'!D7:D18),"")</f>
        <v>9.733333333</v>
      </c>
      <c r="E19" s="92">
        <f t="array" ref="E19">IF('10'!E7:E18&gt;0.01,AVERAGE('10'!E7:E18),"")</f>
        <v>3.55</v>
      </c>
      <c r="F19" s="92">
        <f t="array" ref="F19">IF('10'!F7:F18&gt;0.01,AVERAGE('10'!F7:F18),"")</f>
        <v>22.55</v>
      </c>
      <c r="G19" s="92">
        <f t="array" ref="G19">IF('10'!G7:G18&gt;0.01,AVERAGE('10'!G7:G18),"")</f>
        <v>1.125</v>
      </c>
      <c r="H19" s="92">
        <f t="array" ref="H19">IF('10'!H7:H18&gt;0.01,AVERAGE('10'!H7:H18),"")</f>
        <v>1.025</v>
      </c>
      <c r="I19" s="92">
        <f t="array" ref="I19">IF('10'!I7:I18&gt;0.01,AVERAGE('10'!I7:I18),"")</f>
        <v>0.5416666667</v>
      </c>
      <c r="J19" s="92">
        <f t="array" ref="J19">IF('10'!J7:J18&gt;0.01,AVERAGE('10'!J7:J18),"")</f>
        <v>0.4833333333</v>
      </c>
      <c r="K19" s="92">
        <f t="array" ref="K19">IF('10'!K7:K18&gt;0.01,AVERAGE('10'!K7:K18),"")</f>
        <v>6.881818182</v>
      </c>
      <c r="L19" s="92">
        <f t="array" ref="L19">IF('10'!L7:L18&gt;0.01,AVERAGE('10'!L7:L18),"")</f>
        <v>6.475</v>
      </c>
      <c r="M19" s="92">
        <f t="array" ref="M19">IF('10'!M7:M18&gt;0.01,AVERAGE('10'!M7:M18),"")</f>
        <v>6.45</v>
      </c>
      <c r="N19" s="92">
        <f t="array" ref="N19">IF('10'!N7:N18&gt;0.01,AVERAGE('10'!N7:N18),"")</f>
        <v>6.116666667</v>
      </c>
      <c r="O19" s="92">
        <f t="array" ref="O19">IF('10'!O7:O18&gt;0.01,AVERAGE('10'!O7:O18),"")</f>
        <v>3.6</v>
      </c>
      <c r="P19" s="92" t="str">
        <f t="array" ref="P19">IF('10'!P7:P18&gt;0.01,AVERAGE('10'!P7:P18),"")</f>
        <v/>
      </c>
      <c r="Q19" s="92" t="str">
        <f t="array" ref="Q19">IF('10'!Q7:Q18&gt;0.01,AVERAGE('10'!Q7:Q18),"")</f>
        <v/>
      </c>
      <c r="R19" s="92">
        <f t="array" ref="R19">IF('10'!R7:R18&gt;0.01,AVERAGE('10'!R7:R18),"")</f>
        <v>1389.583333</v>
      </c>
      <c r="S19" s="92" t="str">
        <f t="array" ref="S19">IF('10'!S7:S18&gt;0.01,AVERAGE('10'!S7:S18),"")</f>
        <v>#DIV/0!</v>
      </c>
      <c r="T19" s="95"/>
      <c r="U19" s="96"/>
      <c r="V19" s="97"/>
      <c r="W19" s="97"/>
      <c r="X19" s="54">
        <v>0.583333333333333</v>
      </c>
      <c r="Y19" s="125">
        <v>3261.0</v>
      </c>
      <c r="Z19" s="392">
        <v>1385.0</v>
      </c>
      <c r="AA19" s="56">
        <v>1.0</v>
      </c>
      <c r="AB19" s="58">
        <f>IF('10'!AA19=1,(('10'!Z19*'10'!$AS$6*'10'!$AT$6)/('10'!Y19*0.0036)),IF('10'!AA19=2,(('10'!Z19*'10'!$AS$7*'10'!$AT$7)/('10'!Y19*0.0036))))</f>
        <v>78.454547</v>
      </c>
      <c r="AC19" s="58"/>
      <c r="AD19" s="59">
        <f>(('10'!AC19*'10'!$Q$10*1000000))/('10'!Y19*3600)</f>
        <v>0</v>
      </c>
      <c r="AE19" s="60"/>
      <c r="AF19" s="61">
        <f>('10'!AE19/24)*0.454</f>
        <v>0</v>
      </c>
      <c r="AG19" s="60"/>
      <c r="AH19" s="61">
        <f>('10'!AG19/24)*0.454</f>
        <v>0</v>
      </c>
      <c r="AI19" s="60">
        <v>5000.0</v>
      </c>
      <c r="AJ19" s="61">
        <f>('10'!AI19/24)*0.454</f>
        <v>94.58333333</v>
      </c>
      <c r="AK19" s="62"/>
      <c r="AL19" s="63">
        <f>('10'!AK19/24)*0.454</f>
        <v>0</v>
      </c>
      <c r="AM19" s="62"/>
      <c r="AN19" s="63">
        <f>('10'!AM19/24)*0.454</f>
        <v>0</v>
      </c>
      <c r="AO19" s="62"/>
      <c r="AP19" s="61">
        <f>('10'!AO19/24)*0.454</f>
        <v>0</v>
      </c>
    </row>
    <row r="20" ht="18.75" customHeight="1">
      <c r="A20" s="51" t="s">
        <v>53</v>
      </c>
      <c r="B20" s="91">
        <f>MAX('10'!B7:B18)</f>
        <v>114</v>
      </c>
      <c r="C20" s="92">
        <f>MAX('10'!C7:C18)</f>
        <v>12</v>
      </c>
      <c r="D20" s="92">
        <f>MAX('10'!D7:D18)</f>
        <v>11</v>
      </c>
      <c r="E20" s="92">
        <f>MAX('10'!E7:E18)</f>
        <v>4</v>
      </c>
      <c r="F20" s="92">
        <f>MAX('10'!F7:F18)</f>
        <v>27</v>
      </c>
      <c r="G20" s="92">
        <f>MAX('10'!G7:G18)</f>
        <v>1.5</v>
      </c>
      <c r="H20" s="92">
        <f>MAX('10'!H7:H18)</f>
        <v>1.2</v>
      </c>
      <c r="I20" s="92">
        <f>MAX('10'!I7:I18)</f>
        <v>0.6</v>
      </c>
      <c r="J20" s="92">
        <f>MAX('10'!J7:J18)</f>
        <v>0.6</v>
      </c>
      <c r="K20" s="92">
        <f>MAX('10'!K7:K18)</f>
        <v>6.9</v>
      </c>
      <c r="L20" s="92">
        <f>MAX('10'!L7:L18)</f>
        <v>6.6</v>
      </c>
      <c r="M20" s="92">
        <f>MAX('10'!M7:M18)</f>
        <v>6.6</v>
      </c>
      <c r="N20" s="92">
        <f>MAX('10'!N7:N18)</f>
        <v>6.2</v>
      </c>
      <c r="O20" s="98">
        <f>MAX('10'!O7:O18)</f>
        <v>3.6</v>
      </c>
      <c r="P20" s="98">
        <f>MAX('10'!P7:P18)</f>
        <v>0</v>
      </c>
      <c r="Q20" s="98">
        <f>MAX('10'!Q7:Q18)</f>
        <v>0</v>
      </c>
      <c r="R20" s="98">
        <f>MAX('10'!R7:R18)</f>
        <v>1395</v>
      </c>
      <c r="S20" s="98" t="str">
        <f>MAX('10'!S7:S18)</f>
        <v>#DIV/0!</v>
      </c>
      <c r="T20" s="99"/>
      <c r="U20" s="21"/>
      <c r="X20" s="54">
        <v>0.625</v>
      </c>
      <c r="Y20" s="125">
        <v>3305.0</v>
      </c>
      <c r="Z20" s="392">
        <v>1385.0</v>
      </c>
      <c r="AA20" s="56">
        <v>1.0</v>
      </c>
      <c r="AB20" s="58">
        <f>IF('10'!AA20=1,(('10'!Z20*'10'!$AS$6*'10'!$AT$6)/('10'!Y20*0.0036)),IF('10'!AA20=2,(('10'!Z20*'10'!$AS$7*'10'!$AT$7)/('10'!Y20*0.0036))))</f>
        <v>77.41006892</v>
      </c>
      <c r="AC20" s="58"/>
      <c r="AD20" s="59">
        <f>(('10'!AC20*'10'!$Q$10*1000000))/('10'!Y20*3600)</f>
        <v>0</v>
      </c>
      <c r="AE20" s="60"/>
      <c r="AF20" s="61">
        <f>('10'!AE20/24)*0.454</f>
        <v>0</v>
      </c>
      <c r="AG20" s="60"/>
      <c r="AH20" s="61">
        <f>('10'!AG20/24)*0.454</f>
        <v>0</v>
      </c>
      <c r="AI20" s="60">
        <v>5000.0</v>
      </c>
      <c r="AJ20" s="61">
        <f>('10'!AI20/24)*0.454</f>
        <v>94.58333333</v>
      </c>
      <c r="AK20" s="62"/>
      <c r="AL20" s="63">
        <f>('10'!AK20/24)*0.454</f>
        <v>0</v>
      </c>
      <c r="AM20" s="62"/>
      <c r="AN20" s="63">
        <f>('10'!AM20/24)*0.454</f>
        <v>0</v>
      </c>
      <c r="AO20" s="62"/>
      <c r="AP20" s="61">
        <f>('10'!AO20/24)*0.454</f>
        <v>0</v>
      </c>
    </row>
    <row r="21" ht="19.5" customHeight="1">
      <c r="A21" s="51" t="s">
        <v>54</v>
      </c>
      <c r="B21" s="91">
        <f>MIN('10'!B7:B18)</f>
        <v>95.2</v>
      </c>
      <c r="C21" s="92">
        <f>MIN('10'!C7:C18)</f>
        <v>8.7</v>
      </c>
      <c r="D21" s="92">
        <f>MIN('10'!D7:D18)</f>
        <v>8.6</v>
      </c>
      <c r="E21" s="92">
        <f>MIN('10'!E7:E18)</f>
        <v>2</v>
      </c>
      <c r="F21" s="92">
        <f>MIN('10'!F7:F18)</f>
        <v>20</v>
      </c>
      <c r="G21" s="100">
        <f>MIN('10'!G7:G18)</f>
        <v>0.8</v>
      </c>
      <c r="H21" s="100">
        <f>MIN('10'!H7:H18)</f>
        <v>0.8</v>
      </c>
      <c r="I21" s="100">
        <f>MIN('10'!I7:I18)</f>
        <v>0.4</v>
      </c>
      <c r="J21" s="100">
        <f>MIN('10'!J7:J18)</f>
        <v>0.4</v>
      </c>
      <c r="K21" s="100">
        <f>MIN('10'!K7:K18)</f>
        <v>6.8</v>
      </c>
      <c r="L21" s="100">
        <f>MIN('10'!L7:L18)</f>
        <v>6.4</v>
      </c>
      <c r="M21" s="100">
        <f>MIN('10'!M7:M18)</f>
        <v>6.4</v>
      </c>
      <c r="N21" s="100">
        <f>MIN('10'!N7:N18)</f>
        <v>6.1</v>
      </c>
      <c r="O21" s="101">
        <f>MIN('10'!O7:O18)</f>
        <v>3.6</v>
      </c>
      <c r="P21" s="101">
        <f>MIN('10'!P7:P18)</f>
        <v>0</v>
      </c>
      <c r="Q21" s="101">
        <f>MIN('10'!Q7:Q18)</f>
        <v>0</v>
      </c>
      <c r="R21" s="101">
        <f>MIN('10'!R7:R18)</f>
        <v>1385</v>
      </c>
      <c r="S21" s="101" t="str">
        <f>MIN('10'!S7:S18)</f>
        <v>#DIV/0!</v>
      </c>
      <c r="T21" s="99"/>
      <c r="U21" s="21"/>
      <c r="X21" s="54">
        <v>0.666666666666667</v>
      </c>
      <c r="Y21" s="125">
        <v>3286.0</v>
      </c>
      <c r="Z21" s="392">
        <v>1385.0</v>
      </c>
      <c r="AA21" s="56">
        <v>1.0</v>
      </c>
      <c r="AB21" s="58">
        <f>IF('10'!AA21=1,(('10'!Z21*'10'!$AS$6*'10'!$AT$6)/('10'!Y21*0.0036)),IF('10'!AA21=2,(('10'!Z21*'10'!$AS$7*'10'!$AT$7)/('10'!Y21*0.0036))))</f>
        <v>77.85766214</v>
      </c>
      <c r="AC21" s="58"/>
      <c r="AD21" s="59">
        <f>(('10'!AC21*'10'!$Q$10*1000000))/('10'!Y21*3600)</f>
        <v>0</v>
      </c>
      <c r="AE21" s="60"/>
      <c r="AF21" s="61">
        <f>('10'!AE21/24)*0.454</f>
        <v>0</v>
      </c>
      <c r="AG21" s="60"/>
      <c r="AH21" s="61">
        <f>('10'!AG21/24)*0.454</f>
        <v>0</v>
      </c>
      <c r="AI21" s="60">
        <v>5000.0</v>
      </c>
      <c r="AJ21" s="61">
        <f>('10'!AI21/24)*0.454</f>
        <v>94.58333333</v>
      </c>
      <c r="AK21" s="62"/>
      <c r="AL21" s="63">
        <f>('10'!AK21/24)*0.454</f>
        <v>0</v>
      </c>
      <c r="AM21" s="62"/>
      <c r="AN21" s="63">
        <f>('10'!AM21/24)*0.454</f>
        <v>0</v>
      </c>
      <c r="AO21" s="62"/>
      <c r="AP21" s="61">
        <f>('10'!AO21/24)*0.454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3257.0</v>
      </c>
      <c r="Z22" s="392">
        <v>1385.0</v>
      </c>
      <c r="AA22" s="56">
        <v>1.0</v>
      </c>
      <c r="AB22" s="58">
        <f>IF('10'!AA22=1,(('10'!Z22*'10'!$AS$6*'10'!$AT$6)/('10'!Y22*0.0036)),IF('10'!AA22=2,(('10'!Z22*'10'!$AS$7*'10'!$AT$7)/('10'!Y22*0.0036))))</f>
        <v>78.55089892</v>
      </c>
      <c r="AC22" s="58"/>
      <c r="AD22" s="59">
        <f>(('10'!AC22*'10'!$Q$10*1000000))/('10'!Y22*3600)</f>
        <v>0</v>
      </c>
      <c r="AE22" s="60"/>
      <c r="AF22" s="61">
        <f>('10'!AE22/24)*0.454</f>
        <v>0</v>
      </c>
      <c r="AG22" s="60"/>
      <c r="AH22" s="61">
        <f>('10'!AG22/24)*0.454</f>
        <v>0</v>
      </c>
      <c r="AI22" s="60">
        <v>5000.0</v>
      </c>
      <c r="AJ22" s="61">
        <f>('10'!AI22/24)*0.454</f>
        <v>94.58333333</v>
      </c>
      <c r="AK22" s="62"/>
      <c r="AL22" s="63">
        <f>('10'!AK22/24)*0.454</f>
        <v>0</v>
      </c>
      <c r="AM22" s="62"/>
      <c r="AN22" s="63">
        <f>('10'!AM22/24)*0.454</f>
        <v>0</v>
      </c>
      <c r="AO22" s="62"/>
      <c r="AP22" s="61">
        <f>('10'!AO22/24)*0.454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3315.0</v>
      </c>
      <c r="Z23" s="392">
        <v>1385.0</v>
      </c>
      <c r="AA23" s="56">
        <v>1.0</v>
      </c>
      <c r="AB23" s="58">
        <f>IF('10'!AA23=1,(('10'!Z23*'10'!$AS$6*'10'!$AT$6)/('10'!Y23*0.0036)),IF('10'!AA23=2,(('10'!Z23*'10'!$AS$7*'10'!$AT$7)/('10'!Y23*0.0036))))</f>
        <v>77.17655438</v>
      </c>
      <c r="AC23" s="58"/>
      <c r="AD23" s="59">
        <f>(('10'!AC23*'10'!$Q$10*1000000))/('10'!Y23*3600)</f>
        <v>0</v>
      </c>
      <c r="AE23" s="60"/>
      <c r="AF23" s="61">
        <f>('10'!AE23/24)*0.454</f>
        <v>0</v>
      </c>
      <c r="AG23" s="60"/>
      <c r="AH23" s="61">
        <f>('10'!AG23/24)*0.454</f>
        <v>0</v>
      </c>
      <c r="AI23" s="60">
        <v>5000.0</v>
      </c>
      <c r="AJ23" s="61">
        <f>('10'!AI23/24)*0.454</f>
        <v>94.58333333</v>
      </c>
      <c r="AK23" s="62"/>
      <c r="AL23" s="63">
        <f>('10'!AK23/24)*0.454</f>
        <v>0</v>
      </c>
      <c r="AM23" s="62"/>
      <c r="AN23" s="63">
        <f>('10'!AM23/24)*0.454</f>
        <v>0</v>
      </c>
      <c r="AO23" s="62"/>
      <c r="AP23" s="61">
        <f>('10'!AO23/24)*0.454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3305.0</v>
      </c>
      <c r="Z24" s="392">
        <v>1385.0</v>
      </c>
      <c r="AA24" s="56">
        <v>1.0</v>
      </c>
      <c r="AB24" s="57">
        <f>IF('10'!AA24=1,(('10'!Z24*'10'!$AS$6*'10'!$AT$6)/('10'!Y24*0.0036)),IF('10'!AA24=2,(('10'!Z24*'10'!$AS$7*'10'!$AT$7)/('10'!Y24*0.0036))))</f>
        <v>77.41006892</v>
      </c>
      <c r="AC24" s="57"/>
      <c r="AD24" s="154">
        <f>(('10'!AC24*'10'!$Q$10*1000000))/('10'!Y24*3600)</f>
        <v>0</v>
      </c>
      <c r="AE24" s="60"/>
      <c r="AF24" s="311">
        <f>('10'!AE24/24)*0.454</f>
        <v>0</v>
      </c>
      <c r="AG24" s="125"/>
      <c r="AH24" s="311">
        <f>('10'!AG24/24)*0.454</f>
        <v>0</v>
      </c>
      <c r="AI24" s="60">
        <v>5000.0</v>
      </c>
      <c r="AJ24" s="311">
        <f>('10'!AI24/24)*0.454</f>
        <v>94.58333333</v>
      </c>
      <c r="AK24" s="62"/>
      <c r="AL24" s="110">
        <f>('10'!AK24/24)*0.454</f>
        <v>0</v>
      </c>
      <c r="AM24" s="312"/>
      <c r="AN24" s="110">
        <f>('10'!AM24/24)*0.454</f>
        <v>0</v>
      </c>
      <c r="AO24" s="62"/>
      <c r="AP24" s="311">
        <f>('10'!AO24/24)*0.454</f>
        <v>0</v>
      </c>
    </row>
    <row r="25" ht="19.5" customHeight="1">
      <c r="A25" s="111">
        <v>0.416666666666667</v>
      </c>
      <c r="B25" s="313">
        <v>0.89</v>
      </c>
      <c r="C25" s="108">
        <v>0.44</v>
      </c>
      <c r="D25" s="108">
        <v>0.41</v>
      </c>
      <c r="E25" s="313">
        <v>0.37</v>
      </c>
      <c r="F25" s="313">
        <v>0.34</v>
      </c>
      <c r="G25" s="313" t="s">
        <v>131</v>
      </c>
      <c r="H25" s="313">
        <v>0.37</v>
      </c>
      <c r="I25" s="313">
        <v>0.35</v>
      </c>
      <c r="J25" s="313" t="s">
        <v>131</v>
      </c>
      <c r="K25" s="313">
        <v>0.35</v>
      </c>
      <c r="L25" s="313">
        <v>0.38</v>
      </c>
      <c r="M25" s="313">
        <v>0.34</v>
      </c>
      <c r="N25" s="313">
        <v>0.42</v>
      </c>
      <c r="O25" s="313">
        <v>0.4</v>
      </c>
      <c r="P25" s="313">
        <v>0.38</v>
      </c>
      <c r="Q25" s="313" t="s">
        <v>131</v>
      </c>
      <c r="R25" s="112" t="str">
        <f t="shared" ref="R25:R26" si="1">#DIV/0!</f>
        <v>#DIV/0!</v>
      </c>
      <c r="S25" s="113"/>
      <c r="T25" s="402" t="s">
        <v>0</v>
      </c>
      <c r="U25" s="361">
        <f>ESCALA!$A$12</f>
        <v>43931</v>
      </c>
      <c r="X25" s="54">
        <v>0.833333333333333</v>
      </c>
      <c r="Y25" s="125">
        <v>3284.0</v>
      </c>
      <c r="Z25" s="392">
        <v>1385.0</v>
      </c>
      <c r="AA25" s="56">
        <v>1.0</v>
      </c>
      <c r="AB25" s="58">
        <f>IF('10'!AA25=1,(('10'!Z25*'10'!$AS$6*'10'!$AT$6)/('10'!Y25*0.0036)),IF('10'!AA25=2,(('10'!Z25*'10'!$AS$7*'10'!$AT$7)/('10'!Y25*0.0036))))</f>
        <v>77.9050785</v>
      </c>
      <c r="AC25" s="58"/>
      <c r="AD25" s="59">
        <f>(('10'!AC25*'10'!$Q$10*1000000))/('10'!Y25*3600)</f>
        <v>0</v>
      </c>
      <c r="AE25" s="60"/>
      <c r="AF25" s="61">
        <f>('10'!AE25/24)*0.454</f>
        <v>0</v>
      </c>
      <c r="AG25" s="60"/>
      <c r="AH25" s="61">
        <f>('10'!AG25/24)*0.454</f>
        <v>0</v>
      </c>
      <c r="AI25" s="60">
        <v>5000.0</v>
      </c>
      <c r="AJ25" s="61">
        <f>('10'!AI25/24)*0.454</f>
        <v>94.58333333</v>
      </c>
      <c r="AK25" s="62"/>
      <c r="AL25" s="63">
        <f>('10'!AK25/24)*0.454</f>
        <v>0</v>
      </c>
      <c r="AM25" s="62"/>
      <c r="AN25" s="63">
        <f>('10'!AM25/24)*0.454</f>
        <v>0</v>
      </c>
      <c r="AO25" s="62"/>
      <c r="AP25" s="61">
        <f>('10'!AO25/24)*0.454</f>
        <v>0</v>
      </c>
    </row>
    <row r="26" ht="19.5" customHeight="1">
      <c r="A26" s="111">
        <v>0.666666666666667</v>
      </c>
      <c r="B26" s="108"/>
      <c r="C26" s="108"/>
      <c r="D26" s="108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6"/>
      <c r="Q26" s="396"/>
      <c r="R26" s="112" t="str">
        <f t="shared" si="1"/>
        <v>#DIV/0!</v>
      </c>
      <c r="S26" s="116"/>
      <c r="T26" s="117"/>
      <c r="U26" s="118"/>
      <c r="X26" s="54">
        <v>0.875</v>
      </c>
      <c r="Y26" s="125">
        <v>3314.0</v>
      </c>
      <c r="Z26" s="392">
        <v>1385.0</v>
      </c>
      <c r="AA26" s="56">
        <v>1.0</v>
      </c>
      <c r="AB26" s="58">
        <f>IF('10'!AA26=1,(('10'!Z26*'10'!$AS$6*'10'!$AT$6)/('10'!Y26*0.0036)),IF('10'!AA26=2,(('10'!Z26*'10'!$AS$7*'10'!$AT$7)/('10'!Y26*0.0036))))</f>
        <v>77.19984242</v>
      </c>
      <c r="AC26" s="58"/>
      <c r="AD26" s="59">
        <f>(('10'!AC26*'10'!$Q$10*1000000))/('10'!Y26*3600)</f>
        <v>0</v>
      </c>
      <c r="AE26" s="60"/>
      <c r="AF26" s="61">
        <f>('10'!AE26/24)*0.454</f>
        <v>0</v>
      </c>
      <c r="AG26" s="60"/>
      <c r="AH26" s="61">
        <f>('10'!AG26/24)*0.454</f>
        <v>0</v>
      </c>
      <c r="AI26" s="60">
        <v>5000.0</v>
      </c>
      <c r="AJ26" s="61">
        <f>('10'!AI26/24)*0.454</f>
        <v>94.58333333</v>
      </c>
      <c r="AK26" s="62"/>
      <c r="AL26" s="63">
        <f>('10'!AK26/24)*0.454</f>
        <v>0</v>
      </c>
      <c r="AM26" s="62"/>
      <c r="AN26" s="63">
        <f>('10'!AM26/24)*0.454</f>
        <v>0</v>
      </c>
      <c r="AO26" s="62"/>
      <c r="AP26" s="61">
        <f>('10'!AO26/24)*0.454</f>
        <v>0</v>
      </c>
    </row>
    <row r="27" ht="19.5" customHeight="1">
      <c r="A27" s="119" t="s">
        <v>52</v>
      </c>
      <c r="B27" s="92">
        <f>AVERAGE('10'!B25,'10'!B26)</f>
        <v>0.89</v>
      </c>
      <c r="C27" s="92">
        <f>AVERAGE('10'!C25,'10'!C26)</f>
        <v>0.44</v>
      </c>
      <c r="D27" s="92">
        <f>AVERAGE('10'!D25,'10'!D26)</f>
        <v>0.41</v>
      </c>
      <c r="E27" s="92">
        <f>AVERAGE('10'!E25,'10'!E26)</f>
        <v>0.37</v>
      </c>
      <c r="F27" s="92">
        <f>AVERAGE('10'!F25,'10'!F26)</f>
        <v>0.34</v>
      </c>
      <c r="G27" s="92" t="str">
        <f>AVERAGE('10'!G25,'10'!G26)</f>
        <v>#DIV/0!</v>
      </c>
      <c r="H27" s="92">
        <f>AVERAGE('10'!H25,'10'!H26)</f>
        <v>0.37</v>
      </c>
      <c r="I27" s="92">
        <f>AVERAGE('10'!I25,'10'!I26)</f>
        <v>0.35</v>
      </c>
      <c r="J27" s="92" t="str">
        <f>AVERAGE('10'!J25,'10'!J26)</f>
        <v>#DIV/0!</v>
      </c>
      <c r="K27" s="92">
        <f>AVERAGE('10'!K25,'10'!K26)</f>
        <v>0.35</v>
      </c>
      <c r="L27" s="92">
        <f>AVERAGE('10'!L25,'10'!L26)</f>
        <v>0.38</v>
      </c>
      <c r="M27" s="92">
        <f>AVERAGE('10'!M25,'10'!M26)</f>
        <v>0.34</v>
      </c>
      <c r="N27" s="92">
        <f>AVERAGE('10'!N25,'10'!N26)</f>
        <v>0.42</v>
      </c>
      <c r="O27" s="92">
        <f>AVERAGE('10'!O25,'10'!O26)</f>
        <v>0.4</v>
      </c>
      <c r="P27" s="92">
        <f>AVERAGE('10'!P25,'10'!P26)</f>
        <v>0.38</v>
      </c>
      <c r="Q27" s="92" t="str">
        <f>AVERAGE('10'!Q25,'10'!Q26)</f>
        <v>#DIV/0!</v>
      </c>
      <c r="R27" s="316"/>
      <c r="S27" s="127"/>
      <c r="T27" s="128"/>
      <c r="U27" s="124"/>
      <c r="X27" s="54">
        <v>0.916666666666667</v>
      </c>
      <c r="Y27" s="125">
        <v>3264.0</v>
      </c>
      <c r="Z27" s="392">
        <v>1385.0</v>
      </c>
      <c r="AA27" s="56">
        <v>1.0</v>
      </c>
      <c r="AB27" s="58">
        <f>IF('10'!AA27=1,(('10'!Z27*'10'!$AS$6*'10'!$AT$6)/('10'!Y27*0.0036)),IF('10'!AA27=2,(('10'!Z27*'10'!$AS$7*'10'!$AT$7)/('10'!Y27*0.0036))))</f>
        <v>78.38243804</v>
      </c>
      <c r="AC27" s="58"/>
      <c r="AD27" s="59">
        <f>(('10'!AC27*'10'!$Q$10*1000000))/('10'!Y27*3600)</f>
        <v>0</v>
      </c>
      <c r="AE27" s="60"/>
      <c r="AF27" s="61">
        <f>('10'!AE27/24)*0.454</f>
        <v>0</v>
      </c>
      <c r="AG27" s="60"/>
      <c r="AH27" s="61">
        <f>('10'!AG27/24)*0.454</f>
        <v>0</v>
      </c>
      <c r="AI27" s="60">
        <v>5000.0</v>
      </c>
      <c r="AJ27" s="61">
        <f>('10'!AI27/24)*0.454</f>
        <v>94.58333333</v>
      </c>
      <c r="AK27" s="62"/>
      <c r="AL27" s="63">
        <f>('10'!AK27/24)*0.454</f>
        <v>0</v>
      </c>
      <c r="AM27" s="62"/>
      <c r="AN27" s="63">
        <f>('10'!AM27/24)*0.454</f>
        <v>0</v>
      </c>
      <c r="AO27" s="62"/>
      <c r="AP27" s="61">
        <f>('10'!AO27/24)*0.454</f>
        <v>0</v>
      </c>
    </row>
    <row r="28" ht="19.5" customHeight="1">
      <c r="A28" s="126" t="s">
        <v>138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3304.0</v>
      </c>
      <c r="Z28" s="392">
        <v>1385.0</v>
      </c>
      <c r="AA28" s="56">
        <v>1.0</v>
      </c>
      <c r="AB28" s="58">
        <f>IF('10'!AA28=1,(('10'!Z28*'10'!$AS$6*'10'!$AT$6)/('10'!Y28*0.0036)),IF('10'!AA28=2,(('10'!Z28*'10'!$AS$7*'10'!$AT$7)/('10'!Y28*0.0036))))</f>
        <v>77.43349812</v>
      </c>
      <c r="AC28" s="58"/>
      <c r="AD28" s="59">
        <f>(('10'!AC28*'10'!$Q$10*1000000))/('10'!Y28*3600)</f>
        <v>0</v>
      </c>
      <c r="AE28" s="60"/>
      <c r="AF28" s="61">
        <f>('10'!AE28/24)*0.454</f>
        <v>0</v>
      </c>
      <c r="AG28" s="60"/>
      <c r="AH28" s="61">
        <f>('10'!AG28/24)*0.454</f>
        <v>0</v>
      </c>
      <c r="AI28" s="60">
        <v>5000.0</v>
      </c>
      <c r="AJ28" s="61">
        <f>('10'!AI28/24)*0.454</f>
        <v>94.58333333</v>
      </c>
      <c r="AK28" s="62"/>
      <c r="AL28" s="63">
        <f>('10'!AK28/24)*0.454</f>
        <v>0</v>
      </c>
      <c r="AM28" s="62"/>
      <c r="AN28" s="63">
        <f>('10'!AM28/24)*0.454</f>
        <v>0</v>
      </c>
      <c r="AO28" s="62"/>
      <c r="AP28" s="61">
        <f>('10'!AO28/24)*0.454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3034.0</v>
      </c>
      <c r="Z29" s="392">
        <v>1265.0</v>
      </c>
      <c r="AA29" s="56">
        <v>1.0</v>
      </c>
      <c r="AB29" s="58">
        <f>IF('10'!AA29=1,(('10'!Z29*'10'!$AS$6*'10'!$AT$6)/('10'!Y29*0.0036)),IF('10'!AA29=2,(('10'!Z29*'10'!$AS$7*'10'!$AT$7)/('10'!Y29*0.0036))))</f>
        <v>77.0183293</v>
      </c>
      <c r="AC29" s="58"/>
      <c r="AD29" s="59">
        <f>(('10'!AC29*'10'!$Q$10*1000000))/('10'!Y29*3600)</f>
        <v>0</v>
      </c>
      <c r="AE29" s="60"/>
      <c r="AF29" s="61">
        <f>('10'!AE29/24)*0.454</f>
        <v>0</v>
      </c>
      <c r="AG29" s="60"/>
      <c r="AH29" s="61">
        <f>('10'!AG29/24)*0.454</f>
        <v>0</v>
      </c>
      <c r="AI29" s="60">
        <v>5000.0</v>
      </c>
      <c r="AJ29" s="61">
        <f>('10'!AI29/24)*0.454</f>
        <v>94.58333333</v>
      </c>
      <c r="AK29" s="62"/>
      <c r="AL29" s="63">
        <f>('10'!AK29/24)*0.454</f>
        <v>0</v>
      </c>
      <c r="AM29" s="62"/>
      <c r="AN29" s="63">
        <f>('10'!AM29/24)*0.454</f>
        <v>0</v>
      </c>
      <c r="AO29" s="62"/>
      <c r="AP29" s="61">
        <f>('10'!AO29/24)*0.454</f>
        <v>0</v>
      </c>
    </row>
    <row r="30" ht="18.75" customHeight="1">
      <c r="A30" s="43"/>
      <c r="U30" s="27"/>
      <c r="X30" s="130" t="s">
        <v>55</v>
      </c>
      <c r="Y30" s="131">
        <f>SUM('10'!Y6:Y29)*3.6</f>
        <v>283500</v>
      </c>
      <c r="Z30" s="132">
        <f>SUM('10'!Z6:Z29)</f>
        <v>33230</v>
      </c>
      <c r="AA30" s="133"/>
      <c r="AB30" s="132"/>
      <c r="AC30" s="133"/>
      <c r="AD30" s="132"/>
      <c r="AE30" s="60"/>
      <c r="AF30" s="61">
        <f>SUM('10'!AF6:AF29)</f>
        <v>0</v>
      </c>
      <c r="AG30" s="60"/>
      <c r="AH30" s="61">
        <f>SUM('10'!AH6:AH29)</f>
        <v>0</v>
      </c>
      <c r="AI30" s="60"/>
      <c r="AJ30" s="61">
        <f>SUM('10'!AJ6:AJ29)</f>
        <v>2270</v>
      </c>
      <c r="AK30" s="62"/>
      <c r="AL30" s="63">
        <f>SUM('10'!AL6:AL29)</f>
        <v>0</v>
      </c>
      <c r="AM30" s="62"/>
      <c r="AN30" s="63">
        <f>SUM('10'!AN6:AN29)</f>
        <v>0</v>
      </c>
      <c r="AO30" s="62"/>
      <c r="AP30" s="63">
        <f>SUM('10'!AP6:AP29)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SUMIF('10'!AA6:AA29,"=1",'10'!Z6:Z29)</f>
        <v>33230</v>
      </c>
      <c r="AA32" s="132">
        <f>'10'!Z32*'10'!AS6</f>
        <v>44195.9</v>
      </c>
      <c r="AB32" s="139">
        <f>SUMIF('10'!$AA$6:$AA$29,"=1",'10'!$AB$6:$AB$29)/COUNTIF('10'!$AA$6:$AA$29,"=1")</f>
        <v>77.94587775</v>
      </c>
      <c r="AC32" s="140">
        <f>SUMIF('10'!AA6:AA29,"=1",'10'!AC6:AC29)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SUMIF('10'!AA6:AA29,"=2",'10'!Z6:Z29)</f>
        <v>0</v>
      </c>
      <c r="AA33" s="132">
        <f>'10'!Z33*'10'!AS7</f>
        <v>0</v>
      </c>
      <c r="AB33" s="139" t="str">
        <f>SUMIF('10'!$AA$6:$AA$29,"=2",'10'!$AB$6:$AB$29)/COUNTIF('10'!$AA$6:$AA$29,"=2")</f>
        <v>#DIV/0!</v>
      </c>
      <c r="AC33" s="145">
        <f>SUMIF('10'!AA6:AA29,"=2",'10'!AC6:AC29)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AVERAGE('10'!Y6:Y29)</f>
        <v>3281.25</v>
      </c>
      <c r="Z34" s="56">
        <f>AVERAGE('10'!Z6:Z29)</f>
        <v>1384.583333</v>
      </c>
      <c r="AA34" s="152"/>
      <c r="AB34" s="152"/>
      <c r="AC34" s="153" t="str">
        <f>SUM('10'!AC6:AC29)/COUNTIF('10'!AC6:AC29,"&lt;&gt;0")</f>
        <v>#DIV/0!</v>
      </c>
      <c r="AD34" s="154" t="str">
        <f>SUM('10'!AD6:AD29)/COUNTIF('10'!AD6:AD29,"&lt;&gt;0")</f>
        <v>#DIV/0!</v>
      </c>
      <c r="AE34" s="133"/>
      <c r="AF34" s="153">
        <f>AVERAGE('10'!AF6:AF29)</f>
        <v>0</v>
      </c>
      <c r="AG34" s="153"/>
      <c r="AH34" s="153">
        <f>AVERAGE('10'!AH6:AH29)</f>
        <v>0</v>
      </c>
      <c r="AI34" s="153"/>
      <c r="AJ34" s="153">
        <f>'10'!AJ30/24</f>
        <v>94.58333333</v>
      </c>
      <c r="AK34" s="153"/>
      <c r="AL34" s="153">
        <f>AVERAGE('10'!AL6:AL29)</f>
        <v>0</v>
      </c>
      <c r="AM34" s="153"/>
      <c r="AN34" s="153">
        <f>AVERAGE('10'!AN6:AN29)</f>
        <v>0</v>
      </c>
      <c r="AO34" s="153"/>
      <c r="AP34" s="153">
        <f>AVERAGE('10'!AP6:AP29)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>
        <v>4.0</v>
      </c>
      <c r="Z36" s="164"/>
      <c r="AA36" s="165" t="s">
        <v>74</v>
      </c>
      <c r="AB36" s="163">
        <v>4.0</v>
      </c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56.2</v>
      </c>
      <c r="D37" s="76">
        <v>32.1</v>
      </c>
      <c r="E37" s="76">
        <v>24.1</v>
      </c>
      <c r="F37" s="76">
        <v>1.0</v>
      </c>
      <c r="G37" s="60">
        <v>0.2</v>
      </c>
      <c r="H37" s="60">
        <v>0.2</v>
      </c>
      <c r="I37" s="60">
        <v>0.1</v>
      </c>
      <c r="J37" s="60">
        <v>0.1</v>
      </c>
      <c r="K37" s="60">
        <v>0.0</v>
      </c>
      <c r="L37" s="52" t="s">
        <v>131</v>
      </c>
      <c r="M37" s="106"/>
      <c r="N37" s="157"/>
      <c r="O37" s="51"/>
      <c r="P37" s="51"/>
      <c r="Q37" s="51"/>
      <c r="R37" s="51"/>
      <c r="S37" s="51"/>
      <c r="T37" s="51"/>
      <c r="U37" s="403" t="str">
        <f>'10'!V12</f>
        <v/>
      </c>
      <c r="X37" s="169" t="s">
        <v>75</v>
      </c>
      <c r="Y37" s="128"/>
      <c r="Z37" s="170">
        <f>COUNTA('10'!Z6:Z29)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SUM('10'!AF30+'10'!AH30)</f>
        <v>0</v>
      </c>
      <c r="AL38" s="178" t="s">
        <v>78</v>
      </c>
      <c r="AM38" s="179">
        <f>SUM('10'!AL30+'10'!AN30)</f>
        <v>0</v>
      </c>
      <c r="AO38" s="178" t="s">
        <v>78</v>
      </c>
      <c r="AP38" s="180">
        <f>'10'!AJ30</f>
        <v>2270</v>
      </c>
      <c r="AQ38" s="178" t="s">
        <v>78</v>
      </c>
      <c r="AR38" s="179">
        <f>'10'!AP30</f>
        <v>0</v>
      </c>
    </row>
    <row r="39" ht="16.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('10'!AK38/'10'!Y30)*1000</f>
        <v>0</v>
      </c>
      <c r="AL39" s="327" t="s">
        <v>86</v>
      </c>
      <c r="AM39" s="328">
        <f>('10'!AM38/'10'!Y30)*1000</f>
        <v>0</v>
      </c>
      <c r="AO39" s="325" t="s">
        <v>86</v>
      </c>
      <c r="AP39" s="326">
        <f>('10'!AP38/'10'!Y30)*1000</f>
        <v>8.007054674</v>
      </c>
      <c r="AQ39" s="327" t="s">
        <v>86</v>
      </c>
      <c r="AR39" s="328">
        <f>('10'!AR38/'10'!Y30)*1000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SUM('10'!AK38,'10'!AM38)</f>
        <v>0</v>
      </c>
      <c r="AM40" s="128"/>
      <c r="AO40" s="210" t="s">
        <v>90</v>
      </c>
      <c r="AP40" s="128"/>
      <c r="AQ40" s="211">
        <f>SUM('10'!AP38,'10'!AR38)</f>
        <v>2270</v>
      </c>
      <c r="AR40" s="128"/>
    </row>
    <row r="41" ht="16.5" customHeight="1">
      <c r="A41" s="212">
        <f>COUNTA('10'!E7:E18)</f>
        <v>12</v>
      </c>
      <c r="B41" s="213">
        <f>COUNTA('10'!I7:I18)</f>
        <v>12</v>
      </c>
      <c r="C41" s="214">
        <f>COUNTA('10'!J7:J18)</f>
        <v>12</v>
      </c>
      <c r="D41" s="80"/>
      <c r="E41" s="214">
        <f>COUNTIF('10'!E7:E18,"&gt;15")</f>
        <v>0</v>
      </c>
      <c r="F41" s="80"/>
      <c r="G41" s="214">
        <f>COUNTIF('10'!J7:J18,"&gt;1")</f>
        <v>0</v>
      </c>
      <c r="H41" s="80"/>
      <c r="I41" s="215"/>
      <c r="J41" s="214">
        <f>'10'!A41-'10'!E41</f>
        <v>12</v>
      </c>
      <c r="K41" s="80"/>
      <c r="L41" s="214">
        <f>'10'!C41-'10'!G41</f>
        <v>12</v>
      </c>
      <c r="M41" s="80"/>
      <c r="N41" s="215"/>
      <c r="O41" s="216">
        <f>COUNTIF('10'!J7:J18,"&lt;=0,5")</f>
        <v>9</v>
      </c>
      <c r="P41" s="217"/>
      <c r="Q41" s="218"/>
      <c r="R41" s="219"/>
      <c r="S41" s="220">
        <f>COUNTIF('10'!J7:J18,"&lt;=1,0")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SUM(('10'!AK38+'10'!AM38)/'10'!Y30)*1000</f>
        <v>0</v>
      </c>
      <c r="AM41" s="128"/>
      <c r="AO41" s="210" t="s">
        <v>91</v>
      </c>
      <c r="AP41" s="128"/>
      <c r="AQ41" s="223">
        <f>SUM(('10'!AP38+'10'!AR38)/'10'!Y30)*1000</f>
        <v>8.007054674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>
        <v>79.0</v>
      </c>
      <c r="Z44" s="68" t="s">
        <v>101</v>
      </c>
      <c r="AA44" s="241">
        <v>144.0</v>
      </c>
      <c r="AB44" s="68" t="s">
        <v>101</v>
      </c>
      <c r="AC44" s="241"/>
      <c r="AD44" s="242"/>
      <c r="AE44" s="243"/>
      <c r="AF44" s="244" t="s">
        <v>102</v>
      </c>
      <c r="AG44" s="245">
        <f>SUM('10'!Y45,'10'!AA45,'10'!AC45,'10'!AE45)</f>
        <v>131534.3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COUNTIF('10'!I7:I18,"&lt;=5,0")</f>
        <v>12</v>
      </c>
      <c r="I45" s="127"/>
      <c r="J45" s="128"/>
      <c r="K45" s="215"/>
      <c r="L45" s="208">
        <f>COUNTA('10'!L37)</f>
        <v>1</v>
      </c>
      <c r="M45" s="128"/>
      <c r="O45" s="248"/>
      <c r="P45" s="249"/>
      <c r="Q45" s="250">
        <f>'10'!S41-'10'!O41</f>
        <v>3</v>
      </c>
      <c r="R45" s="251"/>
      <c r="S45" s="252"/>
      <c r="T45" s="253"/>
      <c r="X45" s="133" t="s">
        <v>104</v>
      </c>
      <c r="Y45" s="254">
        <f>'10'!Y44*275.3</f>
        <v>21748.7</v>
      </c>
      <c r="Z45" s="133" t="s">
        <v>104</v>
      </c>
      <c r="AA45" s="254">
        <f>262.4*'10'!AA44</f>
        <v>37785.6</v>
      </c>
      <c r="AB45" s="133" t="s">
        <v>104</v>
      </c>
      <c r="AC45" s="254">
        <f>'10'!AC44*277.7</f>
        <v>0</v>
      </c>
      <c r="AD45" s="133" t="s">
        <v>104</v>
      </c>
      <c r="AE45" s="255">
        <v>72000.0</v>
      </c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75" customHeight="1">
      <c r="F46" s="257"/>
      <c r="X46" s="196" t="s">
        <v>105</v>
      </c>
      <c r="Y46" s="258">
        <f>'10'!AS6</f>
        <v>1.33</v>
      </c>
      <c r="Z46" s="196" t="s">
        <v>105</v>
      </c>
      <c r="AA46" s="258">
        <f>'10'!Y46</f>
        <v>1.33</v>
      </c>
      <c r="AB46" s="196" t="s">
        <v>105</v>
      </c>
      <c r="AC46" s="258">
        <f>'10'!Y46</f>
        <v>1.33</v>
      </c>
      <c r="AD46" s="196" t="s">
        <v>105</v>
      </c>
      <c r="AE46" s="259">
        <f>'10'!Y46</f>
        <v>1.33</v>
      </c>
      <c r="AF46" s="260" t="s">
        <v>106</v>
      </c>
      <c r="AG46" s="261">
        <f>SUM('10'!Y47,'10'!AA47,'10'!AC47,'10'!AE47)</f>
        <v>174940.619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'10'!Y45*'10'!Y46</f>
        <v>28925.771</v>
      </c>
      <c r="Z47" s="133" t="s">
        <v>108</v>
      </c>
      <c r="AA47" s="254">
        <f>'10'!AA45*'10'!AA46</f>
        <v>50254.848</v>
      </c>
      <c r="AB47" s="133" t="s">
        <v>108</v>
      </c>
      <c r="AC47" s="254">
        <f>'10'!AC45*'10'!AC46</f>
        <v>0</v>
      </c>
      <c r="AD47" s="133" t="s">
        <v>108</v>
      </c>
      <c r="AE47" s="254">
        <f>'10'!AE45*'10'!AE46</f>
        <v>95760</v>
      </c>
      <c r="AF47" s="46"/>
      <c r="AG47" s="46"/>
      <c r="AI47" s="133" t="s">
        <v>104</v>
      </c>
      <c r="AJ47" s="254">
        <f>'10'!AJ46*275.3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'10'!AN46*277.7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'10'!Y46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'10'!AJ48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'10'!AJ47*'10'!AJ48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'10'!AN47*'10'!AN48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COUNTA('10'!O7:O18)</f>
        <v>12</v>
      </c>
      <c r="P51" s="128"/>
      <c r="R51" s="247">
        <f>COUNTIF('10'!O7:O18,"&gt;=0,5")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SUM('10'!Y53,'10'!AA53,'10'!AC53,'10'!AE53)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'10'!Y52*275.3</f>
        <v>0</v>
      </c>
      <c r="Z53" s="133" t="s">
        <v>104</v>
      </c>
      <c r="AA53" s="254">
        <f>262.4*'10'!AA52</f>
        <v>0</v>
      </c>
      <c r="AB53" s="133" t="s">
        <v>104</v>
      </c>
      <c r="AC53" s="276">
        <f>'10'!AC52*277.7</f>
        <v>0</v>
      </c>
      <c r="AD53" s="133" t="s">
        <v>104</v>
      </c>
      <c r="AE53" s="352"/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 t="str">
        <f>'10'!AS7</f>
        <v/>
      </c>
      <c r="Z54" s="196" t="s">
        <v>105</v>
      </c>
      <c r="AA54" s="258" t="str">
        <f>'10'!Y54</f>
        <v/>
      </c>
      <c r="AB54" s="196" t="s">
        <v>105</v>
      </c>
      <c r="AC54" s="258" t="str">
        <f>'10'!Y54</f>
        <v/>
      </c>
      <c r="AD54" s="196" t="s">
        <v>105</v>
      </c>
      <c r="AE54" s="259" t="str">
        <f>'10'!Y54</f>
        <v/>
      </c>
      <c r="AF54" s="260" t="s">
        <v>106</v>
      </c>
      <c r="AG54" s="261">
        <f>SUM('10'!Y55,'10'!AA55,'10'!AC55,'10'!AE55)</f>
        <v>0</v>
      </c>
      <c r="AI54" s="133" t="s">
        <v>104</v>
      </c>
      <c r="AJ54" s="254">
        <f>'10'!AJ53*275.3</f>
        <v>0</v>
      </c>
      <c r="AK54" s="133" t="s">
        <v>104</v>
      </c>
      <c r="AL54" s="254">
        <f>262.4*'10'!AL53</f>
        <v>0</v>
      </c>
      <c r="AM54" s="133" t="s">
        <v>104</v>
      </c>
      <c r="AN54" s="276">
        <f>'10'!AN53*277.7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'10'!Y53*'10'!Y54</f>
        <v>0</v>
      </c>
      <c r="Z55" s="133" t="s">
        <v>108</v>
      </c>
      <c r="AA55" s="254">
        <f>'10'!AA53*'10'!AA54</f>
        <v>0</v>
      </c>
      <c r="AB55" s="133" t="s">
        <v>108</v>
      </c>
      <c r="AC55" s="254">
        <f>'10'!AC53*'10'!AC54</f>
        <v>0</v>
      </c>
      <c r="AD55" s="133" t="s">
        <v>108</v>
      </c>
      <c r="AE55" s="254">
        <f>'10'!AE53*'10'!AE54</f>
        <v>0</v>
      </c>
      <c r="AF55" s="46"/>
      <c r="AG55" s="46"/>
      <c r="AI55" s="196" t="s">
        <v>105</v>
      </c>
      <c r="AJ55" s="258" t="str">
        <f>'10'!Y54</f>
        <v/>
      </c>
      <c r="AK55" s="196" t="s">
        <v>105</v>
      </c>
      <c r="AL55" s="258" t="str">
        <f>'10'!AJ55</f>
        <v/>
      </c>
      <c r="AM55" s="196" t="s">
        <v>105</v>
      </c>
      <c r="AN55" s="258" t="str">
        <f>'10'!AJ55</f>
        <v/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'10'!AJ54*'10'!AJ55</f>
        <v>0</v>
      </c>
      <c r="AK56" s="133" t="s">
        <v>108</v>
      </c>
      <c r="AL56" s="254">
        <f>'10'!AL54*'10'!AL55</f>
        <v>0</v>
      </c>
      <c r="AM56" s="133" t="s">
        <v>108</v>
      </c>
      <c r="AN56" s="254">
        <f>'10'!AN54*'10'!AN55</f>
        <v>0</v>
      </c>
      <c r="AO56" s="16"/>
      <c r="AP56" s="17"/>
      <c r="AQ56" s="17"/>
      <c r="AR56" s="18"/>
    </row>
    <row r="57" ht="15.75" customHeight="1">
      <c r="O57" s="169">
        <f>COUNTA('10'!N7:N18)</f>
        <v>12</v>
      </c>
      <c r="P57" s="128"/>
      <c r="R57" s="277">
        <f>COUNTIF('10'!N7:N18,"&gt;=6")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'10'!AJ56+'10'!AL56+'10'!AN56</f>
        <v>0</v>
      </c>
      <c r="AM61" s="80"/>
      <c r="AN61" s="286" t="s">
        <v>121</v>
      </c>
      <c r="AO61" s="79"/>
      <c r="AP61" s="80"/>
      <c r="AQ61" s="287">
        <f>'10'!AJ49+'10'!AL49+'10'!AN49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'10'!AA32</f>
        <v>44195.9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/>
      <c r="AI63" s="286" t="s">
        <v>125</v>
      </c>
      <c r="AJ63" s="79"/>
      <c r="AK63" s="80"/>
      <c r="AL63" s="287">
        <f>'10'!AL61-'10'!AL62</f>
        <v>0</v>
      </c>
      <c r="AM63" s="80"/>
      <c r="AN63" s="286" t="s">
        <v>125</v>
      </c>
      <c r="AO63" s="79"/>
      <c r="AP63" s="80"/>
      <c r="AQ63" s="287">
        <f>AQ61-AQ62</f>
        <v>-44195.9</v>
      </c>
      <c r="AR63" s="80"/>
    </row>
    <row r="64" ht="15.0" customHeight="1">
      <c r="X64" s="294"/>
      <c r="Y64" s="295"/>
      <c r="Z64" s="43"/>
      <c r="AA64" s="27"/>
      <c r="AB64" s="296"/>
      <c r="AC64" s="125"/>
      <c r="AE64" s="97"/>
    </row>
    <row r="65" ht="39.0" customHeight="1">
      <c r="X65" s="297" t="s">
        <v>126</v>
      </c>
      <c r="Y65" s="298">
        <f>'9'!$Y$68</f>
        <v>-4540</v>
      </c>
      <c r="Z65" s="43"/>
      <c r="AA65" s="27"/>
      <c r="AB65" s="299" t="s">
        <v>126</v>
      </c>
      <c r="AC65" s="330">
        <f>'9'!$AC$68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>
        <f>SUM('10'!AK38,'10'!AP38)</f>
        <v>2270</v>
      </c>
      <c r="Z67" s="43"/>
      <c r="AA67" s="27"/>
      <c r="AB67" s="296" t="s">
        <v>124</v>
      </c>
      <c r="AC67" s="254">
        <f>SUM('10'!AM38,'10'!AR38)</f>
        <v>0</v>
      </c>
    </row>
    <row r="68" ht="15.75" customHeight="1">
      <c r="X68" s="294" t="s">
        <v>128</v>
      </c>
      <c r="Y68" s="301">
        <f>SUM('10'!Y63,'10'!Y65)-'10'!Y67</f>
        <v>-6810</v>
      </c>
      <c r="Z68" s="16"/>
      <c r="AA68" s="18"/>
      <c r="AB68" s="296" t="s">
        <v>128</v>
      </c>
      <c r="AC68" s="302">
        <f>SUM('10'!AC63,'10'!AC65)-'10'!AC67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1" width="8.71"/>
    <col customWidth="1" min="22" max="24" width="8.57"/>
    <col customWidth="1" min="25" max="25" width="8.71"/>
    <col customWidth="1" min="26" max="26" width="8.57"/>
    <col customWidth="1" min="27" max="27" width="6.14"/>
    <col customWidth="1" min="28" max="47" width="8.57"/>
  </cols>
  <sheetData>
    <row r="1" ht="15.75" customHeight="1"/>
    <row r="2" ht="15.0" customHeight="1">
      <c r="A2" s="10"/>
      <c r="B2" s="11"/>
      <c r="C2" s="12"/>
      <c r="D2" s="404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47" t="s">
        <v>13</v>
      </c>
      <c r="U4" s="332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2930.0</v>
      </c>
      <c r="Z6" s="308">
        <v>1265.0</v>
      </c>
      <c r="AA6" s="56">
        <v>1.0</v>
      </c>
      <c r="AB6" s="58">
        <f>IF('11'!AA6=1,(('11'!Z6*'11'!$AS$6*'11'!$AT$6)/('11'!Y6*0.0036)),IF('11'!AA6=2,(('11'!Z6*'11'!$AS$7*'11'!$AT$7)/('11'!Y6*0.0036))))</f>
        <v>79.7520857</v>
      </c>
      <c r="AC6" s="58"/>
      <c r="AD6" s="59">
        <f>(('11'!AC6*'11'!$Q$10*1000000))/('11'!Y6*3600)</f>
        <v>0</v>
      </c>
      <c r="AE6" s="60"/>
      <c r="AF6" s="61">
        <f>('11'!AE6/24)*0.454</f>
        <v>0</v>
      </c>
      <c r="AG6" s="60"/>
      <c r="AH6" s="61">
        <f>('11'!AG6/24)*0.454</f>
        <v>0</v>
      </c>
      <c r="AI6" s="405">
        <v>5000.0</v>
      </c>
      <c r="AJ6" s="61">
        <f>('11'!AI6/24)*0.454</f>
        <v>94.58333333</v>
      </c>
      <c r="AK6" s="62"/>
      <c r="AL6" s="63">
        <f>('11'!AK6/24)*0.454</f>
        <v>0</v>
      </c>
      <c r="AM6" s="62"/>
      <c r="AN6" s="63">
        <f>('11'!AM6/24)*0.454</f>
        <v>0</v>
      </c>
      <c r="AO6" s="62"/>
      <c r="AP6" s="63">
        <f>('11'!AO6/24)*0.454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112.0</v>
      </c>
      <c r="C7" s="76">
        <v>9.0</v>
      </c>
      <c r="D7" s="76">
        <v>9.3</v>
      </c>
      <c r="E7" s="76">
        <v>3.6</v>
      </c>
      <c r="F7" s="76">
        <v>22.6</v>
      </c>
      <c r="G7" s="76">
        <v>1.3</v>
      </c>
      <c r="H7" s="76">
        <v>1.1</v>
      </c>
      <c r="I7" s="76">
        <v>0.6</v>
      </c>
      <c r="J7" s="76">
        <v>0.5</v>
      </c>
      <c r="K7" s="76">
        <v>6.9</v>
      </c>
      <c r="L7" s="76">
        <v>6.5</v>
      </c>
      <c r="M7" s="76">
        <v>6.4</v>
      </c>
      <c r="N7" s="76">
        <v>6.2</v>
      </c>
      <c r="O7" s="76">
        <v>3.6</v>
      </c>
      <c r="P7" s="76"/>
      <c r="Q7" s="76"/>
      <c r="R7" s="77">
        <f>'10'!$Z$29</f>
        <v>1265</v>
      </c>
      <c r="S7" s="309">
        <f>'10'!$AB$29</f>
        <v>77.0183293</v>
      </c>
      <c r="T7" s="77">
        <f>'10'!$Y$29</f>
        <v>3034</v>
      </c>
      <c r="U7" s="73" t="str">
        <f>IF('11'!AA6=1,'11'!AR6,'11'!AR7)</f>
        <v>S.A.L</v>
      </c>
      <c r="V7" s="74" t="str">
        <f>ESCALA!$C$12</f>
        <v/>
      </c>
      <c r="W7" s="12"/>
      <c r="X7" s="54">
        <v>0.0833333333333333</v>
      </c>
      <c r="Y7" s="125">
        <v>2943.0</v>
      </c>
      <c r="Z7" s="308">
        <v>1265.0</v>
      </c>
      <c r="AA7" s="56">
        <v>1.0</v>
      </c>
      <c r="AB7" s="58">
        <f>IF('11'!AA7=1,(('11'!Z7*'11'!$AS$6*'11'!$AT$6)/('11'!Y7*0.0036)),IF('11'!AA7=2,(('11'!Z7*'11'!$AS$7*'11'!$AT$7)/('11'!Y7*0.0036))))</f>
        <v>79.3997999</v>
      </c>
      <c r="AC7" s="58"/>
      <c r="AD7" s="59">
        <f>(('11'!AC7*'11'!$Q$10*1000000))/('11'!Y7*3600)</f>
        <v>0</v>
      </c>
      <c r="AE7" s="60"/>
      <c r="AF7" s="61">
        <f>('11'!AE7/24)*0.454</f>
        <v>0</v>
      </c>
      <c r="AG7" s="60"/>
      <c r="AH7" s="61">
        <f>('11'!AG7/24)*0.454</f>
        <v>0</v>
      </c>
      <c r="AI7" s="405">
        <v>5000.0</v>
      </c>
      <c r="AJ7" s="61">
        <f>('11'!AI7/24)*0.454</f>
        <v>94.58333333</v>
      </c>
      <c r="AK7" s="62"/>
      <c r="AL7" s="63">
        <f>('11'!AK7/24)*0.454</f>
        <v>0</v>
      </c>
      <c r="AM7" s="62"/>
      <c r="AN7" s="63">
        <f>('11'!AM7/24)*0.454</f>
        <v>0</v>
      </c>
      <c r="AO7" s="62"/>
      <c r="AP7" s="63">
        <f>('11'!AO7/24)*0.454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90.0</v>
      </c>
      <c r="C8" s="76">
        <v>9.0</v>
      </c>
      <c r="D8" s="76">
        <v>9.0</v>
      </c>
      <c r="E8" s="76">
        <v>3.0</v>
      </c>
      <c r="F8" s="76">
        <v>20.0</v>
      </c>
      <c r="G8" s="76">
        <v>1.3</v>
      </c>
      <c r="H8" s="76">
        <v>1.2</v>
      </c>
      <c r="I8" s="76">
        <v>0.6</v>
      </c>
      <c r="J8" s="76">
        <v>0.5</v>
      </c>
      <c r="K8" s="76">
        <v>6.9</v>
      </c>
      <c r="L8" s="76">
        <v>6.5</v>
      </c>
      <c r="M8" s="76">
        <v>6.4</v>
      </c>
      <c r="N8" s="76">
        <v>6.2</v>
      </c>
      <c r="O8" s="76">
        <v>3.6</v>
      </c>
      <c r="P8" s="76"/>
      <c r="Q8" s="76"/>
      <c r="R8" s="75">
        <f>'11'!Z7</f>
        <v>1265</v>
      </c>
      <c r="S8" s="76">
        <f>'11'!AB7</f>
        <v>79.3997999</v>
      </c>
      <c r="T8" s="77">
        <f>'11'!Y7</f>
        <v>2943</v>
      </c>
      <c r="U8" s="73" t="str">
        <f>IF('11'!AA7=1,'11'!AR6,'11'!AR7)</f>
        <v>S.A.L</v>
      </c>
      <c r="V8" s="43"/>
      <c r="W8" s="27"/>
      <c r="X8" s="54">
        <v>0.125</v>
      </c>
      <c r="Y8" s="125">
        <v>2952.0</v>
      </c>
      <c r="Z8" s="308">
        <v>1265.0</v>
      </c>
      <c r="AA8" s="56">
        <v>1.0</v>
      </c>
      <c r="AB8" s="58">
        <f>IF('11'!AA8=1,(('11'!Z8*'11'!$AS$6*'11'!$AT$6)/('11'!Y8*0.0036)),IF('11'!AA8=2,(('11'!Z8*'11'!$AS$7*'11'!$AT$7)/('11'!Y8*0.0036))))</f>
        <v>79.15772734</v>
      </c>
      <c r="AC8" s="58"/>
      <c r="AD8" s="59">
        <f>(('11'!AC8*'11'!$Q$10*1000000))/('11'!Y8*3600)</f>
        <v>0</v>
      </c>
      <c r="AE8" s="60"/>
      <c r="AF8" s="61">
        <f>('11'!AE8/24)*0.454</f>
        <v>0</v>
      </c>
      <c r="AG8" s="60"/>
      <c r="AH8" s="61">
        <f>('11'!AG8/24)*0.454</f>
        <v>0</v>
      </c>
      <c r="AI8" s="405">
        <v>5000.0</v>
      </c>
      <c r="AJ8" s="61">
        <f>('11'!AI8/24)*0.454</f>
        <v>94.58333333</v>
      </c>
      <c r="AK8" s="62"/>
      <c r="AL8" s="63">
        <f>('11'!AK8/24)*0.454</f>
        <v>0</v>
      </c>
      <c r="AM8" s="62"/>
      <c r="AN8" s="63">
        <f>('11'!AM8/24)*0.454</f>
        <v>0</v>
      </c>
      <c r="AO8" s="62"/>
      <c r="AP8" s="63">
        <f>('11'!AO8/24)*0.454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84.0</v>
      </c>
      <c r="C9" s="76">
        <v>9.0</v>
      </c>
      <c r="D9" s="76">
        <v>9.2</v>
      </c>
      <c r="E9" s="76">
        <v>3.2</v>
      </c>
      <c r="F9" s="76">
        <v>18.0</v>
      </c>
      <c r="G9" s="76">
        <v>1.3</v>
      </c>
      <c r="H9" s="76">
        <v>1.2</v>
      </c>
      <c r="I9" s="76">
        <v>0.6</v>
      </c>
      <c r="J9" s="76">
        <v>0.5</v>
      </c>
      <c r="K9" s="76">
        <v>6.9</v>
      </c>
      <c r="L9" s="76">
        <v>6.5</v>
      </c>
      <c r="M9" s="76">
        <v>6.4</v>
      </c>
      <c r="N9" s="76">
        <v>6.2</v>
      </c>
      <c r="O9" s="76">
        <v>3.6</v>
      </c>
      <c r="P9" s="76"/>
      <c r="Q9" s="76"/>
      <c r="R9" s="77">
        <f>'11'!Z9</f>
        <v>1265</v>
      </c>
      <c r="S9" s="76">
        <f>'11'!AB9</f>
        <v>79.31894471</v>
      </c>
      <c r="T9" s="77">
        <f>'11'!Y9</f>
        <v>2946</v>
      </c>
      <c r="U9" s="73" t="str">
        <f>IF('11'!AA9=1,'11'!AR6,'11'!AR7)</f>
        <v>S.A.L</v>
      </c>
      <c r="V9" s="43"/>
      <c r="W9" s="27"/>
      <c r="X9" s="54">
        <v>0.166666666666667</v>
      </c>
      <c r="Y9" s="125">
        <v>2946.0</v>
      </c>
      <c r="Z9" s="308">
        <v>1265.0</v>
      </c>
      <c r="AA9" s="56">
        <v>1.0</v>
      </c>
      <c r="AB9" s="58">
        <f>IF('11'!AA9=1,(('11'!Z9*'11'!$AS$6*'11'!$AT$6)/('11'!Y9*0.0036)),IF('11'!AA9=2,(('11'!Z9*'11'!$AS$7*'11'!$AT$7)/('11'!Y9*0.0036))))</f>
        <v>79.31894471</v>
      </c>
      <c r="AC9" s="58"/>
      <c r="AD9" s="59">
        <f>(('11'!AC9*'11'!$Q$10*1000000))/('11'!Y9*3600)</f>
        <v>0</v>
      </c>
      <c r="AE9" s="60"/>
      <c r="AF9" s="61">
        <f>('11'!AE9/24)*0.454</f>
        <v>0</v>
      </c>
      <c r="AG9" s="60"/>
      <c r="AH9" s="61">
        <f>('11'!AG9/24)*0.454</f>
        <v>0</v>
      </c>
      <c r="AI9" s="405">
        <v>5000.0</v>
      </c>
      <c r="AJ9" s="61">
        <f>('11'!AI9/24)*0.454</f>
        <v>94.58333333</v>
      </c>
      <c r="AK9" s="62"/>
      <c r="AL9" s="63">
        <f>('11'!AK9/24)*0.454</f>
        <v>0</v>
      </c>
      <c r="AM9" s="62"/>
      <c r="AN9" s="63">
        <f>('11'!AM9/24)*0.454</f>
        <v>0</v>
      </c>
      <c r="AO9" s="62"/>
      <c r="AP9" s="63">
        <f>('11'!AO9/24)*0.454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79.0</v>
      </c>
      <c r="C10" s="76">
        <v>8.0</v>
      </c>
      <c r="D10" s="76">
        <v>8.0</v>
      </c>
      <c r="E10" s="76">
        <v>2.0</v>
      </c>
      <c r="F10" s="76">
        <v>14.0</v>
      </c>
      <c r="G10" s="76">
        <v>0.9</v>
      </c>
      <c r="H10" s="76">
        <v>0.9</v>
      </c>
      <c r="I10" s="76">
        <v>0.5</v>
      </c>
      <c r="J10" s="76">
        <v>0.5</v>
      </c>
      <c r="K10" s="76">
        <v>6.9</v>
      </c>
      <c r="L10" s="76">
        <v>6.5</v>
      </c>
      <c r="M10" s="76">
        <v>6.4</v>
      </c>
      <c r="N10" s="76">
        <v>6.2</v>
      </c>
      <c r="O10" s="76">
        <v>3.6</v>
      </c>
      <c r="P10" s="76"/>
      <c r="Q10" s="76"/>
      <c r="R10" s="77">
        <f>'11'!Z11</f>
        <v>1265</v>
      </c>
      <c r="S10" s="76">
        <f>'11'!AB11</f>
        <v>78.94378754</v>
      </c>
      <c r="T10" s="77">
        <f>'11'!Y11</f>
        <v>2960</v>
      </c>
      <c r="U10" s="73" t="str">
        <f>IF('11'!AA11=1,'11'!AR6,'11'!AR7)</f>
        <v>S.A.L</v>
      </c>
      <c r="V10" s="43"/>
      <c r="W10" s="27"/>
      <c r="X10" s="54">
        <v>0.208333333333333</v>
      </c>
      <c r="Y10" s="125">
        <v>3015.0</v>
      </c>
      <c r="Z10" s="308">
        <v>1265.0</v>
      </c>
      <c r="AA10" s="56">
        <v>1.0</v>
      </c>
      <c r="AB10" s="58">
        <f>IF('11'!AA10=1,(('11'!Z10*'11'!$AS$6*'11'!$AT$6)/('11'!Y10*0.0036)),IF('11'!AA10=2,(('11'!Z10*'11'!$AS$7*'11'!$AT$7)/('11'!Y10*0.0036))))</f>
        <v>77.50368528</v>
      </c>
      <c r="AC10" s="58"/>
      <c r="AD10" s="59">
        <f>(('11'!AC10*'11'!$Q$10*1000000))/('11'!Y10*3600)</f>
        <v>0</v>
      </c>
      <c r="AE10" s="60"/>
      <c r="AF10" s="61">
        <f>('11'!AE10/24)*0.454</f>
        <v>0</v>
      </c>
      <c r="AG10" s="60"/>
      <c r="AH10" s="61">
        <f>('11'!AG10/24)*0.454</f>
        <v>0</v>
      </c>
      <c r="AI10" s="405">
        <v>5000.0</v>
      </c>
      <c r="AJ10" s="61">
        <f>('11'!AI10/24)*0.454</f>
        <v>94.58333333</v>
      </c>
      <c r="AK10" s="62"/>
      <c r="AL10" s="63">
        <f>('11'!AK10/24)*0.454</f>
        <v>0</v>
      </c>
      <c r="AM10" s="62"/>
      <c r="AN10" s="63">
        <f>('11'!AM10/24)*0.454</f>
        <v>0</v>
      </c>
      <c r="AO10" s="62"/>
      <c r="AP10" s="63">
        <f>('11'!AO10/24)*0.454</f>
        <v>0</v>
      </c>
      <c r="AQ10" s="84" t="s">
        <v>51</v>
      </c>
      <c r="AR10" s="79"/>
      <c r="AS10" s="80"/>
      <c r="AT10" s="85"/>
    </row>
    <row r="11" ht="19.5" customHeight="1">
      <c r="A11" s="69">
        <v>0.333333333333333</v>
      </c>
      <c r="B11" s="76">
        <v>84.0</v>
      </c>
      <c r="C11" s="76">
        <v>9.0</v>
      </c>
      <c r="D11" s="76">
        <v>9.0</v>
      </c>
      <c r="E11" s="76">
        <v>5.0</v>
      </c>
      <c r="F11" s="76">
        <v>15.0</v>
      </c>
      <c r="G11" s="76">
        <v>1.1</v>
      </c>
      <c r="H11" s="76">
        <v>1.3</v>
      </c>
      <c r="I11" s="76">
        <v>0.6</v>
      </c>
      <c r="J11" s="76">
        <v>0.5</v>
      </c>
      <c r="K11" s="76">
        <v>6.9</v>
      </c>
      <c r="L11" s="76">
        <v>6.5</v>
      </c>
      <c r="M11" s="76">
        <v>6.4</v>
      </c>
      <c r="N11" s="76">
        <v>6.2</v>
      </c>
      <c r="O11" s="76">
        <v>3.6</v>
      </c>
      <c r="P11" s="76"/>
      <c r="Q11" s="76"/>
      <c r="R11" s="77">
        <f>'11'!Z13</f>
        <v>1265</v>
      </c>
      <c r="S11" s="76">
        <f>'11'!AB13</f>
        <v>70.21442642</v>
      </c>
      <c r="T11" s="77">
        <f>'11'!Y13</f>
        <v>3328</v>
      </c>
      <c r="U11" s="73" t="str">
        <f>IF('11'!AA13=1,'11'!AR6,'11'!AR7)</f>
        <v>S.A.L</v>
      </c>
      <c r="V11" s="16"/>
      <c r="W11" s="18"/>
      <c r="X11" s="54">
        <v>0.25</v>
      </c>
      <c r="Y11" s="125">
        <v>2960.0</v>
      </c>
      <c r="Z11" s="308">
        <v>1265.0</v>
      </c>
      <c r="AA11" s="56">
        <v>1.0</v>
      </c>
      <c r="AB11" s="58">
        <f>IF('11'!AA11=1,(('11'!Z11*'11'!$AS$6*'11'!$AT$6)/('11'!Y11*0.0036)),IF('11'!AA11=2,(('11'!Z11*'11'!$AS$7*'11'!$AT$7)/('11'!Y11*0.0036))))</f>
        <v>78.94378754</v>
      </c>
      <c r="AC11" s="58"/>
      <c r="AD11" s="59">
        <f>(('11'!AC11*'11'!$Q$10*1000000))/('11'!Y11*3600)</f>
        <v>0</v>
      </c>
      <c r="AE11" s="60"/>
      <c r="AF11" s="61">
        <f>('11'!AE11/24)*0.454</f>
        <v>0</v>
      </c>
      <c r="AG11" s="60"/>
      <c r="AH11" s="61">
        <f>('11'!AG11/24)*0.454</f>
        <v>0</v>
      </c>
      <c r="AI11" s="405">
        <v>5000.0</v>
      </c>
      <c r="AJ11" s="61">
        <f>('11'!AI11/24)*0.454</f>
        <v>94.58333333</v>
      </c>
      <c r="AK11" s="62"/>
      <c r="AL11" s="63">
        <f>('11'!AK11/24)*0.454</f>
        <v>0</v>
      </c>
      <c r="AM11" s="62"/>
      <c r="AN11" s="63">
        <f>('11'!AM11/24)*0.454</f>
        <v>0</v>
      </c>
      <c r="AO11" s="62"/>
      <c r="AP11" s="63">
        <f>('11'!AO11/24)*0.454</f>
        <v>0</v>
      </c>
    </row>
    <row r="12" ht="18.75" customHeight="1">
      <c r="A12" s="69">
        <v>0.416666666666667</v>
      </c>
      <c r="B12" s="76">
        <v>86.0</v>
      </c>
      <c r="C12" s="76">
        <v>10.0</v>
      </c>
      <c r="D12" s="76">
        <v>10.0</v>
      </c>
      <c r="E12" s="76">
        <v>5.0</v>
      </c>
      <c r="F12" s="76">
        <v>15.0</v>
      </c>
      <c r="G12" s="76">
        <v>1.1</v>
      </c>
      <c r="H12" s="76">
        <v>1.4</v>
      </c>
      <c r="I12" s="76">
        <v>0.6</v>
      </c>
      <c r="J12" s="76">
        <v>0.5</v>
      </c>
      <c r="K12" s="76">
        <v>6.9</v>
      </c>
      <c r="L12" s="76">
        <v>6.5</v>
      </c>
      <c r="M12" s="76">
        <v>6.4</v>
      </c>
      <c r="N12" s="76">
        <v>6.2</v>
      </c>
      <c r="O12" s="76">
        <v>3.6</v>
      </c>
      <c r="P12" s="76"/>
      <c r="Q12" s="76"/>
      <c r="R12" s="77">
        <f>'11'!Z15</f>
        <v>1358</v>
      </c>
      <c r="S12" s="76">
        <f>'11'!AB15</f>
        <v>75.3311645</v>
      </c>
      <c r="T12" s="77">
        <f>'11'!Y15</f>
        <v>3330</v>
      </c>
      <c r="U12" s="73" t="str">
        <f>IF('11'!AA15=1,'11'!AR6,'11'!AR7)</f>
        <v>S.A.L</v>
      </c>
      <c r="V12" s="88" t="str">
        <f>ESCALA!$B$13</f>
        <v/>
      </c>
      <c r="W12" s="89"/>
      <c r="X12" s="54">
        <v>0.291666666666667</v>
      </c>
      <c r="Y12" s="125">
        <v>3111.0</v>
      </c>
      <c r="Z12" s="308">
        <v>1265.0</v>
      </c>
      <c r="AA12" s="56">
        <v>1.0</v>
      </c>
      <c r="AB12" s="58">
        <f>IF('11'!AA12=1,(('11'!Z12*'11'!$AS$6*'11'!$AT$6)/('11'!Y12*0.0036)),IF('11'!AA12=2,(('11'!Z12*'11'!$AS$7*'11'!$AT$7)/('11'!Y12*0.0036))))</f>
        <v>75.11205757</v>
      </c>
      <c r="AC12" s="58"/>
      <c r="AD12" s="59">
        <f>(('11'!AC12*'11'!$Q$10*1000000))/('11'!Y12*3600)</f>
        <v>0</v>
      </c>
      <c r="AE12" s="60"/>
      <c r="AF12" s="61">
        <f>('11'!AE12/24)*0.454</f>
        <v>0</v>
      </c>
      <c r="AG12" s="60"/>
      <c r="AH12" s="61">
        <f>('11'!AG12/24)*0.454</f>
        <v>0</v>
      </c>
      <c r="AI12" s="405">
        <v>4500.0</v>
      </c>
      <c r="AJ12" s="61">
        <f>('11'!AI12/24)*0.454</f>
        <v>85.125</v>
      </c>
      <c r="AK12" s="62"/>
      <c r="AL12" s="63">
        <f>('11'!AK12/24)*0.454</f>
        <v>0</v>
      </c>
      <c r="AM12" s="62"/>
      <c r="AN12" s="63">
        <f>('11'!AM12/24)*0.454</f>
        <v>0</v>
      </c>
      <c r="AO12" s="62"/>
      <c r="AP12" s="63">
        <f>('11'!AO12/24)*0.454</f>
        <v>0</v>
      </c>
    </row>
    <row r="13" ht="18.75" customHeight="1">
      <c r="A13" s="69">
        <v>0.5</v>
      </c>
      <c r="B13" s="76">
        <v>88.0</v>
      </c>
      <c r="C13" s="76">
        <v>12.0</v>
      </c>
      <c r="D13" s="76">
        <v>13.0</v>
      </c>
      <c r="E13" s="76">
        <v>6.0</v>
      </c>
      <c r="F13" s="76">
        <v>19.0</v>
      </c>
      <c r="G13" s="76">
        <v>1.2</v>
      </c>
      <c r="H13" s="76">
        <v>1.3</v>
      </c>
      <c r="I13" s="76">
        <v>0.6</v>
      </c>
      <c r="J13" s="76">
        <v>0.5</v>
      </c>
      <c r="K13" s="76">
        <v>6.9</v>
      </c>
      <c r="L13" s="76">
        <v>6.5</v>
      </c>
      <c r="M13" s="76">
        <v>6.4</v>
      </c>
      <c r="N13" s="76">
        <v>6.2</v>
      </c>
      <c r="O13" s="76">
        <v>3.6</v>
      </c>
      <c r="P13" s="76"/>
      <c r="Q13" s="76"/>
      <c r="R13" s="77">
        <f>'11'!Z17</f>
        <v>1358</v>
      </c>
      <c r="S13" s="76">
        <f>'11'!AB17</f>
        <v>75.35379326</v>
      </c>
      <c r="T13" s="77">
        <f>'11'!Y17</f>
        <v>3329</v>
      </c>
      <c r="U13" s="73" t="str">
        <f>IF('11'!AA17=1,'11'!AR6,'11'!AR7)</f>
        <v>S.A.L</v>
      </c>
      <c r="V13" s="43"/>
      <c r="W13" s="27"/>
      <c r="X13" s="54">
        <v>0.333333333333333</v>
      </c>
      <c r="Y13" s="125">
        <v>3328.0</v>
      </c>
      <c r="Z13" s="308">
        <v>1265.0</v>
      </c>
      <c r="AA13" s="56">
        <v>1.0</v>
      </c>
      <c r="AB13" s="58">
        <f>IF('11'!AA13=1,(('11'!Z13*'11'!$AS$6*'11'!$AT$6)/('11'!Y13*0.0036)),IF('11'!AA13=2,(('11'!Z13*'11'!$AS$7*'11'!$AT$7)/('11'!Y13*0.0036))))</f>
        <v>70.21442642</v>
      </c>
      <c r="AC13" s="58"/>
      <c r="AD13" s="59">
        <f>(('11'!AC13*'11'!$Q$10*1000000))/('11'!Y13*3600)</f>
        <v>0</v>
      </c>
      <c r="AE13" s="60"/>
      <c r="AF13" s="61">
        <f>('11'!AE13/24)*0.454</f>
        <v>0</v>
      </c>
      <c r="AG13" s="60"/>
      <c r="AH13" s="61">
        <f>('11'!AG13/24)*0.454</f>
        <v>0</v>
      </c>
      <c r="AI13" s="405">
        <v>4500.0</v>
      </c>
      <c r="AJ13" s="61">
        <f>('11'!AI13/24)*0.454</f>
        <v>85.125</v>
      </c>
      <c r="AK13" s="62"/>
      <c r="AL13" s="63">
        <f>('11'!AK13/24)*0.454</f>
        <v>0</v>
      </c>
      <c r="AM13" s="62"/>
      <c r="AN13" s="63">
        <f>('11'!AM13/24)*0.454</f>
        <v>0</v>
      </c>
      <c r="AO13" s="62"/>
      <c r="AP13" s="63">
        <f>('11'!AO13/24)*0.454</f>
        <v>0</v>
      </c>
    </row>
    <row r="14" ht="18.75" customHeight="1">
      <c r="A14" s="69">
        <v>0.583333333333333</v>
      </c>
      <c r="B14" s="76">
        <v>96.0</v>
      </c>
      <c r="C14" s="76">
        <v>12.0</v>
      </c>
      <c r="D14" s="76">
        <v>13.0</v>
      </c>
      <c r="E14" s="76">
        <v>5.0</v>
      </c>
      <c r="F14" s="76">
        <v>19.0</v>
      </c>
      <c r="G14" s="76">
        <v>1.2</v>
      </c>
      <c r="H14" s="76">
        <v>1.2</v>
      </c>
      <c r="I14" s="76">
        <v>0.6</v>
      </c>
      <c r="J14" s="76">
        <v>0.5</v>
      </c>
      <c r="K14" s="76">
        <v>6.9</v>
      </c>
      <c r="L14" s="76">
        <v>6.5</v>
      </c>
      <c r="M14" s="76">
        <v>6.4</v>
      </c>
      <c r="N14" s="76">
        <v>6.2</v>
      </c>
      <c r="O14" s="76">
        <v>3.6</v>
      </c>
      <c r="P14" s="76"/>
      <c r="Q14" s="76"/>
      <c r="R14" s="77">
        <f>'11'!Z19</f>
        <v>1358</v>
      </c>
      <c r="S14" s="76">
        <f>'11'!AB19</f>
        <v>75.94695058</v>
      </c>
      <c r="T14" s="77">
        <f>'11'!Y19</f>
        <v>3303</v>
      </c>
      <c r="U14" s="73" t="str">
        <f>IF('11'!AA19=1,'11'!AR6,'11'!AR7)</f>
        <v>S.A.L</v>
      </c>
      <c r="V14" s="43"/>
      <c r="W14" s="27"/>
      <c r="X14" s="54">
        <v>0.375</v>
      </c>
      <c r="Y14" s="125">
        <v>3368.0</v>
      </c>
      <c r="Z14" s="308">
        <v>1345.0</v>
      </c>
      <c r="AA14" s="56">
        <v>1.0</v>
      </c>
      <c r="AB14" s="58">
        <f>IF('11'!AA14=1,(('11'!Z14*'11'!$AS$6*'11'!$AT$6)/('11'!Y14*0.0036)),IF('11'!AA14=2,(('11'!Z14*'11'!$AS$7*'11'!$AT$7)/('11'!Y14*0.0036))))</f>
        <v>73.7682271</v>
      </c>
      <c r="AC14" s="58"/>
      <c r="AD14" s="59">
        <f>(('11'!AC14*'11'!$Q$10*1000000))/('11'!Y14*3600)</f>
        <v>0</v>
      </c>
      <c r="AE14" s="60"/>
      <c r="AF14" s="61">
        <f>('11'!AE14/24)*0.454</f>
        <v>0</v>
      </c>
      <c r="AG14" s="60"/>
      <c r="AH14" s="61">
        <f>('11'!AG14/24)*0.454</f>
        <v>0</v>
      </c>
      <c r="AI14" s="405">
        <v>5000.0</v>
      </c>
      <c r="AJ14" s="61">
        <f>('11'!AI14/24)*0.454</f>
        <v>94.58333333</v>
      </c>
      <c r="AK14" s="62"/>
      <c r="AL14" s="63">
        <f>('11'!AK14/24)*0.454</f>
        <v>0</v>
      </c>
      <c r="AM14" s="62"/>
      <c r="AN14" s="63">
        <f>('11'!AM14/24)*0.454</f>
        <v>0</v>
      </c>
      <c r="AO14" s="62"/>
      <c r="AP14" s="63">
        <f>('11'!AO14/24)*0.454</f>
        <v>0</v>
      </c>
    </row>
    <row r="15" ht="18.75" customHeight="1">
      <c r="A15" s="69">
        <v>0.666666666666667</v>
      </c>
      <c r="B15" s="76">
        <v>103.0</v>
      </c>
      <c r="C15" s="76">
        <v>12.0</v>
      </c>
      <c r="D15" s="76">
        <v>12.0</v>
      </c>
      <c r="E15" s="76">
        <v>4.0</v>
      </c>
      <c r="F15" s="76">
        <v>19.0</v>
      </c>
      <c r="G15" s="76">
        <v>1.1</v>
      </c>
      <c r="H15" s="76">
        <v>1.3</v>
      </c>
      <c r="I15" s="76">
        <v>0.6</v>
      </c>
      <c r="J15" s="76">
        <v>0.5</v>
      </c>
      <c r="K15" s="76">
        <v>6.9</v>
      </c>
      <c r="L15" s="76">
        <v>6.5</v>
      </c>
      <c r="M15" s="76">
        <v>6.4</v>
      </c>
      <c r="N15" s="76">
        <v>6.2</v>
      </c>
      <c r="O15" s="76">
        <v>3.6</v>
      </c>
      <c r="P15" s="76"/>
      <c r="Q15" s="76"/>
      <c r="R15" s="77">
        <f>'11'!Z21</f>
        <v>1358</v>
      </c>
      <c r="S15" s="76">
        <f>'11'!AB21</f>
        <v>75.5580656</v>
      </c>
      <c r="T15" s="77">
        <f>'11'!Y21</f>
        <v>3320</v>
      </c>
      <c r="U15" s="73" t="str">
        <f>IF('11'!AA21=1,'11'!AR6,'11'!AR7)</f>
        <v>S.A.L</v>
      </c>
      <c r="V15" s="43"/>
      <c r="W15" s="27"/>
      <c r="X15" s="54">
        <v>0.416666666666667</v>
      </c>
      <c r="Y15" s="125">
        <v>3330.0</v>
      </c>
      <c r="Z15" s="308">
        <v>1358.0</v>
      </c>
      <c r="AA15" s="56">
        <v>1.0</v>
      </c>
      <c r="AB15" s="58">
        <f>IF('11'!AA15=1,(('11'!Z15*'11'!$AS$6*'11'!$AT$6)/('11'!Y15*0.0036)),IF('11'!AA15=2,(('11'!Z15*'11'!$AS$7*'11'!$AT$7)/('11'!Y15*0.0036))))</f>
        <v>75.3311645</v>
      </c>
      <c r="AC15" s="58"/>
      <c r="AD15" s="59">
        <f>(('11'!AC15*'11'!$Q$10*1000000))/('11'!Y15*3600)</f>
        <v>0</v>
      </c>
      <c r="AE15" s="60"/>
      <c r="AF15" s="61">
        <f>('11'!AE15/24)*0.454</f>
        <v>0</v>
      </c>
      <c r="AG15" s="60"/>
      <c r="AH15" s="61">
        <f>('11'!AG15/24)*0.454</f>
        <v>0</v>
      </c>
      <c r="AI15" s="405">
        <v>5000.0</v>
      </c>
      <c r="AJ15" s="61">
        <f>('11'!AI15/24)*0.454</f>
        <v>94.58333333</v>
      </c>
      <c r="AK15" s="62"/>
      <c r="AL15" s="63">
        <f>('11'!AK15/24)*0.454</f>
        <v>0</v>
      </c>
      <c r="AM15" s="62"/>
      <c r="AN15" s="63">
        <f>('11'!AM15/24)*0.454</f>
        <v>0</v>
      </c>
      <c r="AO15" s="62"/>
      <c r="AP15" s="63">
        <f>('11'!AO15/24)*0.454</f>
        <v>0</v>
      </c>
    </row>
    <row r="16" ht="18.75" customHeight="1">
      <c r="A16" s="69">
        <v>0.75</v>
      </c>
      <c r="B16" s="76">
        <v>106.0</v>
      </c>
      <c r="C16" s="76">
        <v>12.0</v>
      </c>
      <c r="D16" s="76">
        <v>11.0</v>
      </c>
      <c r="E16" s="76">
        <v>4.0</v>
      </c>
      <c r="F16" s="76">
        <v>22.0</v>
      </c>
      <c r="G16" s="76">
        <v>1.1</v>
      </c>
      <c r="H16" s="76">
        <v>1.1</v>
      </c>
      <c r="I16" s="76">
        <v>0.5</v>
      </c>
      <c r="J16" s="76">
        <v>0.5</v>
      </c>
      <c r="K16" s="76">
        <v>6.9</v>
      </c>
      <c r="L16" s="76">
        <v>6.5</v>
      </c>
      <c r="M16" s="76">
        <v>6.4</v>
      </c>
      <c r="N16" s="76">
        <v>6.2</v>
      </c>
      <c r="O16" s="76">
        <v>3.6</v>
      </c>
      <c r="P16" s="76"/>
      <c r="Q16" s="76"/>
      <c r="R16" s="77">
        <f>'11'!Z23</f>
        <v>1358</v>
      </c>
      <c r="S16" s="76">
        <f>'11'!AB23</f>
        <v>75.37643563</v>
      </c>
      <c r="T16" s="77">
        <f>'11'!Y23</f>
        <v>3328</v>
      </c>
      <c r="U16" s="73" t="str">
        <f>IF('11'!AA23=1,'11'!AR6,'11'!AR7)</f>
        <v>S.A.L</v>
      </c>
      <c r="V16" s="16"/>
      <c r="W16" s="18"/>
      <c r="X16" s="54">
        <v>0.458333333333333</v>
      </c>
      <c r="Y16" s="125">
        <v>3302.0</v>
      </c>
      <c r="Z16" s="308">
        <v>1358.0</v>
      </c>
      <c r="AA16" s="56">
        <v>1.0</v>
      </c>
      <c r="AB16" s="58">
        <f>IF('11'!AA16=1,(('11'!Z16*'11'!$AS$6*'11'!$AT$6)/('11'!Y16*0.0036)),IF('11'!AA16=2,(('11'!Z16*'11'!$AS$7*'11'!$AT$7)/('11'!Y16*0.0036))))</f>
        <v>75.96995087</v>
      </c>
      <c r="AC16" s="58"/>
      <c r="AD16" s="59">
        <f>(('11'!AC16*'11'!$Q$10*1000000))/('11'!Y16*3600)</f>
        <v>0</v>
      </c>
      <c r="AE16" s="60"/>
      <c r="AF16" s="61">
        <f>('11'!AE16/24)*0.454</f>
        <v>0</v>
      </c>
      <c r="AG16" s="60"/>
      <c r="AH16" s="61">
        <f>('11'!AG16/24)*0.454</f>
        <v>0</v>
      </c>
      <c r="AI16" s="405">
        <v>5000.0</v>
      </c>
      <c r="AJ16" s="61">
        <f>('11'!AI16/24)*0.454</f>
        <v>94.58333333</v>
      </c>
      <c r="AK16" s="62"/>
      <c r="AL16" s="63">
        <f>('11'!AK16/24)*0.454</f>
        <v>0</v>
      </c>
      <c r="AM16" s="62"/>
      <c r="AN16" s="63">
        <f>('11'!AM16/24)*0.454</f>
        <v>0</v>
      </c>
      <c r="AO16" s="62"/>
      <c r="AP16" s="63">
        <f>('11'!AO16/24)*0.454</f>
        <v>0</v>
      </c>
    </row>
    <row r="17" ht="18.75" customHeight="1">
      <c r="A17" s="69">
        <v>0.833333333333333</v>
      </c>
      <c r="B17" s="76">
        <v>103.0</v>
      </c>
      <c r="C17" s="76">
        <v>12.0</v>
      </c>
      <c r="D17" s="76">
        <v>11.0</v>
      </c>
      <c r="E17" s="76">
        <v>4.0</v>
      </c>
      <c r="F17" s="76">
        <v>21.0</v>
      </c>
      <c r="G17" s="76">
        <v>1.2</v>
      </c>
      <c r="H17" s="76">
        <v>1.3</v>
      </c>
      <c r="I17" s="76">
        <v>0.5</v>
      </c>
      <c r="J17" s="76">
        <v>0.6</v>
      </c>
      <c r="K17" s="76">
        <v>6.9</v>
      </c>
      <c r="L17" s="76">
        <v>6.5</v>
      </c>
      <c r="M17" s="76">
        <v>6.4</v>
      </c>
      <c r="N17" s="76">
        <v>6.2</v>
      </c>
      <c r="O17" s="76">
        <v>3.6</v>
      </c>
      <c r="P17" s="76"/>
      <c r="Q17" s="76"/>
      <c r="R17" s="77">
        <f>'11'!Z25</f>
        <v>1358</v>
      </c>
      <c r="S17" s="76">
        <f>'11'!AB25</f>
        <v>75.21822422</v>
      </c>
      <c r="T17" s="77">
        <f>'11'!Y25</f>
        <v>3335</v>
      </c>
      <c r="U17" s="73" t="str">
        <f>IF('11'!AA25=1,'11'!AR6,'11'!AR7)</f>
        <v>S.A.L</v>
      </c>
      <c r="V17" s="90" t="str">
        <f>ESCALA!$C$13</f>
        <v/>
      </c>
      <c r="W17" s="89"/>
      <c r="X17" s="54">
        <v>0.5</v>
      </c>
      <c r="Y17" s="125">
        <v>3329.0</v>
      </c>
      <c r="Z17" s="308">
        <v>1358.0</v>
      </c>
      <c r="AA17" s="56">
        <v>1.0</v>
      </c>
      <c r="AB17" s="58">
        <f>IF('11'!AA17=1,(('11'!Z17*'11'!$AS$6*'11'!$AT$6)/('11'!Y17*0.0036)),IF('11'!AA17=2,(('11'!Z17*'11'!$AS$7*'11'!$AT$7)/('11'!Y17*0.0036))))</f>
        <v>75.35379326</v>
      </c>
      <c r="AC17" s="58"/>
      <c r="AD17" s="59">
        <f>(('11'!AC17*'11'!$Q$10*1000000))/('11'!Y17*3600)</f>
        <v>0</v>
      </c>
      <c r="AE17" s="60"/>
      <c r="AF17" s="61">
        <f>('11'!AE17/24)*0.454</f>
        <v>0</v>
      </c>
      <c r="AG17" s="60"/>
      <c r="AH17" s="61">
        <f>('11'!AG17/24)*0.454</f>
        <v>0</v>
      </c>
      <c r="AI17" s="405">
        <v>5000.0</v>
      </c>
      <c r="AJ17" s="61">
        <f>('11'!AI17/24)*0.454</f>
        <v>94.58333333</v>
      </c>
      <c r="AK17" s="62"/>
      <c r="AL17" s="63">
        <f>('11'!AK17/24)*0.454</f>
        <v>0</v>
      </c>
      <c r="AM17" s="62"/>
      <c r="AN17" s="63">
        <f>('11'!AM17/24)*0.454</f>
        <v>0</v>
      </c>
      <c r="AO17" s="62"/>
      <c r="AP17" s="63">
        <f>('11'!AO17/24)*0.454</f>
        <v>0</v>
      </c>
    </row>
    <row r="18" ht="19.5" customHeight="1">
      <c r="A18" s="69">
        <v>0.916666666666667</v>
      </c>
      <c r="B18" s="76">
        <v>110.0</v>
      </c>
      <c r="C18" s="76">
        <v>12.0</v>
      </c>
      <c r="D18" s="76">
        <v>13.0</v>
      </c>
      <c r="E18" s="76">
        <v>4.0</v>
      </c>
      <c r="F18" s="76">
        <v>19.0</v>
      </c>
      <c r="G18" s="76">
        <v>1.2</v>
      </c>
      <c r="H18" s="76">
        <v>1.3</v>
      </c>
      <c r="I18" s="76">
        <v>0.5</v>
      </c>
      <c r="J18" s="76">
        <v>0.5</v>
      </c>
      <c r="K18" s="76">
        <v>6.9</v>
      </c>
      <c r="L18" s="76">
        <v>6.5</v>
      </c>
      <c r="M18" s="76">
        <v>6.4</v>
      </c>
      <c r="N18" s="76">
        <v>6.2</v>
      </c>
      <c r="O18" s="76">
        <v>3.6</v>
      </c>
      <c r="P18" s="76"/>
      <c r="Q18" s="76"/>
      <c r="R18" s="77">
        <f>'11'!Z27</f>
        <v>1358</v>
      </c>
      <c r="S18" s="76">
        <f>'11'!AB27</f>
        <v>75.5580656</v>
      </c>
      <c r="T18" s="77">
        <f>'11'!Y27</f>
        <v>3320</v>
      </c>
      <c r="U18" s="73" t="str">
        <f>IF('11'!AA27=1,'11'!AR6,'11'!AR7)</f>
        <v>S.A.L</v>
      </c>
      <c r="V18" s="16"/>
      <c r="W18" s="18"/>
      <c r="X18" s="54">
        <v>0.541666666666667</v>
      </c>
      <c r="Y18" s="125">
        <v>3282.0</v>
      </c>
      <c r="Z18" s="308">
        <v>1358.0</v>
      </c>
      <c r="AA18" s="56">
        <v>1.0</v>
      </c>
      <c r="AB18" s="58">
        <f>IF('11'!AA18=1,(('11'!Z18*'11'!$AS$6*'11'!$AT$6)/('11'!Y18*0.0036)),IF('11'!AA18=2,(('11'!Z18*'11'!$AS$7*'11'!$AT$7)/('11'!Y18*0.0036))))</f>
        <v>76.43289999</v>
      </c>
      <c r="AC18" s="58"/>
      <c r="AD18" s="59">
        <f>(('11'!AC18*'11'!$Q$10*1000000))/('11'!Y18*3600)</f>
        <v>0</v>
      </c>
      <c r="AE18" s="60"/>
      <c r="AF18" s="61">
        <f>('11'!AE18/24)*0.454</f>
        <v>0</v>
      </c>
      <c r="AG18" s="60"/>
      <c r="AH18" s="61">
        <f>('11'!AG18/24)*0.454</f>
        <v>0</v>
      </c>
      <c r="AI18" s="405">
        <v>5000.0</v>
      </c>
      <c r="AJ18" s="61">
        <f>('11'!AI18/24)*0.454</f>
        <v>94.58333333</v>
      </c>
      <c r="AK18" s="62"/>
      <c r="AL18" s="63">
        <f>('11'!AK18/24)*0.454</f>
        <v>0</v>
      </c>
      <c r="AM18" s="62"/>
      <c r="AN18" s="63">
        <f>('11'!AM18/24)*0.454</f>
        <v>0</v>
      </c>
      <c r="AO18" s="62"/>
      <c r="AP18" s="63">
        <f>('11'!AO18/24)*0.454</f>
        <v>0</v>
      </c>
    </row>
    <row r="19" ht="18.75" customHeight="1">
      <c r="A19" s="51" t="s">
        <v>52</v>
      </c>
      <c r="B19" s="92">
        <f t="array" ref="B19">IF('11'!B7:B18&gt;0.01,AVERAGE('11'!B7:B18),"")</f>
        <v>95.08333333</v>
      </c>
      <c r="C19" s="92">
        <f t="array" ref="C19">IF('11'!C7:C18&gt;0.01,AVERAGE('11'!C7:C18),"")</f>
        <v>10.5</v>
      </c>
      <c r="D19" s="92">
        <f t="array" ref="D19">IF('11'!D7:D18&gt;0.01,AVERAGE('11'!D7:D18),"")</f>
        <v>10.625</v>
      </c>
      <c r="E19" s="92">
        <f t="array" ref="E19">IF('11'!E7:E18&gt;0.01,AVERAGE('11'!E7:E18),"")</f>
        <v>4.066666667</v>
      </c>
      <c r="F19" s="92">
        <f t="array" ref="F19">IF('11'!F7:F18&gt;0.01,AVERAGE('11'!F7:F18),"")</f>
        <v>18.63333333</v>
      </c>
      <c r="G19" s="92">
        <f t="array" ref="G19">IF('11'!G7:G18&gt;0.01,AVERAGE('11'!G7:G18),"")</f>
        <v>1.166666667</v>
      </c>
      <c r="H19" s="92">
        <f t="array" ref="H19">IF('11'!H7:H18&gt;0.01,AVERAGE('11'!H7:H18),"")</f>
        <v>1.216666667</v>
      </c>
      <c r="I19" s="92">
        <f t="array" ref="I19">IF('11'!I7:I18&gt;0.01,AVERAGE('11'!I7:I18),"")</f>
        <v>0.5666666667</v>
      </c>
      <c r="J19" s="92">
        <f t="array" ref="J19">IF('11'!J7:J18&gt;0.01,AVERAGE('11'!J7:J18),"")</f>
        <v>0.5083333333</v>
      </c>
      <c r="K19" s="92">
        <f t="array" ref="K19">IF('11'!K7:K18&gt;0.01,AVERAGE('11'!K7:K18),"")</f>
        <v>6.9</v>
      </c>
      <c r="L19" s="92">
        <f t="array" ref="L19">IF('11'!L7:L18&gt;0.01,AVERAGE('11'!L7:L18),"")</f>
        <v>6.5</v>
      </c>
      <c r="M19" s="92">
        <f t="array" ref="M19">IF('11'!M7:M18&gt;0.01,AVERAGE('11'!M7:M18),"")</f>
        <v>6.4</v>
      </c>
      <c r="N19" s="92">
        <f t="array" ref="N19">IF('11'!N7:N18&gt;0.01,AVERAGE('11'!N7:N18),"")</f>
        <v>6.2</v>
      </c>
      <c r="O19" s="92">
        <f t="array" ref="O19">IF('11'!O7:O18&gt;0.01,AVERAGE('11'!O7:O18),"")</f>
        <v>3.6</v>
      </c>
      <c r="P19" s="93" t="str">
        <f t="array" ref="P19">IF('11'!P7:P18&gt;0.01,AVERAGE('11'!P7:P18),"")</f>
        <v/>
      </c>
      <c r="Q19" s="94" t="str">
        <f t="array" ref="Q19">IF('11'!Q7:Q18&gt;0.01,AVERAGE('11'!Q7:Q18),"")</f>
        <v/>
      </c>
      <c r="R19" s="94">
        <f t="array" ref="R19">IF('11'!R7:R18&gt;0.01,AVERAGE('11'!R7:R18),"")</f>
        <v>1319.25</v>
      </c>
      <c r="S19" s="94">
        <f t="array" ref="S19">IF('11'!S7:S18&gt;0.01,AVERAGE('11'!S7:S18),"")</f>
        <v>76.1031656</v>
      </c>
      <c r="T19" s="95"/>
      <c r="U19" s="96"/>
      <c r="V19" s="97"/>
      <c r="W19" s="97"/>
      <c r="X19" s="54">
        <v>0.583333333333333</v>
      </c>
      <c r="Y19" s="125">
        <v>3303.0</v>
      </c>
      <c r="Z19" s="308">
        <v>1358.0</v>
      </c>
      <c r="AA19" s="56">
        <v>1.0</v>
      </c>
      <c r="AB19" s="58">
        <f>IF('11'!AA19=1,(('11'!Z19*'11'!$AS$6*'11'!$AT$6)/('11'!Y19*0.0036)),IF('11'!AA19=2,(('11'!Z19*'11'!$AS$7*'11'!$AT$7)/('11'!Y19*0.0036))))</f>
        <v>75.94695058</v>
      </c>
      <c r="AC19" s="58"/>
      <c r="AD19" s="59">
        <f>(('11'!AC19*'11'!$Q$10*1000000))/('11'!Y19*3600)</f>
        <v>0</v>
      </c>
      <c r="AE19" s="60"/>
      <c r="AF19" s="61">
        <f>('11'!AE19/24)*0.454</f>
        <v>0</v>
      </c>
      <c r="AG19" s="60"/>
      <c r="AH19" s="61">
        <f>('11'!AG19/24)*0.454</f>
        <v>0</v>
      </c>
      <c r="AI19" s="405">
        <v>5000.0</v>
      </c>
      <c r="AJ19" s="61">
        <f>('11'!AI19/24)*0.454</f>
        <v>94.58333333</v>
      </c>
      <c r="AK19" s="62"/>
      <c r="AL19" s="63">
        <f>('11'!AK19/24)*0.454</f>
        <v>0</v>
      </c>
      <c r="AM19" s="62"/>
      <c r="AN19" s="63">
        <f>('11'!AM19/24)*0.454</f>
        <v>0</v>
      </c>
      <c r="AO19" s="62"/>
      <c r="AP19" s="63">
        <f>('11'!AO19/24)*0.454</f>
        <v>0</v>
      </c>
    </row>
    <row r="20" ht="18.75" customHeight="1">
      <c r="A20" s="51" t="s">
        <v>53</v>
      </c>
      <c r="B20" s="92">
        <f>MAX('11'!B7:B18)</f>
        <v>112</v>
      </c>
      <c r="C20" s="92">
        <f>MAX('11'!C7:C18)</f>
        <v>12</v>
      </c>
      <c r="D20" s="92">
        <f>MAX('11'!D7:D18)</f>
        <v>13</v>
      </c>
      <c r="E20" s="92">
        <f>MAX('11'!E7:E18)</f>
        <v>6</v>
      </c>
      <c r="F20" s="92">
        <f>MAX('11'!F7:F18)</f>
        <v>22.6</v>
      </c>
      <c r="G20" s="92">
        <f>MAX('11'!G7:G18)</f>
        <v>1.3</v>
      </c>
      <c r="H20" s="92">
        <f>MAX('11'!H7:H18)</f>
        <v>1.4</v>
      </c>
      <c r="I20" s="92">
        <f>MAX('11'!I7:I18)</f>
        <v>0.6</v>
      </c>
      <c r="J20" s="92">
        <f>MAX('11'!J7:J18)</f>
        <v>0.6</v>
      </c>
      <c r="K20" s="92">
        <f>MAX('11'!K7:K18)</f>
        <v>6.9</v>
      </c>
      <c r="L20" s="92">
        <f>MAX('11'!L7:L18)</f>
        <v>6.5</v>
      </c>
      <c r="M20" s="92">
        <f>MAX('11'!M7:M18)</f>
        <v>6.4</v>
      </c>
      <c r="N20" s="92">
        <f>MAX('11'!N7:N18)</f>
        <v>6.2</v>
      </c>
      <c r="O20" s="98">
        <f>MAX('11'!O7:O18)</f>
        <v>3.6</v>
      </c>
      <c r="P20" s="98">
        <f>MAX('11'!P7:P18)</f>
        <v>0</v>
      </c>
      <c r="Q20" s="98">
        <f>MAX('11'!Q7:Q18)</f>
        <v>0</v>
      </c>
      <c r="R20" s="98">
        <f>MAX('11'!R7:R18)</f>
        <v>1358</v>
      </c>
      <c r="S20" s="98">
        <f>MAX('11'!S7:S18)</f>
        <v>79.3997999</v>
      </c>
      <c r="T20" s="99"/>
      <c r="U20" s="21"/>
      <c r="X20" s="54">
        <v>0.625</v>
      </c>
      <c r="Y20" s="125">
        <v>3320.0</v>
      </c>
      <c r="Z20" s="308">
        <v>1358.0</v>
      </c>
      <c r="AA20" s="56">
        <v>1.0</v>
      </c>
      <c r="AB20" s="58">
        <f>IF('11'!AA20=1,(('11'!Z20*'11'!$AS$6*'11'!$AT$6)/('11'!Y20*0.0036)),IF('11'!AA20=2,(('11'!Z20*'11'!$AS$7*'11'!$AT$7)/('11'!Y20*0.0036))))</f>
        <v>75.5580656</v>
      </c>
      <c r="AC20" s="58"/>
      <c r="AD20" s="59">
        <f>(('11'!AC20*'11'!$Q$10*1000000))/('11'!Y20*3600)</f>
        <v>0</v>
      </c>
      <c r="AE20" s="60"/>
      <c r="AF20" s="61">
        <f>('11'!AE20/24)*0.454</f>
        <v>0</v>
      </c>
      <c r="AG20" s="60"/>
      <c r="AH20" s="61">
        <f>('11'!AG20/24)*0.454</f>
        <v>0</v>
      </c>
      <c r="AI20" s="405">
        <v>5000.0</v>
      </c>
      <c r="AJ20" s="61">
        <f>('11'!AI20/24)*0.454</f>
        <v>94.58333333</v>
      </c>
      <c r="AK20" s="62"/>
      <c r="AL20" s="63">
        <f>('11'!AK20/24)*0.454</f>
        <v>0</v>
      </c>
      <c r="AM20" s="62"/>
      <c r="AN20" s="63">
        <f>('11'!AM20/24)*0.454</f>
        <v>0</v>
      </c>
      <c r="AO20" s="62"/>
      <c r="AP20" s="63">
        <f>('11'!AO20/24)*0.454</f>
        <v>0</v>
      </c>
    </row>
    <row r="21" ht="19.5" customHeight="1">
      <c r="A21" s="51" t="s">
        <v>54</v>
      </c>
      <c r="B21" s="92">
        <f>MIN('11'!B7:B18)</f>
        <v>79</v>
      </c>
      <c r="C21" s="92">
        <f>MIN('11'!C7:C18)</f>
        <v>8</v>
      </c>
      <c r="D21" s="92">
        <f>MIN('11'!D7:D18)</f>
        <v>8</v>
      </c>
      <c r="E21" s="92">
        <f>MIN('11'!E7:E18)</f>
        <v>2</v>
      </c>
      <c r="F21" s="92">
        <f>MIN('11'!F7:F18)</f>
        <v>14</v>
      </c>
      <c r="G21" s="100">
        <f>MIN('11'!G7:G18)</f>
        <v>0.9</v>
      </c>
      <c r="H21" s="100">
        <f>MIN('11'!H7:H18)</f>
        <v>0.9</v>
      </c>
      <c r="I21" s="100">
        <f>MIN('11'!I7:I18)</f>
        <v>0.5</v>
      </c>
      <c r="J21" s="100">
        <f>MIN('11'!J7:J18)</f>
        <v>0.5</v>
      </c>
      <c r="K21" s="100">
        <f>MIN('11'!K7:K18)</f>
        <v>6.9</v>
      </c>
      <c r="L21" s="100">
        <f>MIN('11'!L7:L18)</f>
        <v>6.5</v>
      </c>
      <c r="M21" s="100">
        <f>MIN('11'!M7:M18)</f>
        <v>6.4</v>
      </c>
      <c r="N21" s="100">
        <f>MIN('11'!N7:N18)</f>
        <v>6.2</v>
      </c>
      <c r="O21" s="101">
        <f>MIN('11'!O7:O18)</f>
        <v>3.6</v>
      </c>
      <c r="P21" s="101">
        <f>MIN('11'!P7:P18)</f>
        <v>0</v>
      </c>
      <c r="Q21" s="101">
        <f>MIN('11'!Q7:Q18)</f>
        <v>0</v>
      </c>
      <c r="R21" s="101">
        <f>MIN('11'!R7:R18)</f>
        <v>1265</v>
      </c>
      <c r="S21" s="101">
        <f>MIN('11'!S7:S18)</f>
        <v>70.21442642</v>
      </c>
      <c r="T21" s="99"/>
      <c r="U21" s="21"/>
      <c r="X21" s="54">
        <v>0.666666666666667</v>
      </c>
      <c r="Y21" s="125">
        <v>3320.0</v>
      </c>
      <c r="Z21" s="308">
        <v>1358.0</v>
      </c>
      <c r="AA21" s="56">
        <v>1.0</v>
      </c>
      <c r="AB21" s="58">
        <f>IF('11'!AA21=1,(('11'!Z21*'11'!$AS$6*'11'!$AT$6)/('11'!Y21*0.0036)),IF('11'!AA21=2,(('11'!Z21*'11'!$AS$7*'11'!$AT$7)/('11'!Y21*0.0036))))</f>
        <v>75.5580656</v>
      </c>
      <c r="AC21" s="58"/>
      <c r="AD21" s="59">
        <f>(('11'!AC21*'11'!$Q$10*1000000))/('11'!Y21*3600)</f>
        <v>0</v>
      </c>
      <c r="AE21" s="60"/>
      <c r="AF21" s="61">
        <f>('11'!AE21/24)*0.454</f>
        <v>0</v>
      </c>
      <c r="AG21" s="60"/>
      <c r="AH21" s="61">
        <f>('11'!AG21/24)*0.454</f>
        <v>0</v>
      </c>
      <c r="AI21" s="405">
        <v>5000.0</v>
      </c>
      <c r="AJ21" s="61">
        <f>('11'!AI21/24)*0.454</f>
        <v>94.58333333</v>
      </c>
      <c r="AK21" s="62"/>
      <c r="AL21" s="63">
        <f>('11'!AK21/24)*0.454</f>
        <v>0</v>
      </c>
      <c r="AM21" s="62"/>
      <c r="AN21" s="63">
        <f>('11'!AM21/24)*0.454</f>
        <v>0</v>
      </c>
      <c r="AO21" s="62"/>
      <c r="AP21" s="63">
        <f>('11'!AO21/24)*0.454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3298.0</v>
      </c>
      <c r="Z22" s="308">
        <v>1358.0</v>
      </c>
      <c r="AA22" s="56">
        <v>1.0</v>
      </c>
      <c r="AB22" s="58">
        <f>IF('11'!AA22=1,(('11'!Z22*'11'!$AS$6*'11'!$AT$6)/('11'!Y22*0.0036)),IF('11'!AA22=2,(('11'!Z22*'11'!$AS$7*'11'!$AT$7)/('11'!Y22*0.0036))))</f>
        <v>76.0620915</v>
      </c>
      <c r="AC22" s="58"/>
      <c r="AD22" s="59">
        <f>(('11'!AC22*'11'!$Q$10*1000000))/('11'!Y22*3600)</f>
        <v>0</v>
      </c>
      <c r="AE22" s="60"/>
      <c r="AF22" s="61">
        <f>('11'!AE22/24)*0.454</f>
        <v>0</v>
      </c>
      <c r="AG22" s="60"/>
      <c r="AH22" s="61">
        <f>('11'!AG22/24)*0.454</f>
        <v>0</v>
      </c>
      <c r="AI22" s="405">
        <v>5000.0</v>
      </c>
      <c r="AJ22" s="61">
        <f>('11'!AI22/24)*0.454</f>
        <v>94.58333333</v>
      </c>
      <c r="AK22" s="62"/>
      <c r="AL22" s="63">
        <f>('11'!AK22/24)*0.454</f>
        <v>0</v>
      </c>
      <c r="AM22" s="62"/>
      <c r="AN22" s="63">
        <f>('11'!AM22/24)*0.454</f>
        <v>0</v>
      </c>
      <c r="AO22" s="62"/>
      <c r="AP22" s="63">
        <f>('11'!AO22/24)*0.454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3328.0</v>
      </c>
      <c r="Z23" s="308">
        <v>1358.0</v>
      </c>
      <c r="AA23" s="56">
        <v>1.0</v>
      </c>
      <c r="AB23" s="58">
        <f>IF('11'!AA23=1,(('11'!Z23*'11'!$AS$6*'11'!$AT$6)/('11'!Y23*0.0036)),IF('11'!AA23=2,(('11'!Z23*'11'!$AS$7*'11'!$AT$7)/('11'!Y23*0.0036))))</f>
        <v>75.37643563</v>
      </c>
      <c r="AC23" s="58"/>
      <c r="AD23" s="59">
        <f>(('11'!AC23*'11'!$Q$10*1000000))/('11'!Y23*3600)</f>
        <v>0</v>
      </c>
      <c r="AE23" s="60"/>
      <c r="AF23" s="61">
        <f>('11'!AE23/24)*0.454</f>
        <v>0</v>
      </c>
      <c r="AG23" s="60"/>
      <c r="AH23" s="61">
        <f>('11'!AG23/24)*0.454</f>
        <v>0</v>
      </c>
      <c r="AI23" s="405">
        <v>5000.0</v>
      </c>
      <c r="AJ23" s="61">
        <f>('11'!AI23/24)*0.454</f>
        <v>94.58333333</v>
      </c>
      <c r="AK23" s="62"/>
      <c r="AL23" s="63">
        <f>('11'!AK23/24)*0.454</f>
        <v>0</v>
      </c>
      <c r="AM23" s="62"/>
      <c r="AN23" s="63">
        <f>('11'!AM23/24)*0.454</f>
        <v>0</v>
      </c>
      <c r="AO23" s="62"/>
      <c r="AP23" s="63">
        <f>('11'!AO23/24)*0.454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3323.0</v>
      </c>
      <c r="Z24" s="308">
        <v>1358.0</v>
      </c>
      <c r="AA24" s="56">
        <v>1.0</v>
      </c>
      <c r="AB24" s="57">
        <f>IF('11'!AA24=1,(('11'!Z24*'11'!$AS$6*'11'!$AT$6)/('11'!Y24*0.0036)),IF('11'!AA24=2,(('11'!Z24*'11'!$AS$7*'11'!$AT$7)/('11'!Y24*0.0036))))</f>
        <v>75.48985187</v>
      </c>
      <c r="AC24" s="57"/>
      <c r="AD24" s="154">
        <f>(('11'!AC24*'11'!$Q$10*1000000))/('11'!Y24*3600)</f>
        <v>0</v>
      </c>
      <c r="AE24" s="60"/>
      <c r="AF24" s="311">
        <f>('11'!AE24/24)*0.454</f>
        <v>0</v>
      </c>
      <c r="AG24" s="125"/>
      <c r="AH24" s="311">
        <f>('11'!AG24/24)*0.454</f>
        <v>0</v>
      </c>
      <c r="AI24" s="405">
        <v>5000.0</v>
      </c>
      <c r="AJ24" s="311">
        <f>('11'!AI24/24)*0.454</f>
        <v>94.58333333</v>
      </c>
      <c r="AK24" s="62"/>
      <c r="AL24" s="110">
        <f>('11'!AK24/24)*0.454</f>
        <v>0</v>
      </c>
      <c r="AM24" s="312"/>
      <c r="AN24" s="110">
        <f>('11'!AM24/24)*0.454</f>
        <v>0</v>
      </c>
      <c r="AO24" s="62"/>
      <c r="AP24" s="110">
        <f>('11'!AO24/24)*0.454</f>
        <v>0</v>
      </c>
    </row>
    <row r="25" ht="19.5" customHeight="1">
      <c r="A25" s="111">
        <v>0.416666666666667</v>
      </c>
      <c r="B25" s="108">
        <v>0.62</v>
      </c>
      <c r="C25" s="108">
        <v>0.58</v>
      </c>
      <c r="D25" s="108">
        <v>0.54</v>
      </c>
      <c r="E25" s="313">
        <v>0.61</v>
      </c>
      <c r="F25" s="313">
        <v>0.71</v>
      </c>
      <c r="G25" s="313" t="s">
        <v>132</v>
      </c>
      <c r="H25" s="313">
        <v>0.74</v>
      </c>
      <c r="I25" s="313">
        <v>0.66</v>
      </c>
      <c r="J25" s="313" t="s">
        <v>132</v>
      </c>
      <c r="K25" s="313">
        <v>0.72</v>
      </c>
      <c r="L25" s="313">
        <v>0.69</v>
      </c>
      <c r="M25" s="313">
        <v>0.63</v>
      </c>
      <c r="N25" s="313">
        <v>0.56</v>
      </c>
      <c r="O25" s="313">
        <v>0.59</v>
      </c>
      <c r="P25" s="313">
        <v>0.52</v>
      </c>
      <c r="Q25" s="313" t="s">
        <v>132</v>
      </c>
      <c r="R25" s="112" t="str">
        <f t="shared" ref="R25:R26" si="1">#DIV/0!</f>
        <v>#DIV/0!</v>
      </c>
      <c r="S25" s="113"/>
      <c r="T25" s="314" t="s">
        <v>0</v>
      </c>
      <c r="U25" s="370">
        <f>ESCALA!$A$13</f>
        <v>43932</v>
      </c>
      <c r="X25" s="54">
        <v>0.833333333333333</v>
      </c>
      <c r="Y25" s="125">
        <v>3335.0</v>
      </c>
      <c r="Z25" s="308">
        <v>1358.0</v>
      </c>
      <c r="AA25" s="56">
        <v>1.0</v>
      </c>
      <c r="AB25" s="58">
        <f>IF('11'!AA25=1,(('11'!Z25*'11'!$AS$6*'11'!$AT$6)/('11'!Y25*0.0036)),IF('11'!AA25=2,(('11'!Z25*'11'!$AS$7*'11'!$AT$7)/('11'!Y25*0.0036))))</f>
        <v>75.21822422</v>
      </c>
      <c r="AC25" s="58"/>
      <c r="AD25" s="59">
        <f>(('11'!AC25*'11'!$Q$10*1000000))/('11'!Y25*3600)</f>
        <v>0</v>
      </c>
      <c r="AE25" s="60"/>
      <c r="AF25" s="61">
        <f>('11'!AE25/24)*0.454</f>
        <v>0</v>
      </c>
      <c r="AG25" s="60"/>
      <c r="AH25" s="61">
        <f>('11'!AG25/24)*0.454</f>
        <v>0</v>
      </c>
      <c r="AI25" s="405">
        <v>5000.0</v>
      </c>
      <c r="AJ25" s="61">
        <f>('11'!AI25/24)*0.454</f>
        <v>94.58333333</v>
      </c>
      <c r="AK25" s="62"/>
      <c r="AL25" s="63">
        <f>('11'!AK25/24)*0.454</f>
        <v>0</v>
      </c>
      <c r="AM25" s="62"/>
      <c r="AN25" s="63">
        <f>('11'!AM25/24)*0.454</f>
        <v>0</v>
      </c>
      <c r="AO25" s="62"/>
      <c r="AP25" s="63">
        <f>('11'!AO25/24)*0.454</f>
        <v>0</v>
      </c>
    </row>
    <row r="26" ht="19.5" customHeight="1">
      <c r="A26" s="111">
        <v>0.666666666666667</v>
      </c>
      <c r="B26" s="108"/>
      <c r="C26" s="108"/>
      <c r="D26" s="10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125">
        <v>3339.0</v>
      </c>
      <c r="Z26" s="308">
        <v>1358.0</v>
      </c>
      <c r="AA26" s="56">
        <v>1.0</v>
      </c>
      <c r="AB26" s="58">
        <f>IF('11'!AA26=1,(('11'!Z26*'11'!$AS$6*'11'!$AT$6)/('11'!Y26*0.0036)),IF('11'!AA26=2,(('11'!Z26*'11'!$AS$7*'11'!$AT$7)/('11'!Y26*0.0036))))</f>
        <v>75.12811554</v>
      </c>
      <c r="AC26" s="58"/>
      <c r="AD26" s="59">
        <f>(('11'!AC26*'11'!$Q$10*1000000))/('11'!Y26*3600)</f>
        <v>0</v>
      </c>
      <c r="AE26" s="60"/>
      <c r="AF26" s="61">
        <f>('11'!AE26/24)*0.454</f>
        <v>0</v>
      </c>
      <c r="AG26" s="60"/>
      <c r="AH26" s="61">
        <f>('11'!AG26/24)*0.454</f>
        <v>0</v>
      </c>
      <c r="AI26" s="405">
        <v>5000.0</v>
      </c>
      <c r="AJ26" s="61">
        <f>('11'!AI26/24)*0.454</f>
        <v>94.58333333</v>
      </c>
      <c r="AK26" s="62"/>
      <c r="AL26" s="63">
        <f>('11'!AK26/24)*0.454</f>
        <v>0</v>
      </c>
      <c r="AM26" s="62"/>
      <c r="AN26" s="63">
        <f>('11'!AM26/24)*0.454</f>
        <v>0</v>
      </c>
      <c r="AO26" s="62"/>
      <c r="AP26" s="63">
        <f>('11'!AO26/24)*0.454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3320.0</v>
      </c>
      <c r="Z27" s="308">
        <v>1358.0</v>
      </c>
      <c r="AA27" s="56">
        <v>1.0</v>
      </c>
      <c r="AB27" s="58">
        <f>IF('11'!AA27=1,(('11'!Z27*'11'!$AS$6*'11'!$AT$6)/('11'!Y27*0.0036)),IF('11'!AA27=2,(('11'!Z27*'11'!$AS$7*'11'!$AT$7)/('11'!Y27*0.0036))))</f>
        <v>75.5580656</v>
      </c>
      <c r="AC27" s="58"/>
      <c r="AD27" s="59">
        <f>(('11'!AC27*'11'!$Q$10*1000000))/('11'!Y27*3600)</f>
        <v>0</v>
      </c>
      <c r="AE27" s="60"/>
      <c r="AF27" s="61">
        <f>('11'!AE27/24)*0.454</f>
        <v>0</v>
      </c>
      <c r="AG27" s="60"/>
      <c r="AH27" s="61">
        <f>('11'!AG27/24)*0.454</f>
        <v>0</v>
      </c>
      <c r="AI27" s="405">
        <v>5000.0</v>
      </c>
      <c r="AJ27" s="61">
        <f>('11'!AI27/24)*0.454</f>
        <v>94.58333333</v>
      </c>
      <c r="AK27" s="62"/>
      <c r="AL27" s="63">
        <f>('11'!AK27/24)*0.454</f>
        <v>0</v>
      </c>
      <c r="AM27" s="62"/>
      <c r="AN27" s="63">
        <f>('11'!AM27/24)*0.454</f>
        <v>0</v>
      </c>
      <c r="AO27" s="62"/>
      <c r="AP27" s="63">
        <f>('11'!AO27/24)*0.454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3323.0</v>
      </c>
      <c r="Z28" s="308">
        <v>1358.0</v>
      </c>
      <c r="AA28" s="56">
        <v>1.0</v>
      </c>
      <c r="AB28" s="58">
        <f>IF('11'!AA28=1,(('11'!Z28*'11'!$AS$6*'11'!$AT$6)/('11'!Y28*0.0036)),IF('11'!AA28=2,(('11'!Z28*'11'!$AS$7*'11'!$AT$7)/('11'!Y28*0.0036))))</f>
        <v>75.48985187</v>
      </c>
      <c r="AC28" s="58"/>
      <c r="AD28" s="59">
        <f>(('11'!AC28*'11'!$Q$10*1000000))/('11'!Y28*3600)</f>
        <v>0</v>
      </c>
      <c r="AE28" s="60"/>
      <c r="AF28" s="61">
        <f>('11'!AE28/24)*0.454</f>
        <v>0</v>
      </c>
      <c r="AG28" s="60"/>
      <c r="AH28" s="61">
        <f>('11'!AG28/24)*0.454</f>
        <v>0</v>
      </c>
      <c r="AI28" s="405">
        <v>5000.0</v>
      </c>
      <c r="AJ28" s="61">
        <f>('11'!AI28/24)*0.454</f>
        <v>94.58333333</v>
      </c>
      <c r="AK28" s="62"/>
      <c r="AL28" s="63">
        <f>('11'!AK28/24)*0.454</f>
        <v>0</v>
      </c>
      <c r="AM28" s="62"/>
      <c r="AN28" s="63">
        <f>('11'!AM28/24)*0.454</f>
        <v>0</v>
      </c>
      <c r="AO28" s="62"/>
      <c r="AP28" s="63">
        <f>('11'!AO28/24)*0.454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3397.0</v>
      </c>
      <c r="Z29" s="308">
        <v>1358.0</v>
      </c>
      <c r="AA29" s="56">
        <v>1.0</v>
      </c>
      <c r="AB29" s="58">
        <f>IF('11'!AA29=1,(('11'!Z29*'11'!$AS$6*'11'!$AT$6)/('11'!Y29*0.0036)),IF('11'!AA29=2,(('11'!Z29*'11'!$AS$7*'11'!$AT$7)/('11'!Y29*0.0036))))</f>
        <v>73.84538645</v>
      </c>
      <c r="AC29" s="58"/>
      <c r="AD29" s="59">
        <f>(('11'!AC29*'11'!$Q$10*1000000))/('11'!Y29*3600)</f>
        <v>0</v>
      </c>
      <c r="AE29" s="60"/>
      <c r="AF29" s="61">
        <f>('11'!AE29/24)*0.454</f>
        <v>0</v>
      </c>
      <c r="AG29" s="60"/>
      <c r="AH29" s="61">
        <f>('11'!AG29/24)*0.454</f>
        <v>0</v>
      </c>
      <c r="AI29" s="405">
        <v>5000.0</v>
      </c>
      <c r="AJ29" s="61">
        <f>('11'!AI29/24)*0.454</f>
        <v>94.58333333</v>
      </c>
      <c r="AK29" s="62"/>
      <c r="AL29" s="63">
        <f>('11'!AK29/24)*0.454</f>
        <v>0</v>
      </c>
      <c r="AM29" s="62"/>
      <c r="AN29" s="63">
        <f>('11'!AM29/24)*0.454</f>
        <v>0</v>
      </c>
      <c r="AO29" s="62"/>
      <c r="AP29" s="63">
        <f>('11'!AO29/24)*0.454</f>
        <v>0</v>
      </c>
    </row>
    <row r="30" ht="18.75" customHeight="1">
      <c r="A30" s="43"/>
      <c r="U30" s="27"/>
      <c r="X30" s="130" t="s">
        <v>55</v>
      </c>
      <c r="Y30" s="131">
        <f>SUM('11'!Y6:Y29)*3.6</f>
        <v>278647.2</v>
      </c>
      <c r="Z30" s="132">
        <f>SUM('11'!Z6:Z29)</f>
        <v>31835</v>
      </c>
      <c r="AA30" s="133"/>
      <c r="AB30" s="132"/>
      <c r="AC30" s="133"/>
      <c r="AD30" s="132"/>
      <c r="AE30" s="60"/>
      <c r="AF30" s="61">
        <f>SUM('11'!AF6:AF29)</f>
        <v>0</v>
      </c>
      <c r="AG30" s="60"/>
      <c r="AH30" s="61">
        <f>SUM('11'!AH6:AH29)</f>
        <v>0</v>
      </c>
      <c r="AI30" s="60"/>
      <c r="AJ30" s="61">
        <f>SUM('11'!AJ6:AJ29)</f>
        <v>2251.083333</v>
      </c>
      <c r="AK30" s="62"/>
      <c r="AL30" s="63">
        <f>SUM('11'!AL6:AL29)</f>
        <v>0</v>
      </c>
      <c r="AM30" s="62"/>
      <c r="AN30" s="63">
        <f>SUM('11'!AN6:AN29)</f>
        <v>0</v>
      </c>
      <c r="AO30" s="62"/>
      <c r="AP30" s="63">
        <f>SUM('11'!AP6:AP29)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SUMIF('11'!AA6:AA29,"=1",'11'!Z6:Z29)</f>
        <v>31835</v>
      </c>
      <c r="AA32" s="132">
        <f>'11'!Z32*'11'!AS6</f>
        <v>42340.55</v>
      </c>
      <c r="AB32" s="139">
        <f>SUMIF('11'!$AA$6:$AA$29,"=1",'11'!$AB$6:$AB$29)/COUNTIF('11'!$AA$6:$AA$29,"=1")</f>
        <v>76.06206894</v>
      </c>
      <c r="AC32" s="140">
        <f>SUMIF('11'!AA6:AA29,"=1",'11'!AC6:AC29)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SUMIF('11'!AA6:AA29,"=2",'11'!Z6:Z29)</f>
        <v>0</v>
      </c>
      <c r="AA33" s="132">
        <f>'11'!Z33*'11'!AS7</f>
        <v>0</v>
      </c>
      <c r="AB33" s="139" t="str">
        <f>SUMIF('11'!$AA$6:$AA$29,"=2",'11'!$AB$6:$AB$29)/COUNTIF('11'!$AA$6:$AA$29,"=2")</f>
        <v>#DIV/0!</v>
      </c>
      <c r="AC33" s="145">
        <f>SUMIF('11'!AA6:AA29,"=2",'11'!AC6:AC29)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AVERAGE('11'!Y6:Y29)</f>
        <v>3225.083333</v>
      </c>
      <c r="Z34" s="56">
        <f>AVERAGE('11'!Z6:Z29)</f>
        <v>1326.458333</v>
      </c>
      <c r="AA34" s="152"/>
      <c r="AB34" s="152"/>
      <c r="AC34" s="153" t="str">
        <f>SUM('11'!AC6:AC29)/COUNTIF('11'!AC6:AC29,"&lt;&gt;0")</f>
        <v>#DIV/0!</v>
      </c>
      <c r="AD34" s="154" t="str">
        <f>SUM('11'!AD6:AD29)/COUNTIF('11'!AD6:AD29,"&lt;&gt;0")</f>
        <v>#DIV/0!</v>
      </c>
      <c r="AE34" s="133"/>
      <c r="AF34" s="153">
        <f>AVERAGE('11'!AF6:AF29)</f>
        <v>0</v>
      </c>
      <c r="AG34" s="153"/>
      <c r="AH34" s="153">
        <f>AVERAGE('11'!AH6:AH29)</f>
        <v>0</v>
      </c>
      <c r="AI34" s="153"/>
      <c r="AJ34" s="153">
        <f>'11'!AJ30/24</f>
        <v>93.79513889</v>
      </c>
      <c r="AK34" s="153"/>
      <c r="AL34" s="153">
        <f>AVERAGE('11'!AL6:AL29)</f>
        <v>0</v>
      </c>
      <c r="AM34" s="153"/>
      <c r="AN34" s="153">
        <f>AVERAGE('11'!AN6:AN29)</f>
        <v>0</v>
      </c>
      <c r="AO34" s="153"/>
      <c r="AP34" s="153">
        <f>AVERAGE('11'!AP6:AP29)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406" t="s">
        <v>15</v>
      </c>
      <c r="X35" s="159" t="s">
        <v>66</v>
      </c>
      <c r="Y35" s="128"/>
      <c r="Z35" s="160"/>
      <c r="AA35" s="159" t="s">
        <v>67</v>
      </c>
      <c r="AB35" s="128"/>
      <c r="AJ35" s="335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407" t="s">
        <v>73</v>
      </c>
      <c r="Y36" s="163"/>
      <c r="Z36" s="164"/>
      <c r="AA36" s="408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58.2</v>
      </c>
      <c r="D37" s="76">
        <v>34.1</v>
      </c>
      <c r="E37" s="76">
        <v>24.1</v>
      </c>
      <c r="F37" s="76">
        <v>1.0</v>
      </c>
      <c r="G37" s="60">
        <v>0.2</v>
      </c>
      <c r="H37" s="60">
        <v>0.1</v>
      </c>
      <c r="I37" s="60">
        <v>0.1</v>
      </c>
      <c r="J37" s="60">
        <v>0.06</v>
      </c>
      <c r="K37" s="60">
        <v>0.0</v>
      </c>
      <c r="L37" s="52" t="s">
        <v>132</v>
      </c>
      <c r="M37" s="106"/>
      <c r="N37" s="157"/>
      <c r="O37" s="51"/>
      <c r="P37" s="51"/>
      <c r="Q37" s="51"/>
      <c r="R37" s="51"/>
      <c r="S37" s="51"/>
      <c r="T37" s="51"/>
      <c r="U37" s="365" t="str">
        <f>'11'!V12</f>
        <v/>
      </c>
      <c r="X37" s="338" t="s">
        <v>75</v>
      </c>
      <c r="Y37" s="128"/>
      <c r="Z37" s="170">
        <f>COUNTA('11'!Z6:Z29)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SUM('11'!AF30+'11'!AH30)</f>
        <v>0</v>
      </c>
      <c r="AL38" s="178" t="s">
        <v>78</v>
      </c>
      <c r="AM38" s="179">
        <f>SUM('11'!AL30+'11'!AN30)</f>
        <v>0</v>
      </c>
      <c r="AO38" s="178" t="s">
        <v>78</v>
      </c>
      <c r="AP38" s="180">
        <f>'11'!AJ30</f>
        <v>2251.083333</v>
      </c>
      <c r="AQ38" s="178" t="s">
        <v>78</v>
      </c>
      <c r="AR38" s="179">
        <f>'11'!AP30</f>
        <v>0</v>
      </c>
    </row>
    <row r="39" ht="16.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409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('11'!AK38/'11'!Y30)*1000</f>
        <v>0</v>
      </c>
      <c r="AL39" s="327" t="s">
        <v>86</v>
      </c>
      <c r="AM39" s="328">
        <f>('11'!AM38/'11'!Y30)*1000</f>
        <v>0</v>
      </c>
      <c r="AO39" s="325" t="s">
        <v>86</v>
      </c>
      <c r="AP39" s="326">
        <f>('11'!AP38/'11'!Y30)*1000</f>
        <v>8.078614583</v>
      </c>
      <c r="AQ39" s="327" t="s">
        <v>86</v>
      </c>
      <c r="AR39" s="328">
        <f>('11'!AR38/'11'!Y30)*1000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SUM('11'!AK38,'11'!AM38)</f>
        <v>0</v>
      </c>
      <c r="AM40" s="128"/>
      <c r="AO40" s="210" t="s">
        <v>90</v>
      </c>
      <c r="AP40" s="128"/>
      <c r="AQ40" s="211">
        <f>SUM('11'!AP38,'11'!AR38)</f>
        <v>2251.083333</v>
      </c>
      <c r="AR40" s="128"/>
    </row>
    <row r="41" ht="16.5" customHeight="1">
      <c r="A41" s="212">
        <f>COUNTA('11'!E7:E18)</f>
        <v>12</v>
      </c>
      <c r="B41" s="213">
        <f>COUNTA('11'!I7:I18)</f>
        <v>12</v>
      </c>
      <c r="C41" s="214">
        <f>COUNTA('11'!J7:J18)</f>
        <v>12</v>
      </c>
      <c r="D41" s="80"/>
      <c r="E41" s="214">
        <f>COUNTIF('11'!E7:E18,"&gt;15")</f>
        <v>0</v>
      </c>
      <c r="F41" s="80"/>
      <c r="G41" s="214">
        <f>COUNTIF('11'!J7:J18,"&gt;1")</f>
        <v>0</v>
      </c>
      <c r="H41" s="80"/>
      <c r="I41" s="215"/>
      <c r="J41" s="214">
        <f>'11'!A41-'11'!E41</f>
        <v>12</v>
      </c>
      <c r="K41" s="80"/>
      <c r="L41" s="214">
        <f>'11'!C41-'11'!G41</f>
        <v>12</v>
      </c>
      <c r="M41" s="80"/>
      <c r="N41" s="215"/>
      <c r="O41" s="216">
        <f>COUNTIF('11'!J7:J18,"&lt;=0,5")</f>
        <v>11</v>
      </c>
      <c r="P41" s="217"/>
      <c r="Q41" s="218"/>
      <c r="R41" s="219"/>
      <c r="S41" s="220">
        <f>COUNTIF('11'!J7:J18,"&lt;=1,0")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SUM(('11'!AK38+'11'!AM38)/'11'!Y30)*1000</f>
        <v>0</v>
      </c>
      <c r="AM41" s="128"/>
      <c r="AO41" s="210" t="s">
        <v>91</v>
      </c>
      <c r="AP41" s="128"/>
      <c r="AQ41" s="223">
        <f>SUM(('11'!AP38+'11'!AR38)/'11'!Y30)*1000</f>
        <v>8.078614583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SUM('11'!Y45,'11'!AA45,'11'!AC45,'11'!AE45)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COUNTIF('11'!I7:I18,"&lt;=5,0")</f>
        <v>12</v>
      </c>
      <c r="I45" s="127"/>
      <c r="J45" s="128"/>
      <c r="K45" s="215"/>
      <c r="L45" s="208">
        <f>COUNTA('11'!L37)</f>
        <v>1</v>
      </c>
      <c r="M45" s="128"/>
      <c r="O45" s="248"/>
      <c r="P45" s="249"/>
      <c r="Q45" s="250">
        <f>'11'!S41-'11'!O41</f>
        <v>1</v>
      </c>
      <c r="R45" s="251"/>
      <c r="S45" s="252"/>
      <c r="T45" s="253"/>
      <c r="X45" s="133" t="s">
        <v>104</v>
      </c>
      <c r="Y45" s="254">
        <f>'11'!Y44*275.3</f>
        <v>0</v>
      </c>
      <c r="Z45" s="133" t="s">
        <v>104</v>
      </c>
      <c r="AA45" s="254">
        <f>262.4*'11'!AA44</f>
        <v>0</v>
      </c>
      <c r="AB45" s="133" t="s">
        <v>104</v>
      </c>
      <c r="AC45" s="254">
        <f>'11'!AC44*277.7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343"/>
      <c r="AP45" s="233"/>
      <c r="AQ45" s="233"/>
      <c r="AR45" s="89"/>
    </row>
    <row r="46" ht="15.75" customHeight="1">
      <c r="F46" s="257"/>
      <c r="X46" s="196" t="s">
        <v>105</v>
      </c>
      <c r="Y46" s="258">
        <f>'11'!AS6</f>
        <v>1.33</v>
      </c>
      <c r="Z46" s="196" t="s">
        <v>105</v>
      </c>
      <c r="AA46" s="258">
        <f>'11'!Y46</f>
        <v>1.33</v>
      </c>
      <c r="AB46" s="196" t="s">
        <v>105</v>
      </c>
      <c r="AC46" s="258">
        <f>'11'!Y46</f>
        <v>1.33</v>
      </c>
      <c r="AD46" s="196" t="s">
        <v>105</v>
      </c>
      <c r="AE46" s="259">
        <f>'11'!Y46</f>
        <v>1.33</v>
      </c>
      <c r="AF46" s="260" t="s">
        <v>106</v>
      </c>
      <c r="AG46" s="261">
        <f>SUM('11'!Y47,'11'!AA47,'11'!AC47,'11'!AE47)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'11'!Y45*'11'!Y46</f>
        <v>0</v>
      </c>
      <c r="Z47" s="133" t="s">
        <v>108</v>
      </c>
      <c r="AA47" s="254">
        <f>'11'!AA45*'11'!AA46</f>
        <v>0</v>
      </c>
      <c r="AB47" s="133" t="s">
        <v>108</v>
      </c>
      <c r="AC47" s="254">
        <f>'11'!AC45*'11'!AC46</f>
        <v>0</v>
      </c>
      <c r="AD47" s="133" t="s">
        <v>108</v>
      </c>
      <c r="AE47" s="254">
        <f>'11'!AE45*'11'!AE46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262.4*'3'!AL46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'3'!Y46</f>
        <v>1.33</v>
      </c>
      <c r="AK48" s="265" t="s">
        <v>105</v>
      </c>
      <c r="AL48" s="258">
        <f>'3'!AJ48</f>
        <v>1.33</v>
      </c>
      <c r="AM48" s="265" t="s">
        <v>105</v>
      </c>
      <c r="AN48" s="258">
        <f>'3'!AJ48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'3'!AL47*'3'!AL48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COUNTA('11'!O7:O18)</f>
        <v>12</v>
      </c>
      <c r="P51" s="128"/>
      <c r="R51" s="247">
        <f>COUNTIF('11'!O7:O18,"&gt;=0,5")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SUM('11'!Y53,'11'!AA53,'11'!AC53,'11'!AE53)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343" t="s">
        <v>102</v>
      </c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'11'!Y52*275.3</f>
        <v>0</v>
      </c>
      <c r="Z53" s="133" t="s">
        <v>104</v>
      </c>
      <c r="AA53" s="254">
        <f>262.4*'11'!AA52</f>
        <v>0</v>
      </c>
      <c r="AB53" s="133" t="s">
        <v>104</v>
      </c>
      <c r="AC53" s="276">
        <f>'11'!AC52*277.7</f>
        <v>0</v>
      </c>
      <c r="AD53" s="133" t="s">
        <v>104</v>
      </c>
      <c r="AE53" s="352"/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'11'!AS7</f>
        <v>1.377</v>
      </c>
      <c r="Z54" s="196" t="s">
        <v>105</v>
      </c>
      <c r="AA54" s="258">
        <f>'11'!Y54</f>
        <v>1.377</v>
      </c>
      <c r="AB54" s="196" t="s">
        <v>105</v>
      </c>
      <c r="AC54" s="258">
        <f>'11'!Y54</f>
        <v>1.377</v>
      </c>
      <c r="AD54" s="196" t="s">
        <v>105</v>
      </c>
      <c r="AE54" s="259">
        <f>'11'!Y54</f>
        <v>1.377</v>
      </c>
      <c r="AF54" s="260" t="s">
        <v>106</v>
      </c>
      <c r="AG54" s="261">
        <f>SUM('11'!Y55,'11'!AA55,'11'!AC55,'11'!AE55)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262.4*'3'!AL53</f>
        <v>0</v>
      </c>
      <c r="AM54" s="133" t="s">
        <v>104</v>
      </c>
      <c r="AN54" s="276">
        <f>277.7*AN53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'11'!Y53*'11'!Y54</f>
        <v>0</v>
      </c>
      <c r="Z55" s="133" t="s">
        <v>108</v>
      </c>
      <c r="AA55" s="254">
        <f>'11'!AA53*'11'!AA54</f>
        <v>0</v>
      </c>
      <c r="AB55" s="133" t="s">
        <v>108</v>
      </c>
      <c r="AC55" s="254">
        <f>'11'!AC53*'11'!AC54</f>
        <v>0</v>
      </c>
      <c r="AD55" s="133" t="s">
        <v>108</v>
      </c>
      <c r="AE55" s="254">
        <f>'11'!AE53*'11'!AE54</f>
        <v>0</v>
      </c>
      <c r="AF55" s="46"/>
      <c r="AG55" s="46"/>
      <c r="AI55" s="196" t="s">
        <v>105</v>
      </c>
      <c r="AJ55" s="258">
        <f>'3'!Y54</f>
        <v>1.377</v>
      </c>
      <c r="AK55" s="196" t="s">
        <v>105</v>
      </c>
      <c r="AL55" s="258">
        <f>'3'!AJ55</f>
        <v>1.377</v>
      </c>
      <c r="AM55" s="196" t="s">
        <v>105</v>
      </c>
      <c r="AN55" s="258">
        <f>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'3'!AL54*'3'!AL55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COUNTA('11'!N7:N18)</f>
        <v>12</v>
      </c>
      <c r="P57" s="128"/>
      <c r="R57" s="277">
        <f>COUNTIF('11'!N7:N18,"&gt;=6")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42340.55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>
        <v>0.0</v>
      </c>
      <c r="AE63" s="97"/>
      <c r="AF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-42340.55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'10'!$Y$68</f>
        <v>-6810</v>
      </c>
      <c r="Z65" s="43"/>
      <c r="AA65" s="27"/>
      <c r="AB65" s="299" t="s">
        <v>126</v>
      </c>
      <c r="AC65" s="330">
        <f>'10'!$AC$68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>
        <f>SUM('11'!AK38,'11'!AP38)</f>
        <v>2251.083333</v>
      </c>
      <c r="Z67" s="43"/>
      <c r="AA67" s="27"/>
      <c r="AB67" s="296" t="s">
        <v>124</v>
      </c>
      <c r="AC67" s="254">
        <f>SUM('11'!AM38,'11'!AR38)</f>
        <v>0</v>
      </c>
    </row>
    <row r="68" ht="15.75" customHeight="1">
      <c r="X68" s="294" t="s">
        <v>128</v>
      </c>
      <c r="Y68" s="301">
        <f>SUM('11'!Y63,'11'!Y65)-'11'!Y67</f>
        <v>-9061.083333</v>
      </c>
      <c r="Z68" s="16"/>
      <c r="AA68" s="18"/>
      <c r="AB68" s="296" t="s">
        <v>128</v>
      </c>
      <c r="AC68" s="302">
        <f>SUM('11'!AC63,'11'!AC65)-'11'!AC67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1" width="8.71"/>
    <col customWidth="1" min="22" max="24" width="8.57"/>
    <col customWidth="1" min="25" max="25" width="8.14"/>
    <col customWidth="1" min="26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139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3340.0</v>
      </c>
      <c r="Z6" s="308">
        <v>1358.0</v>
      </c>
      <c r="AA6" s="125">
        <v>1.0</v>
      </c>
      <c r="AB6" s="58">
        <f>IF('12'!AA6=1,(('12'!Z6*'12'!$AS$6*'12'!$AT$6)/('12'!Y6*0.0036)),IF('12'!AA6=2,(('12'!Z6*'12'!$AS$7*'12'!$AT$7)/('12'!Y6*0.0036))))</f>
        <v>75.10562209</v>
      </c>
      <c r="AC6" s="58"/>
      <c r="AD6" s="59">
        <f>(('12'!AC6*'12'!$Q$10*1000000))/('12'!Y6*3600)</f>
        <v>0</v>
      </c>
      <c r="AE6" s="60"/>
      <c r="AF6" s="61">
        <f>('12'!AE6/24)*0.454</f>
        <v>0</v>
      </c>
      <c r="AG6" s="60"/>
      <c r="AH6" s="61">
        <f>('12'!AG6/24)*0.454</f>
        <v>0</v>
      </c>
      <c r="AI6" s="392">
        <v>5000.0</v>
      </c>
      <c r="AJ6" s="61">
        <f>('12'!AI6/24)*0.454</f>
        <v>94.58333333</v>
      </c>
      <c r="AK6" s="62"/>
      <c r="AL6" s="63">
        <f>('12'!AK6/24)*0.454</f>
        <v>0</v>
      </c>
      <c r="AM6" s="62"/>
      <c r="AN6" s="63">
        <f>('12'!AM6/24)*0.454</f>
        <v>0</v>
      </c>
      <c r="AO6" s="62"/>
      <c r="AP6" s="63">
        <f>('12'!AO6/24)*0.454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0">
        <v>115.0</v>
      </c>
      <c r="C7" s="70">
        <v>12.0</v>
      </c>
      <c r="D7" s="70">
        <v>12.0</v>
      </c>
      <c r="E7" s="70">
        <v>4.0</v>
      </c>
      <c r="F7" s="70">
        <v>24.0</v>
      </c>
      <c r="G7" s="70">
        <v>1.2</v>
      </c>
      <c r="H7" s="70">
        <v>1.3</v>
      </c>
      <c r="I7" s="70">
        <v>0.6</v>
      </c>
      <c r="J7" s="70">
        <v>0.6</v>
      </c>
      <c r="K7" s="70">
        <v>6.9</v>
      </c>
      <c r="L7" s="70">
        <v>6.5</v>
      </c>
      <c r="M7" s="70">
        <v>6.5</v>
      </c>
      <c r="N7" s="70">
        <v>6.2</v>
      </c>
      <c r="O7" s="70">
        <v>3.6</v>
      </c>
      <c r="P7" s="70"/>
      <c r="Q7" s="70"/>
      <c r="R7" s="77">
        <f>'11'!$Z$29</f>
        <v>1358</v>
      </c>
      <c r="S7" s="309">
        <f>'11'!$AB$29</f>
        <v>73.84538645</v>
      </c>
      <c r="T7" s="77">
        <f>'11'!$Y$29</f>
        <v>3397</v>
      </c>
      <c r="U7" s="73" t="str">
        <f>IF('12'!AA6=1,'12'!AR6,'12'!AR7)</f>
        <v>S.A.L</v>
      </c>
      <c r="V7" s="74" t="str">
        <f>ESCALA!$C$13</f>
        <v/>
      </c>
      <c r="W7" s="12"/>
      <c r="X7" s="54">
        <v>0.0833333333333333</v>
      </c>
      <c r="Y7" s="125">
        <v>3354.0</v>
      </c>
      <c r="Z7" s="308">
        <v>1358.0</v>
      </c>
      <c r="AA7" s="125">
        <v>1.0</v>
      </c>
      <c r="AB7" s="58">
        <f>IF('12'!AA7=1,(('12'!Z7*'12'!$AS$6*'12'!$AT$6)/('12'!Y7*0.0036)),IF('12'!AA7=2,(('12'!Z7*'12'!$AS$7*'12'!$AT$7)/('12'!Y7*0.0036))))</f>
        <v>74.79212218</v>
      </c>
      <c r="AC7" s="58"/>
      <c r="AD7" s="59">
        <f>(('12'!AC7*'12'!$Q$10*1000000))/('12'!Y7*3600)</f>
        <v>0</v>
      </c>
      <c r="AE7" s="60"/>
      <c r="AF7" s="61">
        <f>('12'!AE7/24)*0.454</f>
        <v>0</v>
      </c>
      <c r="AG7" s="60"/>
      <c r="AH7" s="61">
        <f>('12'!AG7/24)*0.454</f>
        <v>0</v>
      </c>
      <c r="AI7" s="392">
        <v>5000.0</v>
      </c>
      <c r="AJ7" s="61">
        <f>('12'!AI7/24)*0.454</f>
        <v>94.58333333</v>
      </c>
      <c r="AK7" s="62"/>
      <c r="AL7" s="63">
        <f>('12'!AK7/24)*0.454</f>
        <v>0</v>
      </c>
      <c r="AM7" s="62"/>
      <c r="AN7" s="63">
        <f>('12'!AM7/24)*0.454</f>
        <v>0</v>
      </c>
      <c r="AO7" s="62"/>
      <c r="AP7" s="63">
        <f>('12'!AO7/24)*0.454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0">
        <v>99.0</v>
      </c>
      <c r="C8" s="70">
        <v>10.0</v>
      </c>
      <c r="D8" s="70">
        <v>10.0</v>
      </c>
      <c r="E8" s="70">
        <v>3.0</v>
      </c>
      <c r="F8" s="70">
        <v>20.0</v>
      </c>
      <c r="G8" s="70">
        <v>0.9</v>
      </c>
      <c r="H8" s="70">
        <v>1.0</v>
      </c>
      <c r="I8" s="70">
        <v>0.5</v>
      </c>
      <c r="J8" s="70">
        <v>0.5</v>
      </c>
      <c r="K8" s="70">
        <v>6.9</v>
      </c>
      <c r="L8" s="70">
        <v>6.5</v>
      </c>
      <c r="M8" s="70">
        <v>6.5</v>
      </c>
      <c r="N8" s="70">
        <v>6.2</v>
      </c>
      <c r="O8" s="70">
        <v>3.5</v>
      </c>
      <c r="P8" s="70"/>
      <c r="Q8" s="70"/>
      <c r="R8" s="75">
        <f>'12'!Z7</f>
        <v>1358</v>
      </c>
      <c r="S8" s="76">
        <f>'12'!AB7</f>
        <v>74.79212218</v>
      </c>
      <c r="T8" s="77">
        <f>'12'!Y7</f>
        <v>3354</v>
      </c>
      <c r="U8" s="73" t="str">
        <f>IF('12'!AA7=1,'12'!AR6,'12'!AR7)</f>
        <v>S.A.L</v>
      </c>
      <c r="V8" s="43"/>
      <c r="W8" s="27"/>
      <c r="X8" s="54">
        <v>0.125</v>
      </c>
      <c r="Y8" s="125">
        <v>3339.0</v>
      </c>
      <c r="Z8" s="308">
        <v>1358.0</v>
      </c>
      <c r="AA8" s="125">
        <v>1.0</v>
      </c>
      <c r="AB8" s="58">
        <f>IF('12'!AA8=1,(('12'!Z8*'12'!$AS$6*'12'!$AT$6)/('12'!Y8*0.0036)),IF('12'!AA8=2,(('12'!Z8*'12'!$AS$7*'12'!$AT$7)/('12'!Y8*0.0036))))</f>
        <v>75.12811554</v>
      </c>
      <c r="AC8" s="58"/>
      <c r="AD8" s="59">
        <f>(('12'!AC8*'12'!$Q$10*1000000))/('12'!Y8*3600)</f>
        <v>0</v>
      </c>
      <c r="AE8" s="60"/>
      <c r="AF8" s="61">
        <f>('12'!AE8/24)*0.454</f>
        <v>0</v>
      </c>
      <c r="AG8" s="60"/>
      <c r="AH8" s="61">
        <f>('12'!AG8/24)*0.454</f>
        <v>0</v>
      </c>
      <c r="AI8" s="392">
        <v>5000.0</v>
      </c>
      <c r="AJ8" s="61">
        <f>('12'!AI8/24)*0.454</f>
        <v>94.58333333</v>
      </c>
      <c r="AK8" s="62"/>
      <c r="AL8" s="63">
        <f>('12'!AK8/24)*0.454</f>
        <v>0</v>
      </c>
      <c r="AM8" s="62"/>
      <c r="AN8" s="63">
        <f>('12'!AM8/24)*0.454</f>
        <v>0</v>
      </c>
      <c r="AO8" s="62"/>
      <c r="AP8" s="63">
        <f>('12'!AO8/24)*0.454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0">
        <v>95.0</v>
      </c>
      <c r="C9" s="70">
        <v>9.0</v>
      </c>
      <c r="D9" s="70">
        <v>9.0</v>
      </c>
      <c r="E9" s="70">
        <v>3.0</v>
      </c>
      <c r="F9" s="70">
        <v>19.0</v>
      </c>
      <c r="G9" s="70">
        <v>0.9</v>
      </c>
      <c r="H9" s="70">
        <v>1.0</v>
      </c>
      <c r="I9" s="70">
        <v>0.5</v>
      </c>
      <c r="J9" s="70">
        <v>0.5</v>
      </c>
      <c r="K9" s="70">
        <v>6.9</v>
      </c>
      <c r="L9" s="70">
        <v>6.5</v>
      </c>
      <c r="M9" s="70">
        <v>6.5</v>
      </c>
      <c r="N9" s="70">
        <v>6.2</v>
      </c>
      <c r="O9" s="70">
        <v>3.5</v>
      </c>
      <c r="P9" s="70"/>
      <c r="Q9" s="70"/>
      <c r="R9" s="77">
        <f>'12'!Z9</f>
        <v>1358</v>
      </c>
      <c r="S9" s="76">
        <f>'12'!AB9</f>
        <v>75.01578283</v>
      </c>
      <c r="T9" s="77">
        <f>'12'!Y9</f>
        <v>3344</v>
      </c>
      <c r="U9" s="73" t="str">
        <f>IF('12'!AA9=1,'12'!AR6,'12'!AR7)</f>
        <v>S.A.L</v>
      </c>
      <c r="V9" s="43"/>
      <c r="W9" s="27"/>
      <c r="X9" s="54">
        <v>0.166666666666667</v>
      </c>
      <c r="Y9" s="125">
        <v>3344.0</v>
      </c>
      <c r="Z9" s="308">
        <v>1358.0</v>
      </c>
      <c r="AA9" s="125">
        <v>1.0</v>
      </c>
      <c r="AB9" s="58">
        <f>IF('12'!AA9=1,(('12'!Z9*'12'!$AS$6*'12'!$AT$6)/('12'!Y9*0.0036)),IF('12'!AA9=2,(('12'!Z9*'12'!$AS$7*'12'!$AT$7)/('12'!Y9*0.0036))))</f>
        <v>75.01578283</v>
      </c>
      <c r="AC9" s="58"/>
      <c r="AD9" s="59">
        <f>(('12'!AC9*'12'!$Q$10*1000000))/('12'!Y9*3600)</f>
        <v>0</v>
      </c>
      <c r="AE9" s="60"/>
      <c r="AF9" s="61">
        <f>('12'!AE9/24)*0.454</f>
        <v>0</v>
      </c>
      <c r="AG9" s="60"/>
      <c r="AH9" s="61">
        <f>('12'!AG9/24)*0.454</f>
        <v>0</v>
      </c>
      <c r="AI9" s="392">
        <v>5000.0</v>
      </c>
      <c r="AJ9" s="61">
        <f>('12'!AI9/24)*0.454</f>
        <v>94.58333333</v>
      </c>
      <c r="AK9" s="62"/>
      <c r="AL9" s="63">
        <f>('12'!AK9/24)*0.454</f>
        <v>0</v>
      </c>
      <c r="AM9" s="62"/>
      <c r="AN9" s="63">
        <f>('12'!AM9/24)*0.454</f>
        <v>0</v>
      </c>
      <c r="AO9" s="62"/>
      <c r="AP9" s="63">
        <f>('12'!AO9/24)*0.454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0">
        <v>92.0</v>
      </c>
      <c r="C10" s="70">
        <v>9.0</v>
      </c>
      <c r="D10" s="70">
        <v>9.0</v>
      </c>
      <c r="E10" s="70">
        <v>3.0</v>
      </c>
      <c r="F10" s="70">
        <v>17.0</v>
      </c>
      <c r="G10" s="70">
        <v>0.9</v>
      </c>
      <c r="H10" s="70">
        <v>1.0</v>
      </c>
      <c r="I10" s="70">
        <v>0.5</v>
      </c>
      <c r="J10" s="70">
        <v>0.5</v>
      </c>
      <c r="K10" s="70">
        <v>6.9</v>
      </c>
      <c r="L10" s="70">
        <v>6.5</v>
      </c>
      <c r="M10" s="70">
        <v>6.5</v>
      </c>
      <c r="N10" s="70">
        <v>6.2</v>
      </c>
      <c r="O10" s="70">
        <v>3.5</v>
      </c>
      <c r="P10" s="70"/>
      <c r="Q10" s="70"/>
      <c r="R10" s="77">
        <f>'12'!Z11</f>
        <v>1358</v>
      </c>
      <c r="S10" s="76">
        <f>'12'!AB11</f>
        <v>74.34877824</v>
      </c>
      <c r="T10" s="77">
        <f>'12'!Y11</f>
        <v>3374</v>
      </c>
      <c r="U10" s="73" t="str">
        <f>IF('12'!AA11=1,'12'!AR6,'12'!AR7)</f>
        <v>S.A.L</v>
      </c>
      <c r="V10" s="43"/>
      <c r="W10" s="27"/>
      <c r="X10" s="54">
        <v>0.208333333333333</v>
      </c>
      <c r="Y10" s="125">
        <v>3352.0</v>
      </c>
      <c r="Z10" s="308">
        <v>1358.0</v>
      </c>
      <c r="AA10" s="125">
        <v>1.0</v>
      </c>
      <c r="AB10" s="58">
        <f>IF('12'!AA10=1,(('12'!Z10*'12'!$AS$6*'12'!$AT$6)/('12'!Y10*0.0036)),IF('12'!AA10=2,(('12'!Z10*'12'!$AS$7*'12'!$AT$7)/('12'!Y10*0.0036))))</f>
        <v>74.83674755</v>
      </c>
      <c r="AC10" s="58"/>
      <c r="AD10" s="59">
        <f>(('12'!AC10*'12'!$Q$10*1000000))/('12'!Y10*3600)</f>
        <v>0</v>
      </c>
      <c r="AE10" s="60"/>
      <c r="AF10" s="61">
        <f>('12'!AE10/24)*0.454</f>
        <v>0</v>
      </c>
      <c r="AG10" s="60"/>
      <c r="AH10" s="61">
        <f>('12'!AG10/24)*0.454</f>
        <v>0</v>
      </c>
      <c r="AI10" s="392">
        <v>5000.0</v>
      </c>
      <c r="AJ10" s="61">
        <f>('12'!AI10/24)*0.454</f>
        <v>94.58333333</v>
      </c>
      <c r="AK10" s="62"/>
      <c r="AL10" s="63">
        <f>('12'!AK10/24)*0.454</f>
        <v>0</v>
      </c>
      <c r="AM10" s="62"/>
      <c r="AN10" s="63">
        <f>('12'!AM10/24)*0.454</f>
        <v>0</v>
      </c>
      <c r="AO10" s="62"/>
      <c r="AP10" s="63">
        <f>('12'!AO10/24)*0.454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0">
        <v>88.0</v>
      </c>
      <c r="C11" s="70">
        <v>11.0</v>
      </c>
      <c r="D11" s="70">
        <v>10.0</v>
      </c>
      <c r="E11" s="70">
        <v>4.0</v>
      </c>
      <c r="F11" s="70">
        <v>16.0</v>
      </c>
      <c r="G11" s="70">
        <v>1.0</v>
      </c>
      <c r="H11" s="70">
        <v>1.0</v>
      </c>
      <c r="I11" s="70">
        <v>0.5</v>
      </c>
      <c r="J11" s="70">
        <v>0.5</v>
      </c>
      <c r="K11" s="70">
        <v>6.9</v>
      </c>
      <c r="L11" s="70">
        <v>6.5</v>
      </c>
      <c r="M11" s="70">
        <v>6.5</v>
      </c>
      <c r="N11" s="70">
        <v>6.2</v>
      </c>
      <c r="O11" s="70">
        <v>3.5</v>
      </c>
      <c r="P11" s="70"/>
      <c r="Q11" s="70"/>
      <c r="R11" s="77">
        <f>'12'!Z13</f>
        <v>1358</v>
      </c>
      <c r="S11" s="76">
        <f>'12'!AB13</f>
        <v>77.56734007</v>
      </c>
      <c r="T11" s="77">
        <f>'12'!Y13</f>
        <v>3234</v>
      </c>
      <c r="U11" s="73" t="str">
        <f>IF('12'!AA13=1,'12'!AR6,'12'!AR7)</f>
        <v>S.A.L</v>
      </c>
      <c r="V11" s="16"/>
      <c r="W11" s="18"/>
      <c r="X11" s="54">
        <v>0.25</v>
      </c>
      <c r="Y11" s="125">
        <v>3374.0</v>
      </c>
      <c r="Z11" s="308">
        <v>1358.0</v>
      </c>
      <c r="AA11" s="125">
        <v>1.0</v>
      </c>
      <c r="AB11" s="58">
        <f>IF('12'!AA11=1,(('12'!Z11*'12'!$AS$6*'12'!$AT$6)/('12'!Y11*0.0036)),IF('12'!AA11=2,(('12'!Z11*'12'!$AS$7*'12'!$AT$7)/('12'!Y11*0.0036))))</f>
        <v>74.34877824</v>
      </c>
      <c r="AC11" s="58"/>
      <c r="AD11" s="59">
        <f>(('12'!AC11*'12'!$Q$10*1000000))/('12'!Y11*3600)</f>
        <v>0</v>
      </c>
      <c r="AE11" s="60"/>
      <c r="AF11" s="61">
        <f>('12'!AE11/24)*0.454</f>
        <v>0</v>
      </c>
      <c r="AG11" s="60"/>
      <c r="AH11" s="61">
        <f>('12'!AG11/24)*0.454</f>
        <v>0</v>
      </c>
      <c r="AI11" s="392">
        <v>5000.0</v>
      </c>
      <c r="AJ11" s="61">
        <f>('12'!AI11/24)*0.454</f>
        <v>94.58333333</v>
      </c>
      <c r="AK11" s="62"/>
      <c r="AL11" s="63">
        <f>('12'!AK11/24)*0.454</f>
        <v>0</v>
      </c>
      <c r="AM11" s="62"/>
      <c r="AN11" s="63">
        <f>('12'!AM11/24)*0.454</f>
        <v>0</v>
      </c>
      <c r="AO11" s="62"/>
      <c r="AP11" s="63">
        <f>('12'!AO11/24)*0.454</f>
        <v>0</v>
      </c>
    </row>
    <row r="12" ht="18.75" customHeight="1">
      <c r="A12" s="69">
        <v>0.416666666666667</v>
      </c>
      <c r="B12" s="70">
        <v>83.0</v>
      </c>
      <c r="C12" s="70">
        <v>12.0</v>
      </c>
      <c r="D12" s="70">
        <v>11.0</v>
      </c>
      <c r="E12" s="70">
        <v>4.0</v>
      </c>
      <c r="F12" s="70">
        <v>15.0</v>
      </c>
      <c r="G12" s="70">
        <v>1.0</v>
      </c>
      <c r="H12" s="70">
        <v>1.1</v>
      </c>
      <c r="I12" s="70">
        <v>0.4</v>
      </c>
      <c r="J12" s="70">
        <v>0.6</v>
      </c>
      <c r="K12" s="70">
        <v>6.9</v>
      </c>
      <c r="L12" s="70">
        <v>6.5</v>
      </c>
      <c r="M12" s="70">
        <v>6.5</v>
      </c>
      <c r="N12" s="70">
        <v>6.2</v>
      </c>
      <c r="O12" s="70">
        <v>3.5</v>
      </c>
      <c r="P12" s="70"/>
      <c r="Q12" s="70"/>
      <c r="R12" s="77">
        <f>'12'!Z15</f>
        <v>1358</v>
      </c>
      <c r="S12" s="76">
        <f>'12'!AB15</f>
        <v>78.63723441</v>
      </c>
      <c r="T12" s="77">
        <f>'12'!Y15</f>
        <v>3190</v>
      </c>
      <c r="U12" s="73" t="str">
        <f>IF('12'!AA15=1,'12'!AR6,'12'!AR7)</f>
        <v>S.A.L</v>
      </c>
      <c r="V12" s="88" t="str">
        <f>ESCALA!$B$14</f>
        <v/>
      </c>
      <c r="W12" s="89"/>
      <c r="X12" s="54">
        <v>0.291666666666667</v>
      </c>
      <c r="Y12" s="125">
        <v>3189.0</v>
      </c>
      <c r="Z12" s="308">
        <v>1358.0</v>
      </c>
      <c r="AA12" s="125">
        <v>1.0</v>
      </c>
      <c r="AB12" s="58">
        <f>IF('12'!AA12=1,(('12'!Z12*'12'!$AS$6*'12'!$AT$6)/('12'!Y12*0.0036)),IF('12'!AA12=2,(('12'!Z12*'12'!$AS$7*'12'!$AT$7)/('12'!Y12*0.0036))))</f>
        <v>78.66189331</v>
      </c>
      <c r="AC12" s="58"/>
      <c r="AD12" s="59">
        <f>(('12'!AC12*'12'!$Q$10*1000000))/('12'!Y12*3600)</f>
        <v>0</v>
      </c>
      <c r="AE12" s="60"/>
      <c r="AF12" s="61">
        <f>('12'!AE12/24)*0.454</f>
        <v>0</v>
      </c>
      <c r="AG12" s="60"/>
      <c r="AH12" s="61">
        <f>('12'!AG12/24)*0.454</f>
        <v>0</v>
      </c>
      <c r="AI12" s="392">
        <v>5000.0</v>
      </c>
      <c r="AJ12" s="61">
        <f>('12'!AI12/24)*0.454</f>
        <v>94.58333333</v>
      </c>
      <c r="AK12" s="62"/>
      <c r="AL12" s="63">
        <f>('12'!AK12/24)*0.454</f>
        <v>0</v>
      </c>
      <c r="AM12" s="62"/>
      <c r="AN12" s="63">
        <f>('12'!AM12/24)*0.454</f>
        <v>0</v>
      </c>
      <c r="AO12" s="62"/>
      <c r="AP12" s="63">
        <f>('12'!AO12/24)*0.454</f>
        <v>0</v>
      </c>
    </row>
    <row r="13" ht="18.75" customHeight="1">
      <c r="A13" s="69">
        <v>0.5</v>
      </c>
      <c r="B13" s="70">
        <v>82.0</v>
      </c>
      <c r="C13" s="70">
        <v>12.0</v>
      </c>
      <c r="D13" s="70">
        <v>12.0</v>
      </c>
      <c r="E13" s="70">
        <v>5.0</v>
      </c>
      <c r="F13" s="70">
        <v>15.0</v>
      </c>
      <c r="G13" s="70">
        <v>1.1</v>
      </c>
      <c r="H13" s="70">
        <v>1.1</v>
      </c>
      <c r="I13" s="70">
        <v>0.4</v>
      </c>
      <c r="J13" s="70">
        <v>0.5</v>
      </c>
      <c r="K13" s="70">
        <v>6.9</v>
      </c>
      <c r="L13" s="70">
        <v>6.5</v>
      </c>
      <c r="M13" s="70">
        <v>6.5</v>
      </c>
      <c r="N13" s="70">
        <v>6.2</v>
      </c>
      <c r="O13" s="70">
        <v>3.5</v>
      </c>
      <c r="P13" s="70"/>
      <c r="Q13" s="70"/>
      <c r="R13" s="77">
        <f>'12'!Z17</f>
        <v>1358</v>
      </c>
      <c r="S13" s="76">
        <f>'12'!AB17</f>
        <v>80.76393361</v>
      </c>
      <c r="T13" s="77">
        <f>'12'!Y17</f>
        <v>3106</v>
      </c>
      <c r="U13" s="73" t="str">
        <f>IF('12'!AA17=1,'12'!AR6,'12'!AR7)</f>
        <v>S.A.L</v>
      </c>
      <c r="V13" s="43"/>
      <c r="W13" s="27"/>
      <c r="X13" s="54">
        <v>0.333333333333333</v>
      </c>
      <c r="Y13" s="125">
        <v>3234.0</v>
      </c>
      <c r="Z13" s="308">
        <v>1358.0</v>
      </c>
      <c r="AA13" s="125">
        <v>1.0</v>
      </c>
      <c r="AB13" s="58">
        <f>IF('12'!AA13=1,(('12'!Z13*'12'!$AS$6*'12'!$AT$6)/('12'!Y13*0.0036)),IF('12'!AA13=2,(('12'!Z13*'12'!$AS$7*'12'!$AT$7)/('12'!Y13*0.0036))))</f>
        <v>77.56734007</v>
      </c>
      <c r="AC13" s="58"/>
      <c r="AD13" s="59">
        <f>(('12'!AC13*'12'!$Q$10*1000000))/('12'!Y13*3600)</f>
        <v>0</v>
      </c>
      <c r="AE13" s="60"/>
      <c r="AF13" s="61">
        <f>('12'!AE13/24)*0.454</f>
        <v>0</v>
      </c>
      <c r="AG13" s="60"/>
      <c r="AH13" s="61">
        <f>('12'!AG13/24)*0.454</f>
        <v>0</v>
      </c>
      <c r="AI13" s="392">
        <v>5000.0</v>
      </c>
      <c r="AJ13" s="61">
        <f>('12'!AI13/24)*0.454</f>
        <v>94.58333333</v>
      </c>
      <c r="AK13" s="62"/>
      <c r="AL13" s="63">
        <f>('12'!AK13/24)*0.454</f>
        <v>0</v>
      </c>
      <c r="AM13" s="62"/>
      <c r="AN13" s="63">
        <f>('12'!AM13/24)*0.454</f>
        <v>0</v>
      </c>
      <c r="AO13" s="62"/>
      <c r="AP13" s="63">
        <f>('12'!AO13/24)*0.454</f>
        <v>0</v>
      </c>
    </row>
    <row r="14" ht="18.75" customHeight="1">
      <c r="A14" s="69">
        <v>0.583333333333333</v>
      </c>
      <c r="B14" s="70">
        <v>84.0</v>
      </c>
      <c r="C14" s="70">
        <v>13.0</v>
      </c>
      <c r="D14" s="70">
        <v>12.0</v>
      </c>
      <c r="E14" s="70">
        <v>5.0</v>
      </c>
      <c r="F14" s="70">
        <v>16.0</v>
      </c>
      <c r="G14" s="70">
        <v>1.1</v>
      </c>
      <c r="H14" s="70">
        <v>1.1</v>
      </c>
      <c r="I14" s="70">
        <v>0.4</v>
      </c>
      <c r="J14" s="70">
        <v>0.4</v>
      </c>
      <c r="K14" s="70">
        <v>6.9</v>
      </c>
      <c r="L14" s="70">
        <v>6.5</v>
      </c>
      <c r="M14" s="70">
        <v>6.5</v>
      </c>
      <c r="N14" s="70">
        <v>6.2</v>
      </c>
      <c r="O14" s="70">
        <v>3.5</v>
      </c>
      <c r="P14" s="70"/>
      <c r="Q14" s="70"/>
      <c r="R14" s="77">
        <f>'12'!Z19</f>
        <v>1300</v>
      </c>
      <c r="S14" s="76">
        <f>'12'!AB19</f>
        <v>72.5276016</v>
      </c>
      <c r="T14" s="77">
        <f>'12'!Y19</f>
        <v>3311</v>
      </c>
      <c r="U14" s="73" t="str">
        <f>IF('12'!AA19=1,'12'!AR6,'12'!AR7)</f>
        <v>S.A.L</v>
      </c>
      <c r="V14" s="43"/>
      <c r="W14" s="27"/>
      <c r="X14" s="54">
        <v>0.375</v>
      </c>
      <c r="Y14" s="125">
        <v>3204.0</v>
      </c>
      <c r="Z14" s="308">
        <v>1358.0</v>
      </c>
      <c r="AA14" s="125">
        <v>1.0</v>
      </c>
      <c r="AB14" s="58">
        <f>IF('12'!AA14=1,(('12'!Z14*'12'!$AS$6*'12'!$AT$6)/('12'!Y14*0.0036)),IF('12'!AA14=2,(('12'!Z14*'12'!$AS$7*'12'!$AT$7)/('12'!Y14*0.0036))))</f>
        <v>78.29362602</v>
      </c>
      <c r="AC14" s="58"/>
      <c r="AD14" s="59">
        <f>(('12'!AC14*'12'!$Q$10*1000000))/('12'!Y14*3600)</f>
        <v>0</v>
      </c>
      <c r="AE14" s="60"/>
      <c r="AF14" s="61">
        <f>('12'!AE14/24)*0.454</f>
        <v>0</v>
      </c>
      <c r="AG14" s="60"/>
      <c r="AH14" s="61">
        <f>('12'!AG14/24)*0.454</f>
        <v>0</v>
      </c>
      <c r="AI14" s="392">
        <v>5000.0</v>
      </c>
      <c r="AJ14" s="61">
        <f>('12'!AI14/24)*0.454</f>
        <v>94.58333333</v>
      </c>
      <c r="AK14" s="62"/>
      <c r="AL14" s="63">
        <f>('12'!AK14/24)*0.454</f>
        <v>0</v>
      </c>
      <c r="AM14" s="62"/>
      <c r="AN14" s="63">
        <f>('12'!AM14/24)*0.454</f>
        <v>0</v>
      </c>
      <c r="AO14" s="62"/>
      <c r="AP14" s="63">
        <f>('12'!AO14/24)*0.454</f>
        <v>0</v>
      </c>
    </row>
    <row r="15" ht="18.75" customHeight="1">
      <c r="A15" s="69">
        <v>0.666666666666667</v>
      </c>
      <c r="B15" s="70">
        <v>87.0</v>
      </c>
      <c r="C15" s="70">
        <v>13.0</v>
      </c>
      <c r="D15" s="70">
        <v>12.0</v>
      </c>
      <c r="E15" s="70">
        <v>5.0</v>
      </c>
      <c r="F15" s="70">
        <v>17.0</v>
      </c>
      <c r="G15" s="70">
        <v>1.1</v>
      </c>
      <c r="H15" s="70">
        <v>1.1</v>
      </c>
      <c r="I15" s="70">
        <v>0.4</v>
      </c>
      <c r="J15" s="70">
        <v>0.4</v>
      </c>
      <c r="K15" s="70">
        <v>6.9</v>
      </c>
      <c r="L15" s="70">
        <v>6.5</v>
      </c>
      <c r="M15" s="70">
        <v>6.5</v>
      </c>
      <c r="N15" s="70">
        <v>6.2</v>
      </c>
      <c r="O15" s="70">
        <v>3.5</v>
      </c>
      <c r="P15" s="70"/>
      <c r="Q15" s="70"/>
      <c r="R15" s="77">
        <f>'12'!Z21</f>
        <v>1300</v>
      </c>
      <c r="S15" s="76">
        <f>'12'!AB21</f>
        <v>71.36371141</v>
      </c>
      <c r="T15" s="77">
        <f>'12'!Y21</f>
        <v>3365</v>
      </c>
      <c r="U15" s="73" t="str">
        <f>IF('12'!AA21=1,'12'!AR6,'12'!AR7)</f>
        <v>S.A.L</v>
      </c>
      <c r="V15" s="43"/>
      <c r="W15" s="27"/>
      <c r="X15" s="54">
        <v>0.416666666666667</v>
      </c>
      <c r="Y15" s="125">
        <v>3190.0</v>
      </c>
      <c r="Z15" s="308">
        <v>1358.0</v>
      </c>
      <c r="AA15" s="125">
        <v>1.0</v>
      </c>
      <c r="AB15" s="58">
        <f>IF('12'!AA15=1,(('12'!Z15*'12'!$AS$6*'12'!$AT$6)/('12'!Y15*0.0036)),IF('12'!AA15=2,(('12'!Z15*'12'!$AS$7*'12'!$AT$7)/('12'!Y15*0.0036))))</f>
        <v>78.63723441</v>
      </c>
      <c r="AC15" s="58"/>
      <c r="AD15" s="59">
        <f>(('12'!AC15*'12'!$Q$10*1000000))/('12'!Y15*3600)</f>
        <v>0</v>
      </c>
      <c r="AE15" s="60"/>
      <c r="AF15" s="61">
        <f>('12'!AE15/24)*0.454</f>
        <v>0</v>
      </c>
      <c r="AG15" s="60"/>
      <c r="AH15" s="61">
        <f>('12'!AG15/24)*0.454</f>
        <v>0</v>
      </c>
      <c r="AI15" s="392">
        <v>5000.0</v>
      </c>
      <c r="AJ15" s="61">
        <f>('12'!AI15/24)*0.454</f>
        <v>94.58333333</v>
      </c>
      <c r="AK15" s="62"/>
      <c r="AL15" s="63">
        <f>('12'!AK15/24)*0.454</f>
        <v>0</v>
      </c>
      <c r="AM15" s="62"/>
      <c r="AN15" s="63">
        <f>('12'!AM15/24)*0.454</f>
        <v>0</v>
      </c>
      <c r="AO15" s="62"/>
      <c r="AP15" s="63">
        <f>('12'!AO15/24)*0.454</f>
        <v>0</v>
      </c>
    </row>
    <row r="16" ht="18.75" customHeight="1">
      <c r="A16" s="69">
        <v>0.75</v>
      </c>
      <c r="B16" s="70">
        <v>92.0</v>
      </c>
      <c r="C16" s="70">
        <v>14.0</v>
      </c>
      <c r="D16" s="70">
        <v>12.0</v>
      </c>
      <c r="E16" s="70">
        <v>5.0</v>
      </c>
      <c r="F16" s="70">
        <v>18.0</v>
      </c>
      <c r="G16" s="70">
        <v>1.2</v>
      </c>
      <c r="H16" s="70">
        <v>1.0</v>
      </c>
      <c r="I16" s="70">
        <v>0.4</v>
      </c>
      <c r="J16" s="70">
        <v>0.4</v>
      </c>
      <c r="K16" s="70">
        <v>6.9</v>
      </c>
      <c r="L16" s="70">
        <v>6.5</v>
      </c>
      <c r="M16" s="70">
        <v>6.5</v>
      </c>
      <c r="N16" s="70">
        <v>6.2</v>
      </c>
      <c r="O16" s="70">
        <v>3.5</v>
      </c>
      <c r="P16" s="70"/>
      <c r="Q16" s="70"/>
      <c r="R16" s="77">
        <f>'12'!Z23</f>
        <v>1300</v>
      </c>
      <c r="S16" s="76">
        <f>'12'!AB23</f>
        <v>72.13544274</v>
      </c>
      <c r="T16" s="77">
        <f>'12'!Y23</f>
        <v>3329</v>
      </c>
      <c r="U16" s="73" t="str">
        <f>IF('12'!AA23=1,'12'!AR6,'12'!AR7)</f>
        <v>S.A.L</v>
      </c>
      <c r="V16" s="16"/>
      <c r="W16" s="18"/>
      <c r="X16" s="54">
        <v>0.458333333333333</v>
      </c>
      <c r="Y16" s="125">
        <v>3183.0</v>
      </c>
      <c r="Z16" s="308">
        <v>1358.0</v>
      </c>
      <c r="AA16" s="125">
        <v>1.0</v>
      </c>
      <c r="AB16" s="58">
        <f>IF('12'!AA16=1,(('12'!Z16*'12'!$AS$6*'12'!$AT$6)/('12'!Y16*0.0036)),IF('12'!AA16=2,(('12'!Z16*'12'!$AS$7*'12'!$AT$7)/('12'!Y16*0.0036))))</f>
        <v>78.81017209</v>
      </c>
      <c r="AC16" s="58"/>
      <c r="AD16" s="59">
        <f>(('12'!AC16*'12'!$Q$10*1000000))/('12'!Y16*3600)</f>
        <v>0</v>
      </c>
      <c r="AE16" s="60"/>
      <c r="AF16" s="61">
        <f>('12'!AE16/24)*0.454</f>
        <v>0</v>
      </c>
      <c r="AG16" s="60"/>
      <c r="AH16" s="61">
        <f>('12'!AG16/24)*0.454</f>
        <v>0</v>
      </c>
      <c r="AI16" s="392">
        <v>5000.0</v>
      </c>
      <c r="AJ16" s="61">
        <f>('12'!AI16/24)*0.454</f>
        <v>94.58333333</v>
      </c>
      <c r="AK16" s="62"/>
      <c r="AL16" s="63">
        <f>('12'!AK16/24)*0.454</f>
        <v>0</v>
      </c>
      <c r="AM16" s="62"/>
      <c r="AN16" s="63">
        <f>('12'!AM16/24)*0.454</f>
        <v>0</v>
      </c>
      <c r="AO16" s="62"/>
      <c r="AP16" s="63">
        <f>('12'!AO16/24)*0.454</f>
        <v>0</v>
      </c>
    </row>
    <row r="17" ht="18.75" customHeight="1">
      <c r="A17" s="69">
        <v>0.833333333333333</v>
      </c>
      <c r="B17" s="70">
        <v>97.0</v>
      </c>
      <c r="C17" s="70">
        <v>14.0</v>
      </c>
      <c r="D17" s="70">
        <v>13.0</v>
      </c>
      <c r="E17" s="70">
        <v>6.0</v>
      </c>
      <c r="F17" s="70">
        <v>19.0</v>
      </c>
      <c r="G17" s="70">
        <v>1.2</v>
      </c>
      <c r="H17" s="70">
        <v>1.1</v>
      </c>
      <c r="I17" s="70">
        <v>0.4</v>
      </c>
      <c r="J17" s="70">
        <v>0.5</v>
      </c>
      <c r="K17" s="70">
        <v>6.9</v>
      </c>
      <c r="L17" s="70">
        <v>6.5</v>
      </c>
      <c r="M17" s="70">
        <v>6.5</v>
      </c>
      <c r="N17" s="70">
        <v>6.2</v>
      </c>
      <c r="O17" s="70">
        <v>3.6</v>
      </c>
      <c r="P17" s="70"/>
      <c r="Q17" s="70"/>
      <c r="R17" s="77">
        <f>'12'!Z25</f>
        <v>1210</v>
      </c>
      <c r="S17" s="76">
        <f>'12'!AB25</f>
        <v>66.98048813</v>
      </c>
      <c r="T17" s="77">
        <f>'12'!Y25</f>
        <v>3337</v>
      </c>
      <c r="U17" s="73" t="str">
        <f>IF('12'!AA25=1,'12'!AR6,'12'!AR7)</f>
        <v>S.A.L</v>
      </c>
      <c r="V17" s="90" t="str">
        <f>ESCALA!$C$14</f>
        <v/>
      </c>
      <c r="W17" s="89"/>
      <c r="X17" s="54">
        <v>0.5</v>
      </c>
      <c r="Y17" s="125">
        <v>3106.0</v>
      </c>
      <c r="Z17" s="308">
        <v>1358.0</v>
      </c>
      <c r="AA17" s="125">
        <v>1.0</v>
      </c>
      <c r="AB17" s="58">
        <f>IF('12'!AA17=1,(('12'!Z17*'12'!$AS$6*'12'!$AT$6)/('12'!Y17*0.0036)),IF('12'!AA17=2,(('12'!Z17*'12'!$AS$7*'12'!$AT$7)/('12'!Y17*0.0036))))</f>
        <v>80.76393361</v>
      </c>
      <c r="AC17" s="58"/>
      <c r="AD17" s="59">
        <f>(('12'!AC17*'12'!$Q$10*1000000))/('12'!Y17*3600)</f>
        <v>0</v>
      </c>
      <c r="AE17" s="60"/>
      <c r="AF17" s="61">
        <f>('12'!AE17/24)*0.454</f>
        <v>0</v>
      </c>
      <c r="AG17" s="60"/>
      <c r="AH17" s="61">
        <f>('12'!AG17/24)*0.454</f>
        <v>0</v>
      </c>
      <c r="AI17" s="392">
        <v>5000.0</v>
      </c>
      <c r="AJ17" s="61">
        <f>('12'!AI17/24)*0.454</f>
        <v>94.58333333</v>
      </c>
      <c r="AK17" s="62"/>
      <c r="AL17" s="63">
        <f>('12'!AK17/24)*0.454</f>
        <v>0</v>
      </c>
      <c r="AM17" s="62"/>
      <c r="AN17" s="63">
        <f>('12'!AM17/24)*0.454</f>
        <v>0</v>
      </c>
      <c r="AO17" s="62"/>
      <c r="AP17" s="63">
        <f>('12'!AO17/24)*0.454</f>
        <v>0</v>
      </c>
    </row>
    <row r="18" ht="19.5" customHeight="1">
      <c r="A18" s="69">
        <v>0.916666666666667</v>
      </c>
      <c r="B18" s="70">
        <v>101.0</v>
      </c>
      <c r="C18" s="70">
        <v>15.0</v>
      </c>
      <c r="D18" s="70">
        <v>13.0</v>
      </c>
      <c r="E18" s="70">
        <v>6.0</v>
      </c>
      <c r="F18" s="70">
        <v>21.0</v>
      </c>
      <c r="G18" s="70">
        <v>1.2</v>
      </c>
      <c r="H18" s="70">
        <v>1.1</v>
      </c>
      <c r="I18" s="70">
        <v>0.5</v>
      </c>
      <c r="J18" s="70">
        <v>0.5</v>
      </c>
      <c r="K18" s="70">
        <v>6.9</v>
      </c>
      <c r="L18" s="70">
        <v>6.5</v>
      </c>
      <c r="M18" s="70">
        <v>6.5</v>
      </c>
      <c r="N18" s="70">
        <v>6.2</v>
      </c>
      <c r="O18" s="70">
        <v>3.6</v>
      </c>
      <c r="P18" s="70"/>
      <c r="Q18" s="70"/>
      <c r="R18" s="77">
        <f>'12'!Z27</f>
        <v>1210</v>
      </c>
      <c r="S18" s="76">
        <f>'12'!AB27</f>
        <v>67.87545973</v>
      </c>
      <c r="T18" s="77">
        <f>'12'!Y27</f>
        <v>3293</v>
      </c>
      <c r="U18" s="73" t="str">
        <f>IF('12'!AA27=1,'12'!AR6,'12'!AR7)</f>
        <v>S.A.L</v>
      </c>
      <c r="V18" s="16"/>
      <c r="W18" s="18"/>
      <c r="X18" s="54">
        <v>0.541666666666667</v>
      </c>
      <c r="Y18" s="125">
        <v>3028.0</v>
      </c>
      <c r="Z18" s="308">
        <v>1358.0</v>
      </c>
      <c r="AA18" s="125">
        <v>1.0</v>
      </c>
      <c r="AB18" s="58">
        <f>IF('12'!AA18=1,(('12'!Z18*'12'!$AS$6*'12'!$AT$6)/('12'!Y18*0.0036)),IF('12'!AA18=2,(('12'!Z18*'12'!$AS$7*'12'!$AT$7)/('12'!Y18*0.0036))))</f>
        <v>82.84437839</v>
      </c>
      <c r="AC18" s="58"/>
      <c r="AD18" s="59">
        <f>(('12'!AC18*'12'!$Q$10*1000000))/('12'!Y18*3600)</f>
        <v>0</v>
      </c>
      <c r="AE18" s="60"/>
      <c r="AF18" s="61">
        <f>('12'!AE18/24)*0.454</f>
        <v>0</v>
      </c>
      <c r="AG18" s="60"/>
      <c r="AH18" s="61">
        <f>('12'!AG18/24)*0.454</f>
        <v>0</v>
      </c>
      <c r="AI18" s="392">
        <v>5000.0</v>
      </c>
      <c r="AJ18" s="61">
        <f>('12'!AI18/24)*0.454</f>
        <v>94.58333333</v>
      </c>
      <c r="AK18" s="62"/>
      <c r="AL18" s="63">
        <f>('12'!AK18/24)*0.454</f>
        <v>0</v>
      </c>
      <c r="AM18" s="62"/>
      <c r="AN18" s="63">
        <f>('12'!AM18/24)*0.454</f>
        <v>0</v>
      </c>
      <c r="AO18" s="62"/>
      <c r="AP18" s="63">
        <f>('12'!AO18/24)*0.454</f>
        <v>0</v>
      </c>
    </row>
    <row r="19" ht="18.75" customHeight="1">
      <c r="A19" s="51" t="s">
        <v>52</v>
      </c>
      <c r="B19" s="91">
        <f t="array" ref="B19">IF('12'!B7:B18&gt;0.01,AVERAGE('12'!B7:B18),"")</f>
        <v>92.91666667</v>
      </c>
      <c r="C19" s="92">
        <f t="array" ref="C19">IF('12'!C7:C18&gt;0.01,AVERAGE('12'!C7:C18),"")</f>
        <v>12</v>
      </c>
      <c r="D19" s="92">
        <f t="array" ref="D19">IF('12'!D7:D18&gt;0.01,AVERAGE('12'!D7:D18),"")</f>
        <v>11.25</v>
      </c>
      <c r="E19" s="92">
        <f t="array" ref="E19">IF('12'!E7:E18&gt;0.01,AVERAGE('12'!E7:E18),"")</f>
        <v>4.416666667</v>
      </c>
      <c r="F19" s="92">
        <f t="array" ref="F19">IF('12'!F7:F18&gt;0.01,AVERAGE('12'!F7:F18),"")</f>
        <v>18.08333333</v>
      </c>
      <c r="G19" s="92">
        <f t="array" ref="G19">IF('12'!G7:G18&gt;0.01,AVERAGE('12'!G7:G18),"")</f>
        <v>1.066666667</v>
      </c>
      <c r="H19" s="92">
        <f t="array" ref="H19">IF('12'!H7:H18&gt;0.01,AVERAGE('12'!H7:H18),"")</f>
        <v>1.075</v>
      </c>
      <c r="I19" s="92">
        <f t="array" ref="I19">IF('12'!I7:I18&gt;0.01,AVERAGE('12'!I7:I18),"")</f>
        <v>0.4583333333</v>
      </c>
      <c r="J19" s="92">
        <f t="array" ref="J19">IF('12'!J7:J18&gt;0.01,AVERAGE('12'!J7:J18),"")</f>
        <v>0.4916666667</v>
      </c>
      <c r="K19" s="92">
        <f t="array" ref="K19">IF('12'!K7:K18&gt;0.01,AVERAGE('12'!K7:K18),"")</f>
        <v>6.9</v>
      </c>
      <c r="L19" s="92">
        <f t="array" ref="L19">IF('12'!L7:L18&gt;0.01,AVERAGE('12'!L7:L18),"")</f>
        <v>6.5</v>
      </c>
      <c r="M19" s="92">
        <f t="array" ref="M19">IF('12'!M7:M18&gt;0.01,AVERAGE('12'!M7:M18),"")</f>
        <v>6.5</v>
      </c>
      <c r="N19" s="92">
        <f t="array" ref="N19">IF('12'!N7:N18&gt;0.01,AVERAGE('12'!N7:N18),"")</f>
        <v>6.2</v>
      </c>
      <c r="O19" s="92">
        <f t="array" ref="O19">IF('12'!O7:O18&gt;0.01,AVERAGE('12'!O7:O18),"")</f>
        <v>3.525</v>
      </c>
      <c r="P19" s="93" t="str">
        <f t="array" ref="P19">IF('12'!P7:P18&gt;0.01,AVERAGE('12'!P7:P18),"")</f>
        <v/>
      </c>
      <c r="Q19" s="94" t="str">
        <f t="array" ref="Q19">IF('12'!Q7:Q18&gt;0.01,AVERAGE('12'!Q7:Q18),"")</f>
        <v/>
      </c>
      <c r="R19" s="94">
        <f t="array" ref="R19">IF('12'!R7:R18&gt;0.01,AVERAGE('12'!R7:R18),"")</f>
        <v>1318.833333</v>
      </c>
      <c r="S19" s="94">
        <f t="array" ref="S19">IF('12'!S7:S18&gt;0.01,AVERAGE('12'!S7:S18),"")</f>
        <v>73.82110678</v>
      </c>
      <c r="T19" s="410"/>
      <c r="U19" s="96"/>
      <c r="V19" s="97"/>
      <c r="W19" s="97"/>
      <c r="X19" s="54">
        <v>0.583333333333333</v>
      </c>
      <c r="Y19" s="125">
        <v>3311.0</v>
      </c>
      <c r="Z19" s="308">
        <v>1300.0</v>
      </c>
      <c r="AA19" s="125">
        <v>1.0</v>
      </c>
      <c r="AB19" s="58">
        <f>IF('12'!AA19=1,(('12'!Z19*'12'!$AS$6*'12'!$AT$6)/('12'!Y19*0.0036)),IF('12'!AA19=2,(('12'!Z19*'12'!$AS$7*'12'!$AT$7)/('12'!Y19*0.0036))))</f>
        <v>72.5276016</v>
      </c>
      <c r="AC19" s="58"/>
      <c r="AD19" s="59">
        <f>(('12'!AC19*'12'!$Q$10*1000000))/('12'!Y19*3600)</f>
        <v>0</v>
      </c>
      <c r="AE19" s="60"/>
      <c r="AF19" s="61">
        <f>('12'!AE19/24)*0.454</f>
        <v>0</v>
      </c>
      <c r="AG19" s="60"/>
      <c r="AH19" s="61">
        <f>('12'!AG19/24)*0.454</f>
        <v>0</v>
      </c>
      <c r="AI19" s="392">
        <v>5000.0</v>
      </c>
      <c r="AJ19" s="61">
        <f>('12'!AI19/24)*0.454</f>
        <v>94.58333333</v>
      </c>
      <c r="AK19" s="62"/>
      <c r="AL19" s="63">
        <f>('12'!AK19/24)*0.454</f>
        <v>0</v>
      </c>
      <c r="AM19" s="62"/>
      <c r="AN19" s="63">
        <f>('12'!AM19/24)*0.454</f>
        <v>0</v>
      </c>
      <c r="AO19" s="62"/>
      <c r="AP19" s="63">
        <f>('12'!AO19/24)*0.454</f>
        <v>0</v>
      </c>
    </row>
    <row r="20" ht="18.75" customHeight="1">
      <c r="A20" s="51" t="s">
        <v>53</v>
      </c>
      <c r="B20" s="91">
        <f>MAX('12'!B7:B18)</f>
        <v>115</v>
      </c>
      <c r="C20" s="92">
        <f>MAX('12'!C7:C18)</f>
        <v>15</v>
      </c>
      <c r="D20" s="92">
        <f>MAX('12'!D7:D18)</f>
        <v>13</v>
      </c>
      <c r="E20" s="92">
        <f>MAX('12'!E7:E18)</f>
        <v>6</v>
      </c>
      <c r="F20" s="92">
        <f>MAX('12'!F7:F18)</f>
        <v>24</v>
      </c>
      <c r="G20" s="92">
        <f>MAX('12'!G7:G18)</f>
        <v>1.2</v>
      </c>
      <c r="H20" s="92">
        <f>MAX('12'!H7:H18)</f>
        <v>1.3</v>
      </c>
      <c r="I20" s="92">
        <f>MAX('12'!I7:I18)</f>
        <v>0.6</v>
      </c>
      <c r="J20" s="92">
        <f>MAX('12'!J7:J18)</f>
        <v>0.6</v>
      </c>
      <c r="K20" s="92">
        <f>MAX('12'!K7:K18)</f>
        <v>6.9</v>
      </c>
      <c r="L20" s="92">
        <f>MAX('12'!L7:L18)</f>
        <v>6.5</v>
      </c>
      <c r="M20" s="92">
        <f>MAX('12'!M7:M18)</f>
        <v>6.5</v>
      </c>
      <c r="N20" s="92">
        <f>MAX('12'!N7:N18)</f>
        <v>6.2</v>
      </c>
      <c r="O20" s="98">
        <f>MAX('12'!O7:O18)</f>
        <v>3.6</v>
      </c>
      <c r="P20" s="98">
        <f>MAX('12'!P7:P18)</f>
        <v>0</v>
      </c>
      <c r="Q20" s="98">
        <f>MAX('12'!Q7:Q18)</f>
        <v>0</v>
      </c>
      <c r="R20" s="98">
        <f>MAX('12'!R7:R18)</f>
        <v>1358</v>
      </c>
      <c r="S20" s="98">
        <f>MAX('12'!S7:S18)</f>
        <v>80.76393361</v>
      </c>
      <c r="T20" s="99"/>
      <c r="U20" s="21"/>
      <c r="X20" s="54">
        <v>0.625</v>
      </c>
      <c r="Y20" s="125">
        <v>3345.0</v>
      </c>
      <c r="Z20" s="308">
        <v>1300.0</v>
      </c>
      <c r="AA20" s="125">
        <v>1.0</v>
      </c>
      <c r="AB20" s="58">
        <f>IF('12'!AA20=1,(('12'!Z20*'12'!$AS$6*'12'!$AT$6)/('12'!Y20*0.0036)),IF('12'!AA20=2,(('12'!Z20*'12'!$AS$7*'12'!$AT$7)/('12'!Y20*0.0036))))</f>
        <v>71.79040027</v>
      </c>
      <c r="AC20" s="58"/>
      <c r="AD20" s="59">
        <f>(('12'!AC20*'12'!$Q$10*1000000))/('12'!Y20*3600)</f>
        <v>0</v>
      </c>
      <c r="AE20" s="60"/>
      <c r="AF20" s="61">
        <f>('12'!AE20/24)*0.454</f>
        <v>0</v>
      </c>
      <c r="AG20" s="60"/>
      <c r="AH20" s="61">
        <f>('12'!AG20/24)*0.454</f>
        <v>0</v>
      </c>
      <c r="AI20" s="392">
        <v>5000.0</v>
      </c>
      <c r="AJ20" s="61">
        <f>('12'!AI20/24)*0.454</f>
        <v>94.58333333</v>
      </c>
      <c r="AK20" s="62"/>
      <c r="AL20" s="63">
        <f>('12'!AK20/24)*0.454</f>
        <v>0</v>
      </c>
      <c r="AM20" s="62"/>
      <c r="AN20" s="63">
        <f>('12'!AM20/24)*0.454</f>
        <v>0</v>
      </c>
      <c r="AO20" s="62"/>
      <c r="AP20" s="63">
        <f>('12'!AO20/24)*0.454</f>
        <v>0</v>
      </c>
    </row>
    <row r="21" ht="19.5" customHeight="1">
      <c r="A21" s="51" t="s">
        <v>54</v>
      </c>
      <c r="B21" s="91">
        <f>MIN('12'!B7:B18)</f>
        <v>82</v>
      </c>
      <c r="C21" s="92">
        <f>MIN('12'!C7:C18)</f>
        <v>9</v>
      </c>
      <c r="D21" s="92">
        <f>MIN('12'!D7:D18)</f>
        <v>9</v>
      </c>
      <c r="E21" s="92">
        <f>MIN('12'!E7:E18)</f>
        <v>3</v>
      </c>
      <c r="F21" s="92">
        <f>MIN('12'!F7:F18)</f>
        <v>15</v>
      </c>
      <c r="G21" s="100">
        <f>MIN('12'!G7:G18)</f>
        <v>0.9</v>
      </c>
      <c r="H21" s="100">
        <f>MIN('12'!H7:H18)</f>
        <v>1</v>
      </c>
      <c r="I21" s="100">
        <f>MIN('12'!I7:I18)</f>
        <v>0.4</v>
      </c>
      <c r="J21" s="100">
        <f>MIN('12'!J7:J18)</f>
        <v>0.4</v>
      </c>
      <c r="K21" s="100">
        <f>MIN('12'!K7:K18)</f>
        <v>6.9</v>
      </c>
      <c r="L21" s="100">
        <f>MIN('12'!L7:L18)</f>
        <v>6.5</v>
      </c>
      <c r="M21" s="100">
        <f>MIN('12'!M7:M18)</f>
        <v>6.5</v>
      </c>
      <c r="N21" s="100">
        <f>MIN('12'!N7:N18)</f>
        <v>6.2</v>
      </c>
      <c r="O21" s="101">
        <f>MIN('12'!O7:O18)</f>
        <v>3.5</v>
      </c>
      <c r="P21" s="101">
        <f>MIN('12'!P7:P18)</f>
        <v>0</v>
      </c>
      <c r="Q21" s="101">
        <f>MIN('12'!Q7:Q18)</f>
        <v>0</v>
      </c>
      <c r="R21" s="101">
        <f>MIN('12'!R7:R18)</f>
        <v>1210</v>
      </c>
      <c r="S21" s="101">
        <f>MIN('12'!S7:S18)</f>
        <v>66.98048813</v>
      </c>
      <c r="T21" s="99"/>
      <c r="U21" s="21"/>
      <c r="X21" s="54">
        <v>0.666666666666667</v>
      </c>
      <c r="Y21" s="125">
        <v>3365.0</v>
      </c>
      <c r="Z21" s="308">
        <v>1300.0</v>
      </c>
      <c r="AA21" s="125">
        <v>1.0</v>
      </c>
      <c r="AB21" s="58">
        <f>IF('12'!AA21=1,(('12'!Z21*'12'!$AS$6*'12'!$AT$6)/('12'!Y21*0.0036)),IF('12'!AA21=2,(('12'!Z21*'12'!$AS$7*'12'!$AT$7)/('12'!Y21*0.0036))))</f>
        <v>71.36371141</v>
      </c>
      <c r="AC21" s="58"/>
      <c r="AD21" s="59">
        <f>(('12'!AC21*'12'!$Q$10*1000000))/('12'!Y21*3600)</f>
        <v>0</v>
      </c>
      <c r="AE21" s="60"/>
      <c r="AF21" s="61">
        <f>('12'!AE21/24)*0.454</f>
        <v>0</v>
      </c>
      <c r="AG21" s="60"/>
      <c r="AH21" s="61">
        <f>('12'!AG21/24)*0.454</f>
        <v>0</v>
      </c>
      <c r="AI21" s="392">
        <v>5000.0</v>
      </c>
      <c r="AJ21" s="61">
        <f>('12'!AI21/24)*0.454</f>
        <v>94.58333333</v>
      </c>
      <c r="AK21" s="62"/>
      <c r="AL21" s="63">
        <f>('12'!AK21/24)*0.454</f>
        <v>0</v>
      </c>
      <c r="AM21" s="62"/>
      <c r="AN21" s="63">
        <f>('12'!AM21/24)*0.454</f>
        <v>0</v>
      </c>
      <c r="AO21" s="62"/>
      <c r="AP21" s="63">
        <f>('12'!AO21/24)*0.454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3391.0</v>
      </c>
      <c r="Z22" s="308">
        <v>1300.0</v>
      </c>
      <c r="AA22" s="125">
        <v>1.0</v>
      </c>
      <c r="AB22" s="58">
        <f>IF('12'!AA22=1,(('12'!Z22*'12'!$AS$6*'12'!$AT$6)/('12'!Y22*0.0036)),IF('12'!AA22=2,(('12'!Z22*'12'!$AS$7*'12'!$AT$7)/('12'!Y22*0.0036))))</f>
        <v>70.81654052</v>
      </c>
      <c r="AC22" s="58"/>
      <c r="AD22" s="59">
        <f>(('12'!AC22*'12'!$Q$10*1000000))/('12'!Y22*3600)</f>
        <v>0</v>
      </c>
      <c r="AE22" s="60"/>
      <c r="AF22" s="61">
        <f>('12'!AE22/24)*0.454</f>
        <v>0</v>
      </c>
      <c r="AG22" s="60"/>
      <c r="AH22" s="61">
        <f>('12'!AG22/24)*0.454</f>
        <v>0</v>
      </c>
      <c r="AI22" s="392">
        <v>5000.0</v>
      </c>
      <c r="AJ22" s="61">
        <f>('12'!AI22/24)*0.454</f>
        <v>94.58333333</v>
      </c>
      <c r="AK22" s="62"/>
      <c r="AL22" s="63">
        <f>('12'!AK22/24)*0.454</f>
        <v>0</v>
      </c>
      <c r="AM22" s="62"/>
      <c r="AN22" s="63">
        <f>('12'!AM22/24)*0.454</f>
        <v>0</v>
      </c>
      <c r="AO22" s="62"/>
      <c r="AP22" s="63">
        <f>('12'!AO22/24)*0.454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3329.0</v>
      </c>
      <c r="Z23" s="308">
        <v>1300.0</v>
      </c>
      <c r="AA23" s="125">
        <v>1.0</v>
      </c>
      <c r="AB23" s="58">
        <f>IF('12'!AA23=1,(('12'!Z23*'12'!$AS$6*'12'!$AT$6)/('12'!Y23*0.0036)),IF('12'!AA23=2,(('12'!Z23*'12'!$AS$7*'12'!$AT$7)/('12'!Y23*0.0036))))</f>
        <v>72.13544274</v>
      </c>
      <c r="AC23" s="58"/>
      <c r="AD23" s="59">
        <f>(('12'!AC23*'12'!$Q$10*1000000))/('12'!Y23*3600)</f>
        <v>0</v>
      </c>
      <c r="AE23" s="60"/>
      <c r="AF23" s="61">
        <f>('12'!AE23/24)*0.454</f>
        <v>0</v>
      </c>
      <c r="AG23" s="60"/>
      <c r="AH23" s="61">
        <f>('12'!AG23/24)*0.454</f>
        <v>0</v>
      </c>
      <c r="AI23" s="392">
        <v>5000.0</v>
      </c>
      <c r="AJ23" s="61">
        <f>('12'!AI23/24)*0.454</f>
        <v>94.58333333</v>
      </c>
      <c r="AK23" s="62"/>
      <c r="AL23" s="63">
        <f>('12'!AK23/24)*0.454</f>
        <v>0</v>
      </c>
      <c r="AM23" s="62"/>
      <c r="AN23" s="63">
        <f>('12'!AM23/24)*0.454</f>
        <v>0</v>
      </c>
      <c r="AO23" s="62"/>
      <c r="AP23" s="63">
        <f>('12'!AO23/24)*0.454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3350.0</v>
      </c>
      <c r="Z24" s="308">
        <v>1300.0</v>
      </c>
      <c r="AA24" s="125">
        <v>1.0</v>
      </c>
      <c r="AB24" s="57">
        <f>IF('12'!AA24=1,(('12'!Z24*'12'!$AS$6*'12'!$AT$6)/('12'!Y24*0.0036)),IF('12'!AA24=2,(('12'!Z24*'12'!$AS$7*'12'!$AT$7)/('12'!Y24*0.0036))))</f>
        <v>71.68325041</v>
      </c>
      <c r="AC24" s="57"/>
      <c r="AD24" s="154">
        <f>(('12'!AC24*'12'!$Q$10*1000000))/('12'!Y24*3600)</f>
        <v>0</v>
      </c>
      <c r="AE24" s="60"/>
      <c r="AF24" s="311">
        <f>('12'!AE24/24)*0.454</f>
        <v>0</v>
      </c>
      <c r="AG24" s="125"/>
      <c r="AH24" s="311">
        <f>('12'!AG24/24)*0.454</f>
        <v>0</v>
      </c>
      <c r="AI24" s="392">
        <v>5000.0</v>
      </c>
      <c r="AJ24" s="311">
        <f>('12'!AI24/24)*0.454</f>
        <v>94.58333333</v>
      </c>
      <c r="AK24" s="62"/>
      <c r="AL24" s="110">
        <f>('12'!AK24/24)*0.454</f>
        <v>0</v>
      </c>
      <c r="AM24" s="312"/>
      <c r="AN24" s="110">
        <f>('12'!AM24/24)*0.454</f>
        <v>0</v>
      </c>
      <c r="AO24" s="62"/>
      <c r="AP24" s="110">
        <f>('12'!AO24/24)*0.454</f>
        <v>0</v>
      </c>
    </row>
    <row r="25" ht="19.5" customHeight="1">
      <c r="A25" s="111">
        <v>0.416666666666667</v>
      </c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112" t="str">
        <f t="shared" ref="R25:R26" si="1">#DIV/0!</f>
        <v>#DIV/0!</v>
      </c>
      <c r="S25" s="113"/>
      <c r="T25" s="402" t="s">
        <v>0</v>
      </c>
      <c r="U25" s="370">
        <f>ESCALA!$A$14</f>
        <v>43933</v>
      </c>
      <c r="X25" s="54">
        <v>0.833333333333333</v>
      </c>
      <c r="Y25" s="125">
        <v>3337.0</v>
      </c>
      <c r="Z25" s="308">
        <v>1210.0</v>
      </c>
      <c r="AA25" s="125">
        <v>1.0</v>
      </c>
      <c r="AB25" s="58">
        <f>IF('12'!AA25=1,(('12'!Z25*'12'!$AS$6*'12'!$AT$6)/('12'!Y25*0.0036)),IF('12'!AA25=2,(('12'!Z25*'12'!$AS$7*'12'!$AT$7)/('12'!Y25*0.0036))))</f>
        <v>66.98048813</v>
      </c>
      <c r="AC25" s="58"/>
      <c r="AD25" s="59">
        <f>(('12'!AC25*'12'!$Q$10*1000000))/('12'!Y25*3600)</f>
        <v>0</v>
      </c>
      <c r="AE25" s="60"/>
      <c r="AF25" s="61">
        <f>('12'!AE25/24)*0.454</f>
        <v>0</v>
      </c>
      <c r="AG25" s="60"/>
      <c r="AH25" s="61">
        <f>('12'!AG25/24)*0.454</f>
        <v>0</v>
      </c>
      <c r="AI25" s="392">
        <v>5000.0</v>
      </c>
      <c r="AJ25" s="61">
        <f>('12'!AI25/24)*0.454</f>
        <v>94.58333333</v>
      </c>
      <c r="AK25" s="62"/>
      <c r="AL25" s="63">
        <f>('12'!AK25/24)*0.454</f>
        <v>0</v>
      </c>
      <c r="AM25" s="62"/>
      <c r="AN25" s="63">
        <f>('12'!AM25/24)*0.454</f>
        <v>0</v>
      </c>
      <c r="AO25" s="62"/>
      <c r="AP25" s="63">
        <f>('12'!AO25/24)*0.454</f>
        <v>0</v>
      </c>
    </row>
    <row r="26" ht="19.5" customHeight="1">
      <c r="A26" s="111">
        <v>0.666666666666667</v>
      </c>
      <c r="B26" s="313">
        <v>0.46</v>
      </c>
      <c r="C26" s="313">
        <v>0.51</v>
      </c>
      <c r="D26" s="313">
        <v>0.49</v>
      </c>
      <c r="E26" s="315">
        <v>0.52</v>
      </c>
      <c r="F26" s="315">
        <v>0.54</v>
      </c>
      <c r="G26" s="315"/>
      <c r="H26" s="315">
        <v>0.47</v>
      </c>
      <c r="I26" s="315">
        <v>0.49</v>
      </c>
      <c r="J26" s="315"/>
      <c r="K26" s="315">
        <v>0.44</v>
      </c>
      <c r="L26" s="315">
        <v>0.41</v>
      </c>
      <c r="M26" s="315">
        <v>0.46</v>
      </c>
      <c r="N26" s="315">
        <v>0.43</v>
      </c>
      <c r="O26" s="315">
        <v>0.39</v>
      </c>
      <c r="P26" s="315">
        <v>0.45</v>
      </c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3312.0</v>
      </c>
      <c r="Z26" s="308">
        <v>1210.0</v>
      </c>
      <c r="AA26" s="125">
        <v>1.0</v>
      </c>
      <c r="AB26" s="58">
        <f>IF('12'!AA26=1,(('12'!Z26*'12'!$AS$6*'12'!$AT$6)/('12'!Y26*0.0036)),IF('12'!AA26=2,(('12'!Z26*'12'!$AS$7*'12'!$AT$7)/('12'!Y26*0.0036))))</f>
        <v>67.48607756</v>
      </c>
      <c r="AC26" s="58"/>
      <c r="AD26" s="59">
        <f>(('12'!AC26*'12'!$Q$10*1000000))/('12'!Y26*3600)</f>
        <v>0</v>
      </c>
      <c r="AE26" s="60"/>
      <c r="AF26" s="61">
        <f>('12'!AE26/24)*0.454</f>
        <v>0</v>
      </c>
      <c r="AG26" s="60"/>
      <c r="AH26" s="61">
        <f>('12'!AG26/24)*0.454</f>
        <v>0</v>
      </c>
      <c r="AI26" s="392">
        <v>5000.0</v>
      </c>
      <c r="AJ26" s="61">
        <f>('12'!AI26/24)*0.454</f>
        <v>94.58333333</v>
      </c>
      <c r="AK26" s="62"/>
      <c r="AL26" s="63">
        <f>('12'!AK26/24)*0.454</f>
        <v>0</v>
      </c>
      <c r="AM26" s="62"/>
      <c r="AN26" s="63">
        <f>('12'!AM26/24)*0.454</f>
        <v>0</v>
      </c>
      <c r="AO26" s="62"/>
      <c r="AP26" s="63">
        <f>('12'!AO26/24)*0.454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3293.0</v>
      </c>
      <c r="Z27" s="308">
        <v>1210.0</v>
      </c>
      <c r="AA27" s="125">
        <v>1.0</v>
      </c>
      <c r="AB27" s="58">
        <f>IF('12'!AA27=1,(('12'!Z27*'12'!$AS$6*'12'!$AT$6)/('12'!Y27*0.0036)),IF('12'!AA27=2,(('12'!Z27*'12'!$AS$7*'12'!$AT$7)/('12'!Y27*0.0036))))</f>
        <v>67.87545973</v>
      </c>
      <c r="AC27" s="58"/>
      <c r="AD27" s="59">
        <f>(('12'!AC27*'12'!$Q$10*1000000))/('12'!Y27*3600)</f>
        <v>0</v>
      </c>
      <c r="AE27" s="60"/>
      <c r="AF27" s="61">
        <f>('12'!AE27/24)*0.454</f>
        <v>0</v>
      </c>
      <c r="AG27" s="60"/>
      <c r="AH27" s="61">
        <f>('12'!AG27/24)*0.454</f>
        <v>0</v>
      </c>
      <c r="AI27" s="392">
        <v>5000.0</v>
      </c>
      <c r="AJ27" s="61">
        <f>('12'!AI27/24)*0.454</f>
        <v>94.58333333</v>
      </c>
      <c r="AK27" s="62"/>
      <c r="AL27" s="63">
        <f>('12'!AK27/24)*0.454</f>
        <v>0</v>
      </c>
      <c r="AM27" s="62"/>
      <c r="AN27" s="63">
        <f>('12'!AM27/24)*0.454</f>
        <v>0</v>
      </c>
      <c r="AO27" s="62"/>
      <c r="AP27" s="63">
        <f>('12'!AO27/24)*0.454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3342.0</v>
      </c>
      <c r="Z28" s="308">
        <v>1210.0</v>
      </c>
      <c r="AA28" s="125">
        <v>1.0</v>
      </c>
      <c r="AB28" s="58">
        <f>IF('12'!AA28=1,(('12'!Z28*'12'!$AS$6*'12'!$AT$6)/('12'!Y28*0.0036)),IF('12'!AA28=2,(('12'!Z28*'12'!$AS$7*'12'!$AT$7)/('12'!Y28*0.0036))))</f>
        <v>66.88027794</v>
      </c>
      <c r="AC28" s="58"/>
      <c r="AD28" s="59">
        <f>(('12'!AC28*'12'!$Q$10*1000000))/('12'!Y28*3600)</f>
        <v>0</v>
      </c>
      <c r="AE28" s="60"/>
      <c r="AF28" s="61">
        <f>('12'!AE28/24)*0.454</f>
        <v>0</v>
      </c>
      <c r="AG28" s="60"/>
      <c r="AH28" s="61">
        <f>('12'!AG28/24)*0.454</f>
        <v>0</v>
      </c>
      <c r="AI28" s="392">
        <v>5000.0</v>
      </c>
      <c r="AJ28" s="61">
        <f>('12'!AI28/24)*0.454</f>
        <v>94.58333333</v>
      </c>
      <c r="AK28" s="62"/>
      <c r="AL28" s="63">
        <f>('12'!AK28/24)*0.454</f>
        <v>0</v>
      </c>
      <c r="AM28" s="62"/>
      <c r="AN28" s="63">
        <f>('12'!AM28/24)*0.454</f>
        <v>0</v>
      </c>
      <c r="AO28" s="62"/>
      <c r="AP28" s="63">
        <f>('12'!AO28/24)*0.454</f>
        <v>0</v>
      </c>
    </row>
    <row r="29" ht="18.75" customHeight="1">
      <c r="A29" s="129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3314.0</v>
      </c>
      <c r="Z29" s="308">
        <v>1210.0</v>
      </c>
      <c r="AA29" s="125">
        <v>1.0</v>
      </c>
      <c r="AB29" s="58">
        <f>IF('12'!AA29=1,(('12'!Z29*'12'!$AS$6*'12'!$AT$6)/('12'!Y29*0.0036)),IF('12'!AA29=2,(('12'!Z29*'12'!$AS$7*'12'!$AT$7)/('12'!Y29*0.0036))))</f>
        <v>67.44534969</v>
      </c>
      <c r="AC29" s="58"/>
      <c r="AD29" s="59">
        <f>(('12'!AC29*'12'!$Q$10*1000000))/('12'!Y29*3600)</f>
        <v>0</v>
      </c>
      <c r="AE29" s="60"/>
      <c r="AF29" s="61">
        <f>('12'!AE29/24)*0.454</f>
        <v>0</v>
      </c>
      <c r="AG29" s="60"/>
      <c r="AH29" s="61">
        <f>('12'!AG29/24)*0.454</f>
        <v>0</v>
      </c>
      <c r="AI29" s="392">
        <v>5000.0</v>
      </c>
      <c r="AJ29" s="61">
        <f>('12'!AI29/24)*0.454</f>
        <v>94.58333333</v>
      </c>
      <c r="AK29" s="62"/>
      <c r="AL29" s="63">
        <f>('12'!AK29/24)*0.454</f>
        <v>0</v>
      </c>
      <c r="AM29" s="62"/>
      <c r="AN29" s="63">
        <f>('12'!AM29/24)*0.454</f>
        <v>0</v>
      </c>
      <c r="AO29" s="62"/>
      <c r="AP29" s="63">
        <f>('12'!AO29/24)*0.454</f>
        <v>0</v>
      </c>
    </row>
    <row r="30" ht="18.75" customHeight="1">
      <c r="A30" s="43"/>
      <c r="U30" s="27"/>
      <c r="X30" s="130" t="s">
        <v>55</v>
      </c>
      <c r="Y30" s="131">
        <f>SUM('12'!Y6:Y29)*3.6</f>
        <v>284133.6</v>
      </c>
      <c r="Z30" s="132">
        <f>SUM('12'!Z6:Z29)</f>
        <v>31504</v>
      </c>
      <c r="AA30" s="133"/>
      <c r="AB30" s="132"/>
      <c r="AC30" s="133"/>
      <c r="AD30" s="132"/>
      <c r="AE30" s="60"/>
      <c r="AF30" s="61">
        <f>SUM('12'!AF6:AF29)</f>
        <v>0</v>
      </c>
      <c r="AG30" s="60"/>
      <c r="AH30" s="61">
        <f>SUM('12'!AH6:AH29)</f>
        <v>0</v>
      </c>
      <c r="AI30" s="60"/>
      <c r="AJ30" s="61">
        <f>SUM('12'!AJ6:AJ29)</f>
        <v>2270</v>
      </c>
      <c r="AK30" s="62"/>
      <c r="AL30" s="63">
        <f>SUM('12'!AL6:AL29)</f>
        <v>0</v>
      </c>
      <c r="AM30" s="62"/>
      <c r="AN30" s="63">
        <f>SUM('12'!AN6:AN29)</f>
        <v>0</v>
      </c>
      <c r="AO30" s="62"/>
      <c r="AP30" s="63">
        <f>SUM('12'!AP6:AP29)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SUMIF('12'!AA6:AA29,"=1",'12'!Z6:Z29)</f>
        <v>31504</v>
      </c>
      <c r="AA32" s="132">
        <f>'12'!Z32*'12'!AS6</f>
        <v>41900.32</v>
      </c>
      <c r="AB32" s="139">
        <f>SUMIF('12'!$AA$6:$AA$29,"=1",'12'!$AB$6:$AB$29)/COUNTIF('12'!$AA$6:$AA$29,"=1")</f>
        <v>73.82459776</v>
      </c>
      <c r="AC32" s="140">
        <f>SUMIF('12'!Z6:Z29,"=1",'12'!AC6:AC29)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SUMIF('12'!Z6:Z29,"=2",'12'!Z6:Z29)</f>
        <v>0</v>
      </c>
      <c r="AA33" s="132">
        <f>'12'!Z33*'12'!AS7</f>
        <v>0</v>
      </c>
      <c r="AB33" s="139" t="str">
        <f>SUMIF('12'!$Z$6:$Z$29,"=2",'12'!$Z$6:$Z$29)/COUNTIF('12'!$Z$6:$Z$29,"=2")</f>
        <v>#DIV/0!</v>
      </c>
      <c r="AC33" s="145">
        <f>SUMIF('12'!Z6:Z29,"=2",'12'!AC6:AC29)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AVERAGE('12'!Y6:Y29)</f>
        <v>3288.583333</v>
      </c>
      <c r="Z34" s="56">
        <f>AVERAGE('12'!Z6:Z29)</f>
        <v>1312.666667</v>
      </c>
      <c r="AA34" s="152"/>
      <c r="AB34" s="152"/>
      <c r="AC34" s="153" t="str">
        <f>SUM('12'!AC6:AC29)/COUNTIF('12'!AC6:AC29,"&lt;&gt;0")</f>
        <v>#DIV/0!</v>
      </c>
      <c r="AD34" s="154" t="str">
        <f>SUM('12'!AD6:AD29)/COUNTIF('12'!AD6:AD29,"&lt;&gt;0")</f>
        <v>#DIV/0!</v>
      </c>
      <c r="AE34" s="133"/>
      <c r="AF34" s="153">
        <f>AVERAGE('12'!AF6:AF29)</f>
        <v>0</v>
      </c>
      <c r="AG34" s="153"/>
      <c r="AH34" s="153">
        <f>AVERAGE('12'!AH6:AH29)</f>
        <v>0</v>
      </c>
      <c r="AI34" s="153"/>
      <c r="AJ34" s="153">
        <f>'12'!AJ30/24</f>
        <v>94.58333333</v>
      </c>
      <c r="AK34" s="153"/>
      <c r="AL34" s="153">
        <f>AVERAGE('12'!AL6:AL29)</f>
        <v>0</v>
      </c>
      <c r="AM34" s="153"/>
      <c r="AN34" s="153">
        <f>AVERAGE('12'!AN6:AN29)</f>
        <v>0</v>
      </c>
      <c r="AO34" s="153"/>
      <c r="AP34" s="153">
        <f>AVERAGE('12'!AP6:AP29)</f>
        <v>0</v>
      </c>
    </row>
    <row r="35" ht="19.5" customHeight="1">
      <c r="A35" s="411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406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58.2</v>
      </c>
      <c r="D37" s="76">
        <v>32.1</v>
      </c>
      <c r="E37" s="76">
        <v>25.1</v>
      </c>
      <c r="F37" s="76">
        <v>1.0</v>
      </c>
      <c r="G37" s="60">
        <v>0.2</v>
      </c>
      <c r="H37" s="60">
        <v>0.1</v>
      </c>
      <c r="I37" s="60">
        <v>0.15</v>
      </c>
      <c r="J37" s="60">
        <v>0.06</v>
      </c>
      <c r="K37" s="60">
        <v>0.03</v>
      </c>
      <c r="L37" s="52">
        <v>0.15</v>
      </c>
      <c r="M37" s="106"/>
      <c r="N37" s="157"/>
      <c r="O37" s="51"/>
      <c r="P37" s="51"/>
      <c r="Q37" s="51"/>
      <c r="R37" s="51"/>
      <c r="S37" s="51"/>
      <c r="T37" s="51"/>
      <c r="U37" s="403" t="str">
        <f>'12'!V12</f>
        <v/>
      </c>
      <c r="X37" s="169" t="s">
        <v>75</v>
      </c>
      <c r="Y37" s="128"/>
      <c r="Z37" s="170">
        <f>COUNTA('12'!Z6:Z29)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SUM('12'!AF30+'12'!AH30)</f>
        <v>0</v>
      </c>
      <c r="AL38" s="178" t="s">
        <v>78</v>
      </c>
      <c r="AM38" s="179">
        <f>SUM('12'!AL30+'12'!AN30)</f>
        <v>0</v>
      </c>
      <c r="AO38" s="178" t="s">
        <v>78</v>
      </c>
      <c r="AP38" s="180">
        <f>'12'!AJ30</f>
        <v>2270</v>
      </c>
      <c r="AQ38" s="178" t="s">
        <v>78</v>
      </c>
      <c r="AR38" s="179">
        <f>'12'!AP30</f>
        <v>0</v>
      </c>
    </row>
    <row r="39" ht="21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386" t="s">
        <v>82</v>
      </c>
      <c r="K39" s="79"/>
      <c r="L39" s="79"/>
      <c r="M39" s="80"/>
      <c r="O39" s="387" t="s">
        <v>83</v>
      </c>
      <c r="P39" s="11"/>
      <c r="Q39" s="185"/>
      <c r="R39" s="388" t="s">
        <v>84</v>
      </c>
      <c r="S39" s="412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('12'!AK38/'12'!Y30)*1000</f>
        <v>0</v>
      </c>
      <c r="AL39" s="327" t="s">
        <v>86</v>
      </c>
      <c r="AM39" s="328">
        <f>('12'!AM38/'12'!Y30)*1000</f>
        <v>0</v>
      </c>
      <c r="AO39" s="325" t="s">
        <v>86</v>
      </c>
      <c r="AP39" s="326">
        <f>('12'!AP38/'12'!Y30)*1000</f>
        <v>7.989199447</v>
      </c>
      <c r="AQ39" s="327" t="s">
        <v>86</v>
      </c>
      <c r="AR39" s="328">
        <f>('12'!AR38/'12'!Y30)*1000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SUM('12'!AK38,'12'!AM38)</f>
        <v>0</v>
      </c>
      <c r="AM40" s="128"/>
      <c r="AO40" s="210" t="s">
        <v>90</v>
      </c>
      <c r="AP40" s="128"/>
      <c r="AQ40" s="211">
        <f>SUM('12'!AP38,'12'!AR38)</f>
        <v>2270</v>
      </c>
      <c r="AR40" s="128"/>
    </row>
    <row r="41" ht="16.5" customHeight="1">
      <c r="A41" s="212">
        <f>COUNTA('12'!E7:E18)</f>
        <v>12</v>
      </c>
      <c r="B41" s="213">
        <f>COUNTA('12'!I7:I18)</f>
        <v>12</v>
      </c>
      <c r="C41" s="214">
        <f>COUNTA('12'!J7:J18)</f>
        <v>12</v>
      </c>
      <c r="D41" s="80"/>
      <c r="E41" s="214">
        <f>COUNTIF('12'!E7:E18,"&gt;15")</f>
        <v>0</v>
      </c>
      <c r="F41" s="80"/>
      <c r="G41" s="214">
        <f>COUNTIF('12'!J7:J18,"&gt;1")</f>
        <v>0</v>
      </c>
      <c r="H41" s="80"/>
      <c r="I41" s="215"/>
      <c r="J41" s="214">
        <f>'12'!A41-'12'!E41</f>
        <v>12</v>
      </c>
      <c r="K41" s="80"/>
      <c r="L41" s="214">
        <f>'12'!C41-'12'!G41</f>
        <v>12</v>
      </c>
      <c r="M41" s="80"/>
      <c r="N41" s="215"/>
      <c r="O41" s="216">
        <f>COUNTIF('12'!J7:J18,"&lt;=0,5")</f>
        <v>10</v>
      </c>
      <c r="P41" s="217"/>
      <c r="Q41" s="218"/>
      <c r="R41" s="219"/>
      <c r="S41" s="220">
        <f>COUNTIF('12'!J7:J18,"&lt;=1,0")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SUM(('12'!AK38+'12'!AM38)/'12'!Y30)*1000</f>
        <v>0</v>
      </c>
      <c r="AM41" s="128"/>
      <c r="AO41" s="210" t="s">
        <v>91</v>
      </c>
      <c r="AP41" s="128"/>
      <c r="AQ41" s="223">
        <f>SUM(('12'!AP38+'12'!AR38)/'12'!Y30)*1000</f>
        <v>7.989199447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9.5" customHeight="1">
      <c r="A43" s="224"/>
      <c r="B43" s="224"/>
      <c r="C43" s="224"/>
      <c r="H43" s="394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SUM('12'!Y45,'12'!AA45,'12'!AC45,'12'!AE45)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COUNTIF('12'!I7:I18,"&lt;=5,0")</f>
        <v>12</v>
      </c>
      <c r="I45" s="127"/>
      <c r="J45" s="128"/>
      <c r="K45" s="215"/>
      <c r="L45" s="208">
        <f>COUNTA('12'!L37)</f>
        <v>1</v>
      </c>
      <c r="M45" s="128"/>
      <c r="O45" s="248"/>
      <c r="P45" s="249"/>
      <c r="Q45" s="250">
        <f>'12'!S41-'12'!O41</f>
        <v>2</v>
      </c>
      <c r="R45" s="251"/>
      <c r="S45" s="252"/>
      <c r="T45" s="253"/>
      <c r="X45" s="133" t="s">
        <v>104</v>
      </c>
      <c r="Y45" s="254">
        <f>'12'!Y44*275.3</f>
        <v>0</v>
      </c>
      <c r="Z45" s="133" t="s">
        <v>104</v>
      </c>
      <c r="AA45" s="254">
        <f>262.4*'12'!AA44</f>
        <v>0</v>
      </c>
      <c r="AB45" s="133" t="s">
        <v>104</v>
      </c>
      <c r="AC45" s="254">
        <f>'12'!AC44*277.7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343"/>
      <c r="AP45" s="233"/>
      <c r="AQ45" s="233"/>
      <c r="AR45" s="89"/>
    </row>
    <row r="46" ht="15.75" customHeight="1">
      <c r="F46" s="257"/>
      <c r="X46" s="196" t="s">
        <v>105</v>
      </c>
      <c r="Y46" s="258">
        <f>'12'!AS6</f>
        <v>1.33</v>
      </c>
      <c r="Z46" s="196" t="s">
        <v>105</v>
      </c>
      <c r="AA46" s="258">
        <f>'12'!Y46</f>
        <v>1.33</v>
      </c>
      <c r="AB46" s="196" t="s">
        <v>105</v>
      </c>
      <c r="AC46" s="258">
        <f>'12'!Y46</f>
        <v>1.33</v>
      </c>
      <c r="AD46" s="196" t="s">
        <v>105</v>
      </c>
      <c r="AE46" s="259">
        <f>'12'!Y46</f>
        <v>1.33</v>
      </c>
      <c r="AF46" s="260" t="s">
        <v>106</v>
      </c>
      <c r="AG46" s="261">
        <f>SUM('12'!Y47,'12'!AA47,'12'!AC47,'12'!AE47)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'12'!Y45*'12'!Y46</f>
        <v>0</v>
      </c>
      <c r="Z47" s="133" t="s">
        <v>108</v>
      </c>
      <c r="AA47" s="254">
        <f>'12'!AA45*'12'!AA46</f>
        <v>0</v>
      </c>
      <c r="AB47" s="133" t="s">
        <v>108</v>
      </c>
      <c r="AC47" s="254">
        <f>'12'!AC45*'12'!AC46</f>
        <v>0</v>
      </c>
      <c r="AD47" s="133" t="s">
        <v>108</v>
      </c>
      <c r="AE47" s="254">
        <f>'12'!AE45*'12'!AE46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262.4*'3'!AL46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'3'!AJ48</f>
        <v>1.33</v>
      </c>
      <c r="AM48" s="265" t="s">
        <v>105</v>
      </c>
      <c r="AN48" s="258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'3'!AL47*'3'!AL48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COUNTA('12'!O7:O18)</f>
        <v>12</v>
      </c>
      <c r="P51" s="128"/>
      <c r="R51" s="247">
        <f>COUNTIF('12'!O7:O18,"&gt;=0,5")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SUM('12'!Y53,'12'!AA53,'12'!AC53,'12'!AE53)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343" t="s">
        <v>102</v>
      </c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'12'!Y52*275.3</f>
        <v>0</v>
      </c>
      <c r="Z53" s="133" t="s">
        <v>104</v>
      </c>
      <c r="AA53" s="254">
        <f>262.4*'12'!AA52</f>
        <v>0</v>
      </c>
      <c r="AB53" s="133" t="s">
        <v>104</v>
      </c>
      <c r="AC53" s="276">
        <f>'12'!AC52*277.7</f>
        <v>0</v>
      </c>
      <c r="AD53" s="133" t="s">
        <v>104</v>
      </c>
      <c r="AE53" s="352">
        <v>0.0</v>
      </c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'12'!AS7</f>
        <v>1.377</v>
      </c>
      <c r="Z54" s="196" t="s">
        <v>105</v>
      </c>
      <c r="AA54" s="258">
        <f>'12'!Y54</f>
        <v>1.377</v>
      </c>
      <c r="AB54" s="196" t="s">
        <v>105</v>
      </c>
      <c r="AC54" s="258">
        <f>'12'!Y54</f>
        <v>1.377</v>
      </c>
      <c r="AD54" s="196" t="s">
        <v>105</v>
      </c>
      <c r="AE54" s="259">
        <f>'12'!Y54</f>
        <v>1.377</v>
      </c>
      <c r="AF54" s="260" t="s">
        <v>106</v>
      </c>
      <c r="AG54" s="261">
        <f>SUM('12'!Y55,'12'!AA55,'12'!AC55,'12'!AE55)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262.4*'3'!AL53</f>
        <v>0</v>
      </c>
      <c r="AM54" s="133" t="s">
        <v>104</v>
      </c>
      <c r="AN54" s="276">
        <f>277.7*AN53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'12'!Y53*'12'!Y54</f>
        <v>0</v>
      </c>
      <c r="Z55" s="133" t="s">
        <v>108</v>
      </c>
      <c r="AA55" s="254">
        <f>'12'!AA53*'12'!AA54</f>
        <v>0</v>
      </c>
      <c r="AB55" s="133" t="s">
        <v>108</v>
      </c>
      <c r="AC55" s="254">
        <f>'12'!AC53*'12'!AC54</f>
        <v>0</v>
      </c>
      <c r="AD55" s="133" t="s">
        <v>108</v>
      </c>
      <c r="AE55" s="254">
        <f>'12'!AE53*'12'!AE54</f>
        <v>0</v>
      </c>
      <c r="AF55" s="46"/>
      <c r="AG55" s="46"/>
      <c r="AI55" s="196" t="s">
        <v>105</v>
      </c>
      <c r="AJ55" s="258">
        <f>'3'!Y54</f>
        <v>1.377</v>
      </c>
      <c r="AK55" s="196" t="s">
        <v>105</v>
      </c>
      <c r="AL55" s="258">
        <f>'3'!AJ55</f>
        <v>1.377</v>
      </c>
      <c r="AM55" s="196" t="s">
        <v>105</v>
      </c>
      <c r="AN55" s="258">
        <f>'3'!AJ55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AJ55*AJ54</f>
        <v>0</v>
      </c>
      <c r="AK56" s="133" t="s">
        <v>108</v>
      </c>
      <c r="AL56" s="254">
        <f>'3'!AL54*'3'!AL55</f>
        <v>0</v>
      </c>
      <c r="AM56" s="133" t="s">
        <v>108</v>
      </c>
      <c r="AN56" s="254">
        <f>AN55*AN54</f>
        <v>0</v>
      </c>
      <c r="AO56" s="16"/>
      <c r="AP56" s="17"/>
      <c r="AQ56" s="17"/>
      <c r="AR56" s="18"/>
    </row>
    <row r="57" ht="15.75" customHeight="1">
      <c r="O57" s="169">
        <f>COUNTA('12'!N7:N18)</f>
        <v>12</v>
      </c>
      <c r="P57" s="128"/>
      <c r="R57" s="277">
        <f>COUNTIF('12'!N7:N18,"&gt;=6")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41900.32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-41900.32</v>
      </c>
      <c r="AR63" s="80"/>
    </row>
    <row r="64" ht="15.0" customHeight="1">
      <c r="X64" s="294"/>
      <c r="Y64" s="295"/>
      <c r="Z64" s="43"/>
      <c r="AA64" s="27"/>
      <c r="AB64" s="296" t="s">
        <v>135</v>
      </c>
      <c r="AC64" s="125"/>
    </row>
    <row r="65" ht="39.0" customHeight="1">
      <c r="X65" s="297" t="s">
        <v>126</v>
      </c>
      <c r="Y65" s="298">
        <f>'11'!$Y$68</f>
        <v>-9061.083333</v>
      </c>
      <c r="Z65" s="43"/>
      <c r="AA65" s="27"/>
      <c r="AB65" s="299" t="s">
        <v>126</v>
      </c>
      <c r="AC65" s="330">
        <f>'11'!$AC$68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287">
        <f>SUM('12'!AK38,'12'!AP38)</f>
        <v>2270</v>
      </c>
      <c r="Z67" s="43"/>
      <c r="AA67" s="27"/>
      <c r="AB67" s="296" t="s">
        <v>124</v>
      </c>
      <c r="AC67" s="254">
        <f>SUM('12'!AM38,'12'!AR38)</f>
        <v>0</v>
      </c>
    </row>
    <row r="68" ht="15.75" customHeight="1">
      <c r="X68" s="294" t="s">
        <v>128</v>
      </c>
      <c r="Y68" s="301">
        <f>SUM('12'!Y63,'12'!Y65)-'12'!Y67</f>
        <v>-11331.08333</v>
      </c>
      <c r="Z68" s="16"/>
      <c r="AA68" s="18"/>
      <c r="AB68" s="296" t="s">
        <v>128</v>
      </c>
      <c r="AC68" s="302">
        <f>SUM('12'!AC63,'12'!AC65)-'12'!AC67-'12'!AC64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8.57"/>
    <col customWidth="1" min="19" max="19" width="6.14"/>
    <col customWidth="1" min="20" max="20" width="8.57"/>
    <col customWidth="1" min="21" max="21" width="8.71"/>
    <col customWidth="1" min="22" max="23" width="8.57"/>
    <col customWidth="1" min="24" max="24" width="8.71"/>
    <col customWidth="1" min="25" max="25" width="8.57"/>
    <col customWidth="1" min="26" max="26" width="8.71"/>
    <col customWidth="1" min="27" max="32" width="8.57"/>
    <col customWidth="1" min="33" max="33" width="8.71"/>
    <col customWidth="1" min="34" max="34" width="8.57"/>
    <col customWidth="1" min="35" max="35" width="8.71"/>
    <col customWidth="1" min="36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413" t="s">
        <v>16</v>
      </c>
      <c r="Y4" s="414" t="s">
        <v>17</v>
      </c>
      <c r="Z4" s="414" t="s">
        <v>18</v>
      </c>
      <c r="AA4" s="414" t="s">
        <v>19</v>
      </c>
      <c r="AB4" s="414" t="s">
        <v>20</v>
      </c>
      <c r="AC4" s="414" t="s">
        <v>21</v>
      </c>
      <c r="AD4" s="414" t="s">
        <v>20</v>
      </c>
      <c r="AE4" s="414" t="s">
        <v>140</v>
      </c>
      <c r="AF4" s="414" t="s">
        <v>141</v>
      </c>
      <c r="AG4" s="414" t="s">
        <v>142</v>
      </c>
      <c r="AH4" s="414" t="s">
        <v>143</v>
      </c>
      <c r="AI4" s="414" t="s">
        <v>144</v>
      </c>
      <c r="AJ4" s="414" t="s">
        <v>145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15"/>
      <c r="Y5" s="415"/>
      <c r="Z5" s="415"/>
      <c r="AA5" s="415"/>
      <c r="AB5" s="415"/>
      <c r="AC5" s="415"/>
      <c r="AD5" s="415"/>
      <c r="AE5" s="415"/>
      <c r="AF5" s="415"/>
      <c r="AG5" s="415"/>
      <c r="AH5" s="415"/>
      <c r="AI5" s="415"/>
      <c r="AJ5" s="415"/>
      <c r="AK5" s="415"/>
      <c r="AL5" s="415"/>
      <c r="AM5" s="415"/>
      <c r="AN5" s="415"/>
      <c r="AO5" s="415"/>
      <c r="AP5" s="415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47"/>
      <c r="AL6" s="47"/>
      <c r="AM6" s="47"/>
      <c r="AN6" s="47"/>
      <c r="AO6" s="47"/>
      <c r="AP6" s="47"/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9.5" customHeight="1">
      <c r="A7" s="69">
        <v>0.0</v>
      </c>
      <c r="B7" s="76">
        <v>97.0</v>
      </c>
      <c r="C7" s="76">
        <v>15.0</v>
      </c>
      <c r="D7" s="76">
        <v>13.0</v>
      </c>
      <c r="E7" s="76">
        <v>6.0</v>
      </c>
      <c r="F7" s="76">
        <v>20.0</v>
      </c>
      <c r="G7" s="76">
        <v>1.2</v>
      </c>
      <c r="H7" s="76">
        <v>1.1</v>
      </c>
      <c r="I7" s="76">
        <v>0.5</v>
      </c>
      <c r="J7" s="76">
        <v>0.5</v>
      </c>
      <c r="K7" s="76">
        <v>6.9</v>
      </c>
      <c r="L7" s="76">
        <v>6.5</v>
      </c>
      <c r="M7" s="76">
        <v>6.5</v>
      </c>
      <c r="N7" s="76">
        <v>6.2</v>
      </c>
      <c r="O7" s="76">
        <v>3.6</v>
      </c>
      <c r="P7" s="76"/>
      <c r="Q7" s="310"/>
      <c r="R7" s="77">
        <f>'12'!$Z$29</f>
        <v>1210</v>
      </c>
      <c r="S7" s="309">
        <f>'12'!$AB$29</f>
        <v>67.44534969</v>
      </c>
      <c r="T7" s="77">
        <f>'12'!$Y$29</f>
        <v>3314</v>
      </c>
      <c r="U7" s="73" t="str">
        <f>IF('13'!AA7=1,'13'!AR6,'13'!AR8)</f>
        <v>S.A.L</v>
      </c>
      <c r="V7" s="74" t="str">
        <f>ESCALA!$C$14</f>
        <v/>
      </c>
      <c r="W7" s="12"/>
      <c r="X7" s="54">
        <v>2633.04166666667</v>
      </c>
      <c r="Y7" s="125">
        <v>3328.0</v>
      </c>
      <c r="Z7" s="125">
        <v>1210.0</v>
      </c>
      <c r="AA7" s="56">
        <v>1.0</v>
      </c>
      <c r="AB7" s="58">
        <f>IF('13'!AA7=1,(('13'!Z7*'13'!$AS$6*'13'!$AT$6)/('13'!Y7*0.0036)),IF('13'!AA7=2,(('13'!Z7*'13'!$AS$8*'13'!$AT$8)/('13'!Y7*0.0036))))</f>
        <v>67.16162527</v>
      </c>
      <c r="AC7" s="58"/>
      <c r="AD7" s="59">
        <f>(('13'!AC7*'13'!$Q$10*1000000))/('13'!Y7*3600)</f>
        <v>0</v>
      </c>
      <c r="AE7" s="60"/>
      <c r="AF7" s="61">
        <f>('13'!AE7/24)*0.454</f>
        <v>0</v>
      </c>
      <c r="AG7" s="60"/>
      <c r="AH7" s="61">
        <f>('13'!AG7/24)*0.454</f>
        <v>0</v>
      </c>
      <c r="AI7" s="60">
        <v>5000.0</v>
      </c>
      <c r="AJ7" s="61">
        <f>('13'!AI7/24)*0.454</f>
        <v>94.58333333</v>
      </c>
      <c r="AK7" s="62"/>
      <c r="AL7" s="63">
        <f>('13'!AK7/24)*0.454</f>
        <v>0</v>
      </c>
      <c r="AM7" s="62"/>
      <c r="AN7" s="63">
        <f>('13'!AM7/24)*0.454</f>
        <v>0</v>
      </c>
      <c r="AO7" s="62"/>
      <c r="AP7" s="63">
        <f>('13'!AO7/24)*0.454</f>
        <v>0</v>
      </c>
      <c r="AQ7" s="65"/>
      <c r="AR7" s="66"/>
      <c r="AS7" s="67"/>
      <c r="AT7" s="66"/>
      <c r="AU7" s="68"/>
    </row>
    <row r="8" ht="18.75" customHeight="1">
      <c r="A8" s="69">
        <v>0.0833333333333333</v>
      </c>
      <c r="B8" s="76">
        <v>92.0</v>
      </c>
      <c r="C8" s="76">
        <v>15.0</v>
      </c>
      <c r="D8" s="76">
        <v>13.0</v>
      </c>
      <c r="E8" s="76">
        <v>6.0</v>
      </c>
      <c r="F8" s="76">
        <v>18.0</v>
      </c>
      <c r="G8" s="76">
        <v>1.2</v>
      </c>
      <c r="H8" s="76">
        <v>1.1</v>
      </c>
      <c r="I8" s="76">
        <v>0.5</v>
      </c>
      <c r="J8" s="76">
        <v>0.5</v>
      </c>
      <c r="K8" s="76">
        <v>6.9</v>
      </c>
      <c r="L8" s="76">
        <v>6.5</v>
      </c>
      <c r="M8" s="76">
        <v>6.5</v>
      </c>
      <c r="N8" s="76">
        <v>6.2</v>
      </c>
      <c r="O8" s="76">
        <v>3.6</v>
      </c>
      <c r="P8" s="76"/>
      <c r="Q8" s="310"/>
      <c r="R8" s="75">
        <f>'13'!Z8</f>
        <v>1210</v>
      </c>
      <c r="S8" s="76">
        <f>'13'!AB8</f>
        <v>67.14145055</v>
      </c>
      <c r="T8" s="77">
        <f>'13'!Y8</f>
        <v>3329</v>
      </c>
      <c r="U8" s="73" t="str">
        <f>IF('13'!AA8=1,'13'!AR6,'13'!AR8)</f>
        <v>S.A.L</v>
      </c>
      <c r="V8" s="43"/>
      <c r="W8" s="27"/>
      <c r="X8" s="54">
        <v>0.0833333333333333</v>
      </c>
      <c r="Y8" s="125">
        <v>3329.0</v>
      </c>
      <c r="Z8" s="125">
        <v>1210.0</v>
      </c>
      <c r="AA8" s="56">
        <v>1.0</v>
      </c>
      <c r="AB8" s="58">
        <f>IF('13'!AA8=1,(('13'!Z8*'13'!$AS$6*'13'!$AT$6)/('13'!Y8*0.0036)),IF('13'!AA8=2,(('13'!Z8*'13'!$AS$8*'13'!$AT$8)/('13'!Y8*0.0036))))</f>
        <v>67.14145055</v>
      </c>
      <c r="AC8" s="58"/>
      <c r="AD8" s="59">
        <f>(('13'!AC8*'13'!$Q$10*1000000))/('13'!Y8*3600)</f>
        <v>0</v>
      </c>
      <c r="AE8" s="60"/>
      <c r="AF8" s="61">
        <f>('13'!AE8/24)*0.454</f>
        <v>0</v>
      </c>
      <c r="AG8" s="60"/>
      <c r="AH8" s="61">
        <f>('13'!AG8/24)*0.454</f>
        <v>0</v>
      </c>
      <c r="AI8" s="60">
        <v>5000.0</v>
      </c>
      <c r="AJ8" s="61">
        <f>('13'!AI8/24)*0.454</f>
        <v>94.58333333</v>
      </c>
      <c r="AK8" s="62"/>
      <c r="AL8" s="63">
        <f>('13'!AK8/24)*0.454</f>
        <v>0</v>
      </c>
      <c r="AM8" s="62"/>
      <c r="AN8" s="63">
        <f>('13'!AM8/24)*0.454</f>
        <v>0</v>
      </c>
      <c r="AO8" s="62"/>
      <c r="AP8" s="63">
        <f>('13'!AO8/24)*0.454</f>
        <v>0</v>
      </c>
      <c r="AQ8" s="416">
        <v>2.0</v>
      </c>
      <c r="AR8" s="417" t="s">
        <v>49</v>
      </c>
      <c r="AS8" s="418">
        <v>1.377</v>
      </c>
      <c r="AT8" s="417">
        <v>1.0</v>
      </c>
      <c r="AU8" s="60">
        <v>24.0</v>
      </c>
    </row>
    <row r="9" ht="18.75" customHeight="1">
      <c r="A9" s="69">
        <v>0.166666666666667</v>
      </c>
      <c r="B9" s="76">
        <v>87.0</v>
      </c>
      <c r="C9" s="76">
        <v>15.0</v>
      </c>
      <c r="D9" s="76">
        <v>13.0</v>
      </c>
      <c r="E9" s="76">
        <v>5.0</v>
      </c>
      <c r="F9" s="76">
        <v>17.0</v>
      </c>
      <c r="G9" s="76">
        <v>1.1</v>
      </c>
      <c r="H9" s="76">
        <v>1.0</v>
      </c>
      <c r="I9" s="76">
        <v>0.5</v>
      </c>
      <c r="J9" s="76">
        <v>0.4</v>
      </c>
      <c r="K9" s="76">
        <v>6.9</v>
      </c>
      <c r="L9" s="76">
        <v>6.5</v>
      </c>
      <c r="M9" s="76">
        <v>6.5</v>
      </c>
      <c r="N9" s="76">
        <v>6.2</v>
      </c>
      <c r="O9" s="76">
        <v>3.6</v>
      </c>
      <c r="P9" s="76"/>
      <c r="Q9" s="310"/>
      <c r="R9" s="77">
        <f>'13'!Z10</f>
        <v>1210</v>
      </c>
      <c r="S9" s="76">
        <f>'13'!AB10</f>
        <v>67.71096301</v>
      </c>
      <c r="T9" s="77">
        <f>'13'!Y10</f>
        <v>3301</v>
      </c>
      <c r="U9" s="73" t="str">
        <f>IF('13'!AA10=1,'13'!AR6,'13'!AR8)</f>
        <v>S.A.L</v>
      </c>
      <c r="V9" s="43"/>
      <c r="W9" s="27"/>
      <c r="X9" s="54">
        <v>0.125</v>
      </c>
      <c r="Y9" s="125">
        <v>3288.0</v>
      </c>
      <c r="Z9" s="125">
        <v>1210.0</v>
      </c>
      <c r="AA9" s="56">
        <v>1.0</v>
      </c>
      <c r="AB9" s="58">
        <f>IF('13'!AA9=1,(('13'!Z9*'13'!$AS$6*'13'!$AT$6)/('13'!Y9*0.0036)),IF('13'!AA9=2,(('13'!Z9*'13'!$AS$8*'13'!$AT$8)/('13'!Y9*0.0036))))</f>
        <v>67.97867667</v>
      </c>
      <c r="AC9" s="58"/>
      <c r="AD9" s="59">
        <f>(('13'!AC9*'13'!$Q$10*1000000))/('13'!Y9*3600)</f>
        <v>0</v>
      </c>
      <c r="AE9" s="60"/>
      <c r="AF9" s="61">
        <f>('13'!AE9/24)*0.454</f>
        <v>0</v>
      </c>
      <c r="AG9" s="60"/>
      <c r="AH9" s="61">
        <f>('13'!AG9/24)*0.454</f>
        <v>0</v>
      </c>
      <c r="AI9" s="60">
        <v>5000.0</v>
      </c>
      <c r="AJ9" s="61">
        <f>('13'!AI9/24)*0.454</f>
        <v>94.58333333</v>
      </c>
      <c r="AK9" s="62"/>
      <c r="AL9" s="63">
        <f>('13'!AK9/24)*0.454</f>
        <v>0</v>
      </c>
      <c r="AM9" s="62"/>
      <c r="AN9" s="63">
        <f>('13'!AM9/24)*0.454</f>
        <v>0</v>
      </c>
      <c r="AO9" s="62"/>
      <c r="AP9" s="63">
        <f>('13'!AO9/24)*0.454</f>
        <v>0</v>
      </c>
      <c r="AQ9" s="419" t="s">
        <v>50</v>
      </c>
      <c r="AR9" s="35"/>
      <c r="AS9" s="35"/>
      <c r="AT9" s="420"/>
    </row>
    <row r="10" ht="18.75" customHeight="1">
      <c r="A10" s="69">
        <v>0.25</v>
      </c>
      <c r="B10" s="76">
        <v>81.0</v>
      </c>
      <c r="C10" s="76">
        <v>15.0</v>
      </c>
      <c r="D10" s="76">
        <v>13.0</v>
      </c>
      <c r="E10" s="76">
        <v>5.0</v>
      </c>
      <c r="F10" s="76">
        <v>16.0</v>
      </c>
      <c r="G10" s="76">
        <v>1.1</v>
      </c>
      <c r="H10" s="76">
        <v>1.0</v>
      </c>
      <c r="I10" s="76">
        <v>0.5</v>
      </c>
      <c r="J10" s="76">
        <v>0.4</v>
      </c>
      <c r="K10" s="76">
        <v>6.9</v>
      </c>
      <c r="L10" s="76">
        <v>6.5</v>
      </c>
      <c r="M10" s="76">
        <v>6.5</v>
      </c>
      <c r="N10" s="76">
        <v>6.2</v>
      </c>
      <c r="O10" s="76">
        <v>3.6</v>
      </c>
      <c r="P10" s="76"/>
      <c r="Q10" s="310"/>
      <c r="R10" s="77">
        <f>'13'!Z12</f>
        <v>1210</v>
      </c>
      <c r="S10" s="76">
        <f>'13'!AB12</f>
        <v>68.04075765</v>
      </c>
      <c r="T10" s="77">
        <f>'13'!Y12</f>
        <v>3285</v>
      </c>
      <c r="U10" s="73" t="str">
        <f>IF('13'!AA12=1,'13'!AR6,'13'!AR8)</f>
        <v>S.A.L</v>
      </c>
      <c r="V10" s="43"/>
      <c r="W10" s="27"/>
      <c r="X10" s="54">
        <v>0.166666666666667</v>
      </c>
      <c r="Y10" s="125">
        <v>3301.0</v>
      </c>
      <c r="Z10" s="125">
        <v>1210.0</v>
      </c>
      <c r="AA10" s="56">
        <v>1.0</v>
      </c>
      <c r="AB10" s="58">
        <f>IF('13'!AA10=1,(('13'!Z10*'13'!$AS$6*'13'!$AT$6)/('13'!Y10*0.0036)),IF('13'!AA10=2,(('13'!Z10*'13'!$AS$8*'13'!$AT$8)/('13'!Y10*0.0036))))</f>
        <v>67.71096301</v>
      </c>
      <c r="AC10" s="58"/>
      <c r="AD10" s="59">
        <f>(('13'!AC10*'13'!$Q$10*1000000))/('13'!Y10*3600)</f>
        <v>0</v>
      </c>
      <c r="AE10" s="60"/>
      <c r="AF10" s="61">
        <f>('13'!AE10/24)*0.454</f>
        <v>0</v>
      </c>
      <c r="AG10" s="60"/>
      <c r="AH10" s="61">
        <f>('13'!AG10/24)*0.454</f>
        <v>0</v>
      </c>
      <c r="AI10" s="60">
        <v>5000.0</v>
      </c>
      <c r="AJ10" s="61">
        <f>('13'!AI10/24)*0.454</f>
        <v>94.58333333</v>
      </c>
      <c r="AK10" s="62"/>
      <c r="AL10" s="63">
        <f>('13'!AK10/24)*0.454</f>
        <v>0</v>
      </c>
      <c r="AM10" s="62"/>
      <c r="AN10" s="63">
        <f>('13'!AM10/24)*0.454</f>
        <v>0</v>
      </c>
      <c r="AO10" s="62"/>
      <c r="AP10" s="63">
        <f>('13'!AO10/24)*0.454</f>
        <v>0</v>
      </c>
      <c r="AQ10" s="81" t="s">
        <v>37</v>
      </c>
      <c r="AR10" s="79"/>
      <c r="AS10" s="80"/>
      <c r="AT10" s="82" t="s">
        <v>39</v>
      </c>
    </row>
    <row r="11" ht="18.75" customHeight="1">
      <c r="A11" s="69">
        <v>0.333333333333333</v>
      </c>
      <c r="B11" s="76">
        <v>80.0</v>
      </c>
      <c r="C11" s="76">
        <v>14.0</v>
      </c>
      <c r="D11" s="76">
        <v>13.0</v>
      </c>
      <c r="E11" s="76">
        <v>6.0</v>
      </c>
      <c r="F11" s="76">
        <v>13.0</v>
      </c>
      <c r="G11" s="76">
        <v>0.9</v>
      </c>
      <c r="H11" s="76">
        <v>1.0</v>
      </c>
      <c r="I11" s="76">
        <v>0.7</v>
      </c>
      <c r="J11" s="76">
        <v>0.53</v>
      </c>
      <c r="K11" s="76">
        <v>6.9</v>
      </c>
      <c r="L11" s="76">
        <v>6.5</v>
      </c>
      <c r="M11" s="76">
        <v>6.5</v>
      </c>
      <c r="N11" s="76">
        <v>6.2</v>
      </c>
      <c r="O11" s="76">
        <v>3.6</v>
      </c>
      <c r="P11" s="76"/>
      <c r="Q11" s="310"/>
      <c r="R11" s="77">
        <f>'13'!Z14</f>
        <v>1210</v>
      </c>
      <c r="S11" s="76">
        <f>'13'!AB14</f>
        <v>68.35287122</v>
      </c>
      <c r="T11" s="77">
        <f>'13'!Y14</f>
        <v>3270</v>
      </c>
      <c r="U11" s="73" t="str">
        <f>IF('13'!AA14=1,'13'!AR6,'13'!AR8)</f>
        <v>S.A.L</v>
      </c>
      <c r="V11" s="16"/>
      <c r="W11" s="18"/>
      <c r="X11" s="54">
        <v>0.208333333333333</v>
      </c>
      <c r="Y11" s="125">
        <v>3312.0</v>
      </c>
      <c r="Z11" s="125">
        <v>1210.0</v>
      </c>
      <c r="AA11" s="56">
        <v>1.0</v>
      </c>
      <c r="AB11" s="58">
        <f>IF('13'!AA11=1,(('13'!Z11*'13'!$AS$6*'13'!$AT$6)/('13'!Y11*0.0036)),IF('13'!AA11=2,(('13'!Z11*'13'!$AS$8*'13'!$AT$8)/('13'!Y11*0.0036))))</f>
        <v>67.48607756</v>
      </c>
      <c r="AC11" s="58"/>
      <c r="AD11" s="59">
        <f>(('13'!AC11*'13'!$Q$10*1000000))/('13'!Y11*3600)</f>
        <v>0</v>
      </c>
      <c r="AE11" s="60"/>
      <c r="AF11" s="61">
        <f>('13'!AE11/24)*0.454</f>
        <v>0</v>
      </c>
      <c r="AG11" s="60"/>
      <c r="AH11" s="61">
        <f>('13'!AG11/24)*0.454</f>
        <v>0</v>
      </c>
      <c r="AI11" s="60">
        <v>5000.0</v>
      </c>
      <c r="AJ11" s="61">
        <f>('13'!AI11/24)*0.454</f>
        <v>94.58333333</v>
      </c>
      <c r="AK11" s="62"/>
      <c r="AL11" s="63">
        <f>('13'!AK11/24)*0.454</f>
        <v>0</v>
      </c>
      <c r="AM11" s="62"/>
      <c r="AN11" s="63">
        <f>('13'!AM11/24)*0.454</f>
        <v>0</v>
      </c>
      <c r="AO11" s="62"/>
      <c r="AP11" s="63">
        <f>('13'!AO11/24)*0.454</f>
        <v>0</v>
      </c>
      <c r="AQ11" s="84" t="s">
        <v>51</v>
      </c>
      <c r="AR11" s="79"/>
      <c r="AS11" s="80"/>
      <c r="AT11" s="85">
        <v>0.002</v>
      </c>
    </row>
    <row r="12" ht="19.5" customHeight="1">
      <c r="A12" s="69">
        <v>0.416666666666667</v>
      </c>
      <c r="B12" s="76">
        <v>81.0</v>
      </c>
      <c r="C12" s="76">
        <v>14.0</v>
      </c>
      <c r="D12" s="76">
        <v>13.0</v>
      </c>
      <c r="E12" s="76">
        <v>6.0</v>
      </c>
      <c r="F12" s="76">
        <v>13.0</v>
      </c>
      <c r="G12" s="76">
        <v>0.9</v>
      </c>
      <c r="H12" s="76">
        <v>1.0</v>
      </c>
      <c r="I12" s="76">
        <v>0.6</v>
      </c>
      <c r="J12" s="76">
        <v>0.5</v>
      </c>
      <c r="K12" s="76">
        <v>6.9</v>
      </c>
      <c r="L12" s="76">
        <v>6.5</v>
      </c>
      <c r="M12" s="76">
        <v>6.5</v>
      </c>
      <c r="N12" s="76">
        <v>6.2</v>
      </c>
      <c r="O12" s="76">
        <v>3.6</v>
      </c>
      <c r="P12" s="76"/>
      <c r="Q12" s="310"/>
      <c r="R12" s="77">
        <f>'13'!Z16</f>
        <v>1210</v>
      </c>
      <c r="S12" s="76">
        <f>'13'!AB16</f>
        <v>67.66996333</v>
      </c>
      <c r="T12" s="77">
        <f>'13'!Y16</f>
        <v>3303</v>
      </c>
      <c r="U12" s="73" t="str">
        <f>IF('13'!AA16=1,'13'!AR6,'13'!AR8)</f>
        <v>S.A.L</v>
      </c>
      <c r="V12" s="88" t="str">
        <f>ESCALA!$B$15</f>
        <v/>
      </c>
      <c r="W12" s="89"/>
      <c r="X12" s="54">
        <v>0.25</v>
      </c>
      <c r="Y12" s="125">
        <v>3285.0</v>
      </c>
      <c r="Z12" s="125">
        <v>1210.0</v>
      </c>
      <c r="AA12" s="56">
        <v>1.0</v>
      </c>
      <c r="AB12" s="58">
        <f>IF('13'!AA12=1,(('13'!Z12*'13'!$AS$6*'13'!$AT$6)/('13'!Y12*0.0036)),IF('13'!AA12=2,(('13'!Z12*'13'!$AS$8*'13'!$AT$8)/('13'!Y12*0.0036))))</f>
        <v>68.04075765</v>
      </c>
      <c r="AC12" s="58"/>
      <c r="AD12" s="59">
        <f>(('13'!AC12*'13'!$Q$10*1000000))/('13'!Y12*3600)</f>
        <v>0</v>
      </c>
      <c r="AE12" s="60"/>
      <c r="AF12" s="61">
        <f>('13'!AE12/24)*0.454</f>
        <v>0</v>
      </c>
      <c r="AG12" s="60"/>
      <c r="AH12" s="61">
        <f>('13'!AG12/24)*0.454</f>
        <v>0</v>
      </c>
      <c r="AI12" s="60">
        <v>5000.0</v>
      </c>
      <c r="AJ12" s="61">
        <f>('13'!AI12/24)*0.454</f>
        <v>94.58333333</v>
      </c>
      <c r="AK12" s="62"/>
      <c r="AL12" s="63">
        <f>('13'!AK12/24)*0.454</f>
        <v>0</v>
      </c>
      <c r="AM12" s="62"/>
      <c r="AN12" s="63">
        <f>('13'!AM12/24)*0.454</f>
        <v>0</v>
      </c>
      <c r="AO12" s="62"/>
      <c r="AP12" s="63">
        <f>('13'!AO12/24)*0.454</f>
        <v>0</v>
      </c>
    </row>
    <row r="13" ht="18.75" customHeight="1">
      <c r="A13" s="69">
        <v>0.5</v>
      </c>
      <c r="B13" s="76">
        <v>81.0</v>
      </c>
      <c r="C13" s="76">
        <v>15.0</v>
      </c>
      <c r="D13" s="76">
        <v>14.0</v>
      </c>
      <c r="E13" s="76">
        <v>6.0</v>
      </c>
      <c r="F13" s="76">
        <v>13.0</v>
      </c>
      <c r="G13" s="76">
        <v>1.1</v>
      </c>
      <c r="H13" s="76">
        <v>1.0</v>
      </c>
      <c r="I13" s="76">
        <v>0.7</v>
      </c>
      <c r="J13" s="76">
        <v>0.6</v>
      </c>
      <c r="K13" s="76">
        <v>6.9</v>
      </c>
      <c r="L13" s="76">
        <v>6.5</v>
      </c>
      <c r="M13" s="76">
        <v>6.5</v>
      </c>
      <c r="N13" s="76">
        <v>6.2</v>
      </c>
      <c r="O13" s="76">
        <v>3.6</v>
      </c>
      <c r="P13" s="76"/>
      <c r="Q13" s="310"/>
      <c r="R13" s="77">
        <f>'13'!Z18</f>
        <v>1210</v>
      </c>
      <c r="S13" s="76">
        <f>'13'!AB18</f>
        <v>67.83426066</v>
      </c>
      <c r="T13" s="77">
        <f>'13'!Y18</f>
        <v>3295</v>
      </c>
      <c r="U13" s="73" t="str">
        <f>IF('13'!AA18=1,'13'!AR6,'13'!AR8)</f>
        <v>S.A.L</v>
      </c>
      <c r="V13" s="43"/>
      <c r="W13" s="27"/>
      <c r="X13" s="54">
        <v>0.291666666666667</v>
      </c>
      <c r="Y13" s="125">
        <v>3303.0</v>
      </c>
      <c r="Z13" s="125">
        <v>1210.0</v>
      </c>
      <c r="AA13" s="56">
        <v>1.0</v>
      </c>
      <c r="AB13" s="58">
        <f>IF('13'!AA13=1,(('13'!Z13*'13'!$AS$6*'13'!$AT$6)/('13'!Y13*0.0036)),IF('13'!AA13=2,(('13'!Z13*'13'!$AS$8*'13'!$AT$8)/('13'!Y13*0.0036))))</f>
        <v>67.66996333</v>
      </c>
      <c r="AC13" s="58"/>
      <c r="AD13" s="59">
        <f>(('13'!AC13*'13'!$Q$10*1000000))/('13'!Y13*3600)</f>
        <v>0</v>
      </c>
      <c r="AE13" s="60"/>
      <c r="AF13" s="61">
        <f>('13'!AE13/24)*0.454</f>
        <v>0</v>
      </c>
      <c r="AG13" s="60"/>
      <c r="AH13" s="61">
        <f>('13'!AG13/24)*0.454</f>
        <v>0</v>
      </c>
      <c r="AI13" s="60">
        <v>5000.0</v>
      </c>
      <c r="AJ13" s="61">
        <f>('13'!AI13/24)*0.454</f>
        <v>94.58333333</v>
      </c>
      <c r="AK13" s="62"/>
      <c r="AL13" s="63">
        <f>('13'!AK13/24)*0.454</f>
        <v>0</v>
      </c>
      <c r="AM13" s="62"/>
      <c r="AN13" s="63">
        <f>('13'!AM13/24)*0.454</f>
        <v>0</v>
      </c>
      <c r="AO13" s="62"/>
      <c r="AP13" s="63">
        <f>('13'!AO13/24)*0.454</f>
        <v>0</v>
      </c>
    </row>
    <row r="14" ht="18.75" customHeight="1">
      <c r="A14" s="69">
        <v>0.583333333333333</v>
      </c>
      <c r="B14" s="76">
        <v>81.0</v>
      </c>
      <c r="C14" s="76">
        <v>15.0</v>
      </c>
      <c r="D14" s="76">
        <v>14.0</v>
      </c>
      <c r="E14" s="76">
        <v>7.0</v>
      </c>
      <c r="F14" s="76">
        <v>13.0</v>
      </c>
      <c r="G14" s="76">
        <v>1.2</v>
      </c>
      <c r="H14" s="76">
        <v>1.0</v>
      </c>
      <c r="I14" s="76">
        <v>0.7</v>
      </c>
      <c r="J14" s="76">
        <v>0.7</v>
      </c>
      <c r="K14" s="76">
        <v>6.9</v>
      </c>
      <c r="L14" s="76">
        <v>6.5</v>
      </c>
      <c r="M14" s="76">
        <v>6.5</v>
      </c>
      <c r="N14" s="76">
        <v>6.2</v>
      </c>
      <c r="O14" s="76">
        <v>3.6</v>
      </c>
      <c r="P14" s="76"/>
      <c r="Q14" s="310"/>
      <c r="R14" s="77">
        <f>'13'!Z20</f>
        <v>1210</v>
      </c>
      <c r="S14" s="76">
        <f>'13'!AB20</f>
        <v>67.02065634</v>
      </c>
      <c r="T14" s="77">
        <f>'13'!Y20</f>
        <v>3335</v>
      </c>
      <c r="U14" s="73" t="str">
        <f>IF('13'!AA20=1,'13'!AR6,'13'!AR8)</f>
        <v>S.A.L</v>
      </c>
      <c r="V14" s="43"/>
      <c r="W14" s="27"/>
      <c r="X14" s="54">
        <v>0.333333333333333</v>
      </c>
      <c r="Y14" s="125">
        <v>3270.0</v>
      </c>
      <c r="Z14" s="125">
        <v>1210.0</v>
      </c>
      <c r="AA14" s="56">
        <v>1.0</v>
      </c>
      <c r="AB14" s="58">
        <f>IF('13'!AA14=1,(('13'!Z14*'13'!$AS$6*'13'!$AT$6)/('13'!Y14*0.0036)),IF('13'!AA14=2,(('13'!Z14*'13'!$AS$8*'13'!$AT$8)/('13'!Y14*0.0036))))</f>
        <v>68.35287122</v>
      </c>
      <c r="AC14" s="58"/>
      <c r="AD14" s="59">
        <f>(('13'!AC14*'13'!$Q$10*1000000))/('13'!Y14*3600)</f>
        <v>0</v>
      </c>
      <c r="AE14" s="60"/>
      <c r="AF14" s="61">
        <f>('13'!AE14/24)*0.454</f>
        <v>0</v>
      </c>
      <c r="AG14" s="60"/>
      <c r="AH14" s="61">
        <f>('13'!AG14/24)*0.454</f>
        <v>0</v>
      </c>
      <c r="AI14" s="60">
        <v>5000.0</v>
      </c>
      <c r="AJ14" s="61">
        <f>('13'!AI14/24)*0.454</f>
        <v>94.58333333</v>
      </c>
      <c r="AK14" s="62"/>
      <c r="AL14" s="63">
        <f>('13'!AK14/24)*0.454</f>
        <v>0</v>
      </c>
      <c r="AM14" s="62"/>
      <c r="AN14" s="63">
        <f>('13'!AM14/24)*0.454</f>
        <v>0</v>
      </c>
      <c r="AO14" s="62"/>
      <c r="AP14" s="63">
        <f>('13'!AO14/24)*0.454</f>
        <v>0</v>
      </c>
    </row>
    <row r="15" ht="18.75" customHeight="1">
      <c r="A15" s="69">
        <v>0.666666666666667</v>
      </c>
      <c r="B15" s="76">
        <v>86.0</v>
      </c>
      <c r="C15" s="76">
        <v>15.0</v>
      </c>
      <c r="D15" s="76">
        <v>14.0</v>
      </c>
      <c r="E15" s="76">
        <v>7.0</v>
      </c>
      <c r="F15" s="76">
        <v>14.0</v>
      </c>
      <c r="G15" s="76">
        <v>1.2</v>
      </c>
      <c r="H15" s="76">
        <v>1.0</v>
      </c>
      <c r="I15" s="76">
        <v>0.6</v>
      </c>
      <c r="J15" s="76">
        <v>0.7</v>
      </c>
      <c r="K15" s="76">
        <v>6.9</v>
      </c>
      <c r="L15" s="76">
        <v>6.5</v>
      </c>
      <c r="M15" s="76">
        <v>6.5</v>
      </c>
      <c r="N15" s="76">
        <v>6.2</v>
      </c>
      <c r="O15" s="76">
        <v>3.6</v>
      </c>
      <c r="P15" s="76"/>
      <c r="Q15" s="310"/>
      <c r="R15" s="77">
        <f>'13'!Z22</f>
        <v>1210</v>
      </c>
      <c r="S15" s="76">
        <f>'13'!AB22</f>
        <v>67.66996333</v>
      </c>
      <c r="T15" s="77">
        <f>'13'!Y22</f>
        <v>3303</v>
      </c>
      <c r="U15" s="73" t="str">
        <f>IF('13'!AA22=1,'13'!AR6,'13'!AR8)</f>
        <v>S.A.L</v>
      </c>
      <c r="V15" s="43"/>
      <c r="W15" s="27"/>
      <c r="X15" s="54">
        <v>0.375</v>
      </c>
      <c r="Y15" s="125">
        <v>3291.0</v>
      </c>
      <c r="Z15" s="125">
        <v>1210.0</v>
      </c>
      <c r="AA15" s="56">
        <v>1.0</v>
      </c>
      <c r="AB15" s="58">
        <f>IF('13'!AA15=1,(('13'!Z15*'13'!$AS$6*'13'!$AT$6)/('13'!Y15*0.0036)),IF('13'!AA15=2,(('13'!Z15*'13'!$AS$8*'13'!$AT$8)/('13'!Y15*0.0036))))</f>
        <v>67.91670887</v>
      </c>
      <c r="AC15" s="58"/>
      <c r="AD15" s="59">
        <f>(('13'!AC15*'13'!$Q$10*1000000))/('13'!Y15*3600)</f>
        <v>0</v>
      </c>
      <c r="AE15" s="60"/>
      <c r="AF15" s="61">
        <f>('13'!AE15/24)*0.454</f>
        <v>0</v>
      </c>
      <c r="AG15" s="60"/>
      <c r="AH15" s="61">
        <f>('13'!AG15/24)*0.454</f>
        <v>0</v>
      </c>
      <c r="AI15" s="60">
        <v>5000.0</v>
      </c>
      <c r="AJ15" s="61">
        <f>('13'!AI15/24)*0.454</f>
        <v>94.58333333</v>
      </c>
      <c r="AK15" s="62"/>
      <c r="AL15" s="63">
        <f>('13'!AK15/24)*0.454</f>
        <v>0</v>
      </c>
      <c r="AM15" s="62"/>
      <c r="AN15" s="63">
        <f>('13'!AM15/24)*0.454</f>
        <v>0</v>
      </c>
      <c r="AO15" s="62"/>
      <c r="AP15" s="63">
        <f>('13'!AO15/24)*0.454</f>
        <v>0</v>
      </c>
    </row>
    <row r="16" ht="18.75" customHeight="1">
      <c r="A16" s="69">
        <v>0.75</v>
      </c>
      <c r="B16" s="76">
        <v>91.0</v>
      </c>
      <c r="C16" s="76">
        <v>15.0</v>
      </c>
      <c r="D16" s="76">
        <v>14.0</v>
      </c>
      <c r="E16" s="76">
        <v>7.0</v>
      </c>
      <c r="F16" s="76">
        <v>15.0</v>
      </c>
      <c r="G16" s="76">
        <v>1.3</v>
      </c>
      <c r="H16" s="76">
        <v>0.9</v>
      </c>
      <c r="I16" s="76">
        <v>0.6</v>
      </c>
      <c r="J16" s="76">
        <v>0.7</v>
      </c>
      <c r="K16" s="76">
        <v>6.9</v>
      </c>
      <c r="L16" s="76">
        <v>6.5</v>
      </c>
      <c r="M16" s="76">
        <v>6.5</v>
      </c>
      <c r="N16" s="76">
        <v>6.2</v>
      </c>
      <c r="O16" s="76">
        <v>3.6</v>
      </c>
      <c r="P16" s="76"/>
      <c r="Q16" s="310"/>
      <c r="R16" s="77">
        <f>'13'!Z24</f>
        <v>1210</v>
      </c>
      <c r="S16" s="76">
        <f>'13'!AB24</f>
        <v>67.71096301</v>
      </c>
      <c r="T16" s="77">
        <f>'13'!Y24</f>
        <v>3301</v>
      </c>
      <c r="U16" s="73" t="str">
        <f>IF('13'!AA24=1,'13'!AR6,'13'!AR8)</f>
        <v>S.A.L</v>
      </c>
      <c r="V16" s="16"/>
      <c r="W16" s="18"/>
      <c r="X16" s="54">
        <v>0.416666666666667</v>
      </c>
      <c r="Y16" s="125">
        <v>3303.0</v>
      </c>
      <c r="Z16" s="125">
        <v>1210.0</v>
      </c>
      <c r="AA16" s="56">
        <v>1.0</v>
      </c>
      <c r="AB16" s="58">
        <f>IF('13'!AA16=1,(('13'!Z16*'13'!$AS$6*'13'!$AT$6)/('13'!Y16*0.0036)),IF('13'!AA16=2,(('13'!Z16*'13'!$AS$8*'13'!$AT$8)/('13'!Y16*0.0036))))</f>
        <v>67.66996333</v>
      </c>
      <c r="AC16" s="58"/>
      <c r="AD16" s="59">
        <f>(('13'!AC16*'13'!$Q$10*1000000))/('13'!Y16*3600)</f>
        <v>0</v>
      </c>
      <c r="AE16" s="60"/>
      <c r="AF16" s="61">
        <f>('13'!AE16/24)*0.454</f>
        <v>0</v>
      </c>
      <c r="AG16" s="60"/>
      <c r="AH16" s="61">
        <f>('13'!AG16/24)*0.454</f>
        <v>0</v>
      </c>
      <c r="AI16" s="60">
        <v>5000.0</v>
      </c>
      <c r="AJ16" s="61">
        <f>('13'!AI16/24)*0.454</f>
        <v>94.58333333</v>
      </c>
      <c r="AK16" s="62"/>
      <c r="AL16" s="63">
        <f>('13'!AK16/24)*0.454</f>
        <v>0</v>
      </c>
      <c r="AM16" s="62"/>
      <c r="AN16" s="63">
        <f>('13'!AM16/24)*0.454</f>
        <v>0</v>
      </c>
      <c r="AO16" s="62"/>
      <c r="AP16" s="63">
        <f>('13'!AO16/24)*0.454</f>
        <v>0</v>
      </c>
    </row>
    <row r="17" ht="18.75" customHeight="1">
      <c r="A17" s="69">
        <v>0.833333333333333</v>
      </c>
      <c r="B17" s="76">
        <v>88.0</v>
      </c>
      <c r="C17" s="76">
        <v>15.0</v>
      </c>
      <c r="D17" s="76">
        <v>13.0</v>
      </c>
      <c r="E17" s="76">
        <v>7.0</v>
      </c>
      <c r="F17" s="76">
        <v>15.0</v>
      </c>
      <c r="G17" s="76">
        <v>1.2</v>
      </c>
      <c r="H17" s="76">
        <v>0.8</v>
      </c>
      <c r="I17" s="76">
        <v>0.6</v>
      </c>
      <c r="J17" s="76">
        <v>0.6</v>
      </c>
      <c r="K17" s="76">
        <v>6.9</v>
      </c>
      <c r="L17" s="76">
        <v>6.5</v>
      </c>
      <c r="M17" s="76">
        <v>6.5</v>
      </c>
      <c r="N17" s="76">
        <v>6.2</v>
      </c>
      <c r="O17" s="76">
        <v>3.6</v>
      </c>
      <c r="P17" s="76"/>
      <c r="Q17" s="310"/>
      <c r="R17" s="77">
        <f>'13'!Z26</f>
        <v>1210</v>
      </c>
      <c r="S17" s="76">
        <f>'13'!AB26</f>
        <v>67.69045696</v>
      </c>
      <c r="T17" s="77">
        <f>'13'!Y26</f>
        <v>3302</v>
      </c>
      <c r="U17" s="73" t="str">
        <f>IF('13'!AA26=1,'13'!AR6,'13'!AR8)</f>
        <v>S.A.L</v>
      </c>
      <c r="V17" s="90" t="str">
        <f>ESCALA!$C$15</f>
        <v/>
      </c>
      <c r="W17" s="89"/>
      <c r="X17" s="54">
        <v>0.458333333333333</v>
      </c>
      <c r="Y17" s="125">
        <v>3335.0</v>
      </c>
      <c r="Z17" s="125">
        <v>1210.0</v>
      </c>
      <c r="AA17" s="56">
        <v>1.0</v>
      </c>
      <c r="AB17" s="58">
        <f>IF('13'!AA17=1,(('13'!Z17*'13'!$AS$6*'13'!$AT$6)/('13'!Y17*0.0036)),IF('13'!AA17=2,(('13'!Z17*'13'!$AS$8*'13'!$AT$8)/('13'!Y17*0.0036))))</f>
        <v>67.02065634</v>
      </c>
      <c r="AC17" s="58"/>
      <c r="AD17" s="59">
        <f>(('13'!AC17*'13'!$Q$10*1000000))/('13'!Y17*3600)</f>
        <v>0</v>
      </c>
      <c r="AE17" s="60"/>
      <c r="AF17" s="61">
        <f>('13'!AE17/24)*0.454</f>
        <v>0</v>
      </c>
      <c r="AG17" s="60"/>
      <c r="AH17" s="61">
        <f>('13'!AG17/24)*0.454</f>
        <v>0</v>
      </c>
      <c r="AI17" s="60">
        <v>5000.0</v>
      </c>
      <c r="AJ17" s="61">
        <f>('13'!AI17/24)*0.454</f>
        <v>94.58333333</v>
      </c>
      <c r="AK17" s="62"/>
      <c r="AL17" s="63">
        <f>('13'!AK17/24)*0.454</f>
        <v>0</v>
      </c>
      <c r="AM17" s="62"/>
      <c r="AN17" s="63">
        <f>('13'!AM17/24)*0.454</f>
        <v>0</v>
      </c>
      <c r="AO17" s="62"/>
      <c r="AP17" s="63">
        <f>('13'!AO17/24)*0.454</f>
        <v>0</v>
      </c>
    </row>
    <row r="18" ht="18.75" customHeight="1">
      <c r="A18" s="69">
        <v>0.916666666666667</v>
      </c>
      <c r="B18" s="76">
        <v>86.0</v>
      </c>
      <c r="C18" s="76">
        <v>15.0</v>
      </c>
      <c r="D18" s="76">
        <v>13.0</v>
      </c>
      <c r="E18" s="76">
        <v>7.0</v>
      </c>
      <c r="F18" s="76">
        <v>14.0</v>
      </c>
      <c r="G18" s="76">
        <v>1.2</v>
      </c>
      <c r="H18" s="76">
        <v>0.7</v>
      </c>
      <c r="I18" s="76">
        <v>0.6</v>
      </c>
      <c r="J18" s="76">
        <v>0.6</v>
      </c>
      <c r="K18" s="76">
        <v>6.9</v>
      </c>
      <c r="L18" s="76">
        <v>6.5</v>
      </c>
      <c r="M18" s="76">
        <v>6.5</v>
      </c>
      <c r="N18" s="76">
        <v>6.2</v>
      </c>
      <c r="O18" s="76">
        <v>3.6</v>
      </c>
      <c r="P18" s="76"/>
      <c r="Q18" s="310"/>
      <c r="R18" s="77">
        <f>'13'!Z28</f>
        <v>1210</v>
      </c>
      <c r="S18" s="76">
        <f>'13'!AB28</f>
        <v>68.1237089</v>
      </c>
      <c r="T18" s="77">
        <f>'13'!Y28</f>
        <v>3281</v>
      </c>
      <c r="U18" s="73" t="str">
        <f>IF('13'!AA28=1,'13'!AR6,'13'!AR8)</f>
        <v>S.A.L</v>
      </c>
      <c r="V18" s="16"/>
      <c r="W18" s="18"/>
      <c r="X18" s="54">
        <v>0.5</v>
      </c>
      <c r="Y18" s="125">
        <v>3295.0</v>
      </c>
      <c r="Z18" s="125">
        <v>1210.0</v>
      </c>
      <c r="AA18" s="56">
        <v>1.0</v>
      </c>
      <c r="AB18" s="58">
        <f>IF('13'!AA18=1,(('13'!Z18*'13'!$AS$6*'13'!$AT$6)/('13'!Y18*0.0036)),IF('13'!AA18=2,(('13'!Z18*'13'!$AS$8*'13'!$AT$8)/('13'!Y18*0.0036))))</f>
        <v>67.83426066</v>
      </c>
      <c r="AC18" s="58"/>
      <c r="AD18" s="59">
        <f>(('13'!AC18*'13'!$Q$10*1000000))/('13'!Y18*3600)</f>
        <v>0</v>
      </c>
      <c r="AE18" s="60"/>
      <c r="AF18" s="61">
        <f>('13'!AE18/24)*0.454</f>
        <v>0</v>
      </c>
      <c r="AG18" s="60"/>
      <c r="AH18" s="61">
        <f>('13'!AG18/24)*0.454</f>
        <v>0</v>
      </c>
      <c r="AI18" s="60">
        <v>5000.0</v>
      </c>
      <c r="AJ18" s="61">
        <f>('13'!AI18/24)*0.454</f>
        <v>94.58333333</v>
      </c>
      <c r="AK18" s="62"/>
      <c r="AL18" s="63">
        <f>('13'!AK18/24)*0.454</f>
        <v>0</v>
      </c>
      <c r="AM18" s="62"/>
      <c r="AN18" s="63">
        <f>('13'!AM18/24)*0.454</f>
        <v>0</v>
      </c>
      <c r="AO18" s="62"/>
      <c r="AP18" s="63">
        <f>('13'!AO18/24)*0.454</f>
        <v>0</v>
      </c>
    </row>
    <row r="19" ht="19.5" customHeight="1">
      <c r="A19" s="51" t="s">
        <v>52</v>
      </c>
      <c r="B19" s="91">
        <f t="array" ref="B19">IF('13'!B7:B18&gt;0.01,AVERAGE('13'!B7:B18),"")</f>
        <v>85.91666667</v>
      </c>
      <c r="C19" s="92">
        <f t="array" ref="C19">IF('13'!C7:C18&gt;0.01,AVERAGE('13'!C7:C18),"")</f>
        <v>14.83333333</v>
      </c>
      <c r="D19" s="92">
        <f t="array" ref="D19">IF('13'!D7:D18&gt;0.01,AVERAGE('13'!D7:D18),"")</f>
        <v>13.33333333</v>
      </c>
      <c r="E19" s="92">
        <f t="array" ref="E19">IF('13'!E7:E18&gt;0.01,AVERAGE('13'!E7:E18),"")</f>
        <v>6.25</v>
      </c>
      <c r="F19" s="92">
        <f t="array" ref="F19">IF('13'!F7:F18&gt;0.01,AVERAGE('13'!F7:F18),"")</f>
        <v>15.08333333</v>
      </c>
      <c r="G19" s="92">
        <f t="array" ref="G19">IF('13'!G7:G18&gt;0.01,AVERAGE('13'!G7:G18),"")</f>
        <v>1.133333333</v>
      </c>
      <c r="H19" s="92">
        <f t="array" ref="H19">IF('13'!H7:H18&gt;0.01,AVERAGE('13'!H7:H18),"")</f>
        <v>0.9666666667</v>
      </c>
      <c r="I19" s="92">
        <f t="array" ref="I19">IF('13'!I7:I18&gt;0.01,AVERAGE('13'!I7:I18),"")</f>
        <v>0.5916666667</v>
      </c>
      <c r="J19" s="92">
        <f t="array" ref="J19">IF('13'!J7:J18&gt;0.01,AVERAGE('13'!J7:J18),"")</f>
        <v>0.5608333333</v>
      </c>
      <c r="K19" s="92">
        <f t="array" ref="K19">IF('13'!K7:K18&gt;0.01,AVERAGE('13'!K7:K18),"")</f>
        <v>6.9</v>
      </c>
      <c r="L19" s="421">
        <f t="array" ref="L19">IF('13'!L7:L18&gt;0.01,AVERAGE('13'!L7:L18),"")</f>
        <v>6.5</v>
      </c>
      <c r="M19" s="92">
        <f t="array" ref="M19">IF('13'!M7:M18&gt;0.01,AVERAGE('13'!M7:M18),"")</f>
        <v>6.5</v>
      </c>
      <c r="N19" s="92">
        <f t="array" ref="N19">IF('13'!N7:N18&gt;0.01,AVERAGE('13'!N7:N18),"")</f>
        <v>6.2</v>
      </c>
      <c r="O19" s="92">
        <f t="array" ref="O19">IF('13'!O7:O18&gt;0.01,AVERAGE('13'!O7:O18),"")</f>
        <v>3.6</v>
      </c>
      <c r="P19" s="93" t="str">
        <f t="array" ref="P19">IF('13'!P7:P18&gt;0.01,AVERAGE('13'!P7:P18),"")</f>
        <v/>
      </c>
      <c r="Q19" s="94" t="str">
        <f t="array" ref="Q19">IF('13'!Q7:Q18&gt;0.01,AVERAGE('13'!Q7:Q18),"")</f>
        <v/>
      </c>
      <c r="R19" s="94">
        <f t="array" ref="R19">IF('13'!R7:R18&gt;0.01,AVERAGE('13'!R7:R18),"")</f>
        <v>1210</v>
      </c>
      <c r="S19" s="94">
        <f t="array" ref="S19">IF('13'!S7:S18&gt;0.01,AVERAGE('13'!S7:S18),"")</f>
        <v>67.70094706</v>
      </c>
      <c r="T19" s="95"/>
      <c r="U19" s="96"/>
      <c r="V19" s="97"/>
      <c r="W19" s="97"/>
      <c r="X19" s="54">
        <v>0.541666666666667</v>
      </c>
      <c r="Y19" s="125">
        <v>3324.0</v>
      </c>
      <c r="Z19" s="125">
        <v>1210.0</v>
      </c>
      <c r="AA19" s="56">
        <v>1.0</v>
      </c>
      <c r="AB19" s="58">
        <f>IF('13'!AA19=1,(('13'!Z19*'13'!$AS$6*'13'!$AT$6)/('13'!Y19*0.0036)),IF('13'!AA19=2,(('13'!Z19*'13'!$AS$8*'13'!$AT$8)/('13'!Y19*0.0036))))</f>
        <v>67.24244551</v>
      </c>
      <c r="AC19" s="58"/>
      <c r="AD19" s="59">
        <f>(('13'!AC19*'13'!$Q$10*1000000))/('13'!Y19*3600)</f>
        <v>0</v>
      </c>
      <c r="AE19" s="60"/>
      <c r="AF19" s="61">
        <f>('13'!AE19/24)*0.454</f>
        <v>0</v>
      </c>
      <c r="AG19" s="60"/>
      <c r="AH19" s="61">
        <f>('13'!AG19/24)*0.454</f>
        <v>0</v>
      </c>
      <c r="AI19" s="60">
        <v>5000.0</v>
      </c>
      <c r="AJ19" s="61">
        <f>('13'!AI19/24)*0.454</f>
        <v>94.58333333</v>
      </c>
      <c r="AK19" s="62"/>
      <c r="AL19" s="63">
        <f>('13'!AK19/24)*0.454</f>
        <v>0</v>
      </c>
      <c r="AM19" s="62"/>
      <c r="AN19" s="63">
        <f>('13'!AM19/24)*0.454</f>
        <v>0</v>
      </c>
      <c r="AO19" s="62"/>
      <c r="AP19" s="63">
        <f>('13'!AO19/24)*0.454</f>
        <v>0</v>
      </c>
    </row>
    <row r="20" ht="18.75" customHeight="1">
      <c r="A20" s="51" t="s">
        <v>53</v>
      </c>
      <c r="B20" s="91">
        <f>MAX('13'!B7:B18)</f>
        <v>97</v>
      </c>
      <c r="C20" s="92">
        <f>MAX('13'!C7:C18)</f>
        <v>15</v>
      </c>
      <c r="D20" s="92">
        <f>MAX('13'!D7:D18)</f>
        <v>14</v>
      </c>
      <c r="E20" s="92">
        <f>MAX('13'!E7:E18)</f>
        <v>7</v>
      </c>
      <c r="F20" s="92">
        <f>MAX('13'!F7:F18)</f>
        <v>20</v>
      </c>
      <c r="G20" s="92">
        <f>MAX('13'!G7:G18)</f>
        <v>1.3</v>
      </c>
      <c r="H20" s="92">
        <f>MAX('13'!H7:H18)</f>
        <v>1.1</v>
      </c>
      <c r="I20" s="92">
        <f>MAX('13'!I7:I18)</f>
        <v>0.7</v>
      </c>
      <c r="J20" s="92">
        <f>MAX('13'!J7:J18)</f>
        <v>0.7</v>
      </c>
      <c r="K20" s="92">
        <f>MAX('13'!K7:K18)</f>
        <v>6.9</v>
      </c>
      <c r="L20" s="92">
        <f>MAX('13'!L7:L18)</f>
        <v>6.5</v>
      </c>
      <c r="M20" s="92">
        <f>MAX('13'!M7:M18)</f>
        <v>6.5</v>
      </c>
      <c r="N20" s="92">
        <f>MAX('13'!N7:N18)</f>
        <v>6.2</v>
      </c>
      <c r="O20" s="98">
        <f>MAX('13'!O7:O18)</f>
        <v>3.6</v>
      </c>
      <c r="P20" s="98">
        <f>MAX('13'!P7:P18)</f>
        <v>0</v>
      </c>
      <c r="Q20" s="98">
        <f>MAX('13'!Q7:Q18)</f>
        <v>0</v>
      </c>
      <c r="R20" s="98">
        <f>MAX('13'!R7:R18)</f>
        <v>1210</v>
      </c>
      <c r="S20" s="98">
        <f>MAX('13'!S7:S18)</f>
        <v>68.35287122</v>
      </c>
      <c r="T20" s="99"/>
      <c r="U20" s="21"/>
      <c r="X20" s="54">
        <v>0.583333333333333</v>
      </c>
      <c r="Y20" s="125">
        <v>3335.0</v>
      </c>
      <c r="Z20" s="125">
        <v>1210.0</v>
      </c>
      <c r="AA20" s="56">
        <v>1.0</v>
      </c>
      <c r="AB20" s="58">
        <f>IF('13'!AA20=1,(('13'!Z20*'13'!$AS$6*'13'!$AT$6)/('13'!Y20*0.0036)),IF('13'!AA20=2,(('13'!Z20*'13'!$AS$8*'13'!$AT$8)/('13'!Y20*0.0036))))</f>
        <v>67.02065634</v>
      </c>
      <c r="AC20" s="58"/>
      <c r="AD20" s="59">
        <f>(('13'!AC20*'13'!$Q$10*1000000))/('13'!Y20*3600)</f>
        <v>0</v>
      </c>
      <c r="AE20" s="60"/>
      <c r="AF20" s="61">
        <f>('13'!AE20/24)*0.454</f>
        <v>0</v>
      </c>
      <c r="AG20" s="60"/>
      <c r="AH20" s="61">
        <f>('13'!AG20/24)*0.454</f>
        <v>0</v>
      </c>
      <c r="AI20" s="60">
        <v>5000.0</v>
      </c>
      <c r="AJ20" s="61">
        <f>('13'!AI20/24)*0.454</f>
        <v>94.58333333</v>
      </c>
      <c r="AK20" s="62"/>
      <c r="AL20" s="63">
        <f>('13'!AK20/24)*0.454</f>
        <v>0</v>
      </c>
      <c r="AM20" s="62"/>
      <c r="AN20" s="63">
        <f>('13'!AM20/24)*0.454</f>
        <v>0</v>
      </c>
      <c r="AO20" s="62"/>
      <c r="AP20" s="63">
        <f>('13'!AO20/24)*0.454</f>
        <v>0</v>
      </c>
    </row>
    <row r="21" ht="18.75" customHeight="1">
      <c r="A21" s="51" t="s">
        <v>54</v>
      </c>
      <c r="B21" s="91">
        <f>MIN('13'!B7:B18)</f>
        <v>80</v>
      </c>
      <c r="C21" s="92">
        <f>MIN('13'!C7:C18)</f>
        <v>14</v>
      </c>
      <c r="D21" s="92">
        <f>MIN('13'!D7:D18)</f>
        <v>13</v>
      </c>
      <c r="E21" s="92">
        <f>MIN('13'!E7:E18)</f>
        <v>5</v>
      </c>
      <c r="F21" s="92">
        <f>MIN('13'!F7:F18)</f>
        <v>13</v>
      </c>
      <c r="G21" s="100">
        <f>MIN('13'!G7:G18)</f>
        <v>0.9</v>
      </c>
      <c r="H21" s="100">
        <f>MIN('13'!H7:H18)</f>
        <v>0.7</v>
      </c>
      <c r="I21" s="100">
        <f>MIN('13'!I7:I18)</f>
        <v>0.5</v>
      </c>
      <c r="J21" s="100">
        <f>MIN('13'!J7:J18)</f>
        <v>0.4</v>
      </c>
      <c r="K21" s="100">
        <f>MIN('13'!K7:K18)</f>
        <v>6.9</v>
      </c>
      <c r="L21" s="100">
        <f>MIN('13'!L7:L18)</f>
        <v>6.5</v>
      </c>
      <c r="M21" s="100">
        <f>MIN('13'!M7:M18)</f>
        <v>6.5</v>
      </c>
      <c r="N21" s="100">
        <f>MIN('13'!N7:N18)</f>
        <v>6.2</v>
      </c>
      <c r="O21" s="101">
        <f>MIN('13'!O7:O18)</f>
        <v>3.6</v>
      </c>
      <c r="P21" s="101">
        <f>MIN('13'!P7:P18)</f>
        <v>0</v>
      </c>
      <c r="Q21" s="101">
        <f>MIN('13'!Q7:Q18)</f>
        <v>0</v>
      </c>
      <c r="R21" s="101">
        <f>MIN('13'!R7:R18)</f>
        <v>1210</v>
      </c>
      <c r="S21" s="101">
        <f>MIN('13'!S7:S18)</f>
        <v>67.02065634</v>
      </c>
      <c r="T21" s="99"/>
      <c r="U21" s="21"/>
      <c r="X21" s="54">
        <v>0.625</v>
      </c>
      <c r="Y21" s="125">
        <v>3315.0</v>
      </c>
      <c r="Z21" s="125">
        <v>1210.0</v>
      </c>
      <c r="AA21" s="56">
        <v>1.0</v>
      </c>
      <c r="AB21" s="58">
        <f>IF('13'!AA21=1,(('13'!Z21*'13'!$AS$6*'13'!$AT$6)/('13'!Y21*0.0036)),IF('13'!AA21=2,(('13'!Z21*'13'!$AS$8*'13'!$AT$8)/('13'!Y21*0.0036))))</f>
        <v>67.42500419</v>
      </c>
      <c r="AC21" s="58"/>
      <c r="AD21" s="59">
        <f>(('13'!AC21*'13'!$Q$10*1000000))/('13'!Y21*3600)</f>
        <v>0</v>
      </c>
      <c r="AE21" s="60"/>
      <c r="AF21" s="61">
        <f>('13'!AE21/24)*0.454</f>
        <v>0</v>
      </c>
      <c r="AG21" s="60"/>
      <c r="AH21" s="61">
        <f>('13'!AG21/24)*0.454</f>
        <v>0</v>
      </c>
      <c r="AI21" s="60">
        <v>5000.0</v>
      </c>
      <c r="AJ21" s="61">
        <f>('13'!AI21/24)*0.454</f>
        <v>94.58333333</v>
      </c>
      <c r="AK21" s="62"/>
      <c r="AL21" s="63">
        <f>('13'!AK21/24)*0.454</f>
        <v>0</v>
      </c>
      <c r="AM21" s="62"/>
      <c r="AN21" s="63">
        <f>('13'!AM21/24)*0.454</f>
        <v>0</v>
      </c>
      <c r="AO21" s="62"/>
      <c r="AP21" s="63">
        <f>('13'!AO21/24)*0.454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0.666666666666667</v>
      </c>
      <c r="Y22" s="125">
        <v>3303.0</v>
      </c>
      <c r="Z22" s="125">
        <v>1210.0</v>
      </c>
      <c r="AA22" s="56">
        <v>1.0</v>
      </c>
      <c r="AB22" s="58">
        <f>IF('13'!AA22=1,(('13'!Z22*'13'!$AS$6*'13'!$AT$6)/('13'!Y22*0.0036)),IF('13'!AA22=2,(('13'!Z22*'13'!$AS$8*'13'!$AT$8)/('13'!Y22*0.0036))))</f>
        <v>67.66996333</v>
      </c>
      <c r="AC22" s="58"/>
      <c r="AD22" s="59">
        <f>(('13'!AC22*'13'!$Q$10*1000000))/('13'!Y22*3600)</f>
        <v>0</v>
      </c>
      <c r="AE22" s="60"/>
      <c r="AF22" s="61">
        <f>('13'!AE22/24)*0.454</f>
        <v>0</v>
      </c>
      <c r="AG22" s="60"/>
      <c r="AH22" s="61">
        <f>('13'!AG22/24)*0.454</f>
        <v>0</v>
      </c>
      <c r="AI22" s="60">
        <v>5000.0</v>
      </c>
      <c r="AJ22" s="61">
        <f>('13'!AI22/24)*0.454</f>
        <v>94.58333333</v>
      </c>
      <c r="AK22" s="62"/>
      <c r="AL22" s="63">
        <f>('13'!AK22/24)*0.454</f>
        <v>0</v>
      </c>
      <c r="AM22" s="62"/>
      <c r="AN22" s="63">
        <f>('13'!AM22/24)*0.454</f>
        <v>0</v>
      </c>
      <c r="AO22" s="62"/>
      <c r="AP22" s="63">
        <f>('13'!AO22/24)*0.454</f>
        <v>0</v>
      </c>
    </row>
    <row r="23" ht="19.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0.708333333333333</v>
      </c>
      <c r="Y23" s="125">
        <v>3303.0</v>
      </c>
      <c r="Z23" s="125">
        <v>1210.0</v>
      </c>
      <c r="AA23" s="56">
        <v>1.0</v>
      </c>
      <c r="AB23" s="58">
        <f>IF('13'!AA23=1,(('13'!Z23*'13'!$AS$6*'13'!$AT$6)/('13'!Y23*0.0036)),IF('13'!AA23=2,(('13'!Z23*'13'!$AS$8*'13'!$AT$8)/('13'!Y23*0.0036))))</f>
        <v>67.66996333</v>
      </c>
      <c r="AC23" s="58"/>
      <c r="AD23" s="59">
        <f>(('13'!AC23*'13'!$Q$10*1000000))/('13'!Y23*3600)</f>
        <v>0</v>
      </c>
      <c r="AE23" s="60"/>
      <c r="AF23" s="61">
        <f>('13'!AE23/24)*0.454</f>
        <v>0</v>
      </c>
      <c r="AG23" s="60"/>
      <c r="AH23" s="61">
        <f>('13'!AG23/24)*0.454</f>
        <v>0</v>
      </c>
      <c r="AI23" s="60">
        <v>5000.0</v>
      </c>
      <c r="AJ23" s="61">
        <f>('13'!AI23/24)*0.454</f>
        <v>94.58333333</v>
      </c>
      <c r="AK23" s="62"/>
      <c r="AL23" s="63">
        <f>('13'!AK23/24)*0.454</f>
        <v>0</v>
      </c>
      <c r="AM23" s="62"/>
      <c r="AN23" s="63">
        <f>('13'!AM23/24)*0.454</f>
        <v>0</v>
      </c>
      <c r="AO23" s="62"/>
      <c r="AP23" s="63">
        <f>('13'!AO23/24)*0.454</f>
        <v>0</v>
      </c>
    </row>
    <row r="24" ht="18.7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0.75</v>
      </c>
      <c r="Y24" s="125">
        <v>3301.0</v>
      </c>
      <c r="Z24" s="125">
        <v>1210.0</v>
      </c>
      <c r="AA24" s="56">
        <v>1.0</v>
      </c>
      <c r="AB24" s="58">
        <f>IF('13'!AA24=1,(('13'!Z24*'13'!$AS$6*'13'!$AT$6)/('13'!Y24*0.0036)),IF('13'!AA24=2,(('13'!Z24*'13'!$AS$8*'13'!$AT$8)/('13'!Y24*0.0036))))</f>
        <v>67.71096301</v>
      </c>
      <c r="AC24" s="58"/>
      <c r="AD24" s="59">
        <f>(('13'!AC24*'13'!$Q$10*1000000))/('13'!Y24*3600)</f>
        <v>0</v>
      </c>
      <c r="AE24" s="60"/>
      <c r="AF24" s="61">
        <f>('13'!AE24/24)*0.454</f>
        <v>0</v>
      </c>
      <c r="AG24" s="60"/>
      <c r="AH24" s="61">
        <f>('13'!AG24/24)*0.454</f>
        <v>0</v>
      </c>
      <c r="AI24" s="60">
        <v>5000.0</v>
      </c>
      <c r="AJ24" s="61">
        <f>('13'!AI24/24)*0.454</f>
        <v>94.58333333</v>
      </c>
      <c r="AK24" s="62"/>
      <c r="AL24" s="63">
        <f>('13'!AK24/24)*0.454</f>
        <v>0</v>
      </c>
      <c r="AM24" s="62"/>
      <c r="AN24" s="63">
        <f>('13'!AM24/24)*0.454</f>
        <v>0</v>
      </c>
      <c r="AO24" s="62"/>
      <c r="AP24" s="63">
        <f>('13'!AO24/24)*0.454</f>
        <v>0</v>
      </c>
    </row>
    <row r="25" ht="19.5" customHeight="1">
      <c r="A25" s="111">
        <v>0.416666666666667</v>
      </c>
      <c r="B25" s="313">
        <v>0.48</v>
      </c>
      <c r="C25" s="313">
        <v>0.57</v>
      </c>
      <c r="D25" s="313">
        <v>0.46</v>
      </c>
      <c r="E25" s="313">
        <v>0.27</v>
      </c>
      <c r="F25" s="313">
        <v>0.47</v>
      </c>
      <c r="G25" s="313"/>
      <c r="H25" s="313">
        <v>0.44</v>
      </c>
      <c r="I25" s="313">
        <v>0.41</v>
      </c>
      <c r="J25" s="313"/>
      <c r="K25" s="313">
        <v>0.58</v>
      </c>
      <c r="L25" s="313">
        <v>0.3</v>
      </c>
      <c r="M25" s="313">
        <v>0.19</v>
      </c>
      <c r="N25" s="313">
        <v>0.4</v>
      </c>
      <c r="O25" s="313">
        <v>0.42</v>
      </c>
      <c r="P25" s="313">
        <v>0.38</v>
      </c>
      <c r="Q25" s="313"/>
      <c r="R25" s="112" t="str">
        <f t="shared" ref="R25:R26" si="1">#DIV/0!</f>
        <v>#DIV/0!</v>
      </c>
      <c r="S25" s="113"/>
      <c r="T25" s="402" t="s">
        <v>0</v>
      </c>
      <c r="U25" s="361">
        <f>ESCALA!$A$15</f>
        <v>43934</v>
      </c>
      <c r="X25" s="54">
        <v>0.791666666666667</v>
      </c>
      <c r="Y25" s="125">
        <v>3305.0</v>
      </c>
      <c r="Z25" s="125">
        <v>1210.0</v>
      </c>
      <c r="AA25" s="56">
        <v>1.0</v>
      </c>
      <c r="AB25" s="57">
        <f>IF('13'!AA25=1,(('13'!Z25*'13'!$AS$6*'13'!$AT$6)/('13'!Y25*0.0036)),IF('13'!AA25=2,(('13'!Z25*'13'!$AS$8*'13'!$AT$8)/('13'!Y25*0.0036))))</f>
        <v>67.62901328</v>
      </c>
      <c r="AC25" s="57"/>
      <c r="AD25" s="154">
        <f>(('13'!AC25*'13'!$Q$10*1000000))/('13'!Y25*3600)</f>
        <v>0</v>
      </c>
      <c r="AE25" s="60"/>
      <c r="AF25" s="311">
        <f>('13'!AE25/24)*0.454</f>
        <v>0</v>
      </c>
      <c r="AG25" s="125"/>
      <c r="AH25" s="311">
        <f>('13'!AG25/24)*0.454</f>
        <v>0</v>
      </c>
      <c r="AI25" s="60">
        <v>5000.0</v>
      </c>
      <c r="AJ25" s="311">
        <f>('13'!AI25/24)*0.454</f>
        <v>94.58333333</v>
      </c>
      <c r="AK25" s="62"/>
      <c r="AL25" s="110">
        <f>('13'!AK25/24)*0.454</f>
        <v>0</v>
      </c>
      <c r="AM25" s="312"/>
      <c r="AN25" s="110">
        <f>('13'!AM25/24)*0.454</f>
        <v>0</v>
      </c>
      <c r="AO25" s="62"/>
      <c r="AP25" s="110">
        <f>('13'!AO25/24)*0.454</f>
        <v>0</v>
      </c>
    </row>
    <row r="26" ht="19.5" customHeight="1">
      <c r="A26" s="111">
        <v>0.666666666666667</v>
      </c>
      <c r="B26" s="313"/>
      <c r="C26" s="313"/>
      <c r="D26" s="313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112" t="str">
        <f t="shared" si="1"/>
        <v>#DIV/0!</v>
      </c>
      <c r="S26" s="116"/>
      <c r="T26" s="117"/>
      <c r="U26" s="118"/>
      <c r="X26" s="54">
        <v>0.833333333333333</v>
      </c>
      <c r="Y26" s="125">
        <v>3302.0</v>
      </c>
      <c r="Z26" s="125">
        <v>1210.0</v>
      </c>
      <c r="AA26" s="56">
        <v>1.0</v>
      </c>
      <c r="AB26" s="58">
        <f>IF('13'!AA26=1,(('13'!Z26*'13'!$AS$6*'13'!$AT$6)/('13'!Y26*0.0036)),IF('13'!AA26=2,(('13'!Z26*'13'!$AS$8*'13'!$AT$8)/('13'!Y26*0.0036))))</f>
        <v>67.69045696</v>
      </c>
      <c r="AC26" s="58"/>
      <c r="AD26" s="59">
        <f>(('13'!AC26*'13'!$Q$10*1000000))/('13'!Y26*3600)</f>
        <v>0</v>
      </c>
      <c r="AE26" s="60"/>
      <c r="AF26" s="61">
        <f>('13'!AE26/24)*0.454</f>
        <v>0</v>
      </c>
      <c r="AG26" s="60"/>
      <c r="AH26" s="61">
        <f>('13'!AG26/24)*0.454</f>
        <v>0</v>
      </c>
      <c r="AI26" s="60">
        <v>5000.0</v>
      </c>
      <c r="AJ26" s="61">
        <f>('13'!AI26/24)*0.454</f>
        <v>94.58333333</v>
      </c>
      <c r="AK26" s="62"/>
      <c r="AL26" s="63">
        <f>('13'!AK26/24)*0.454</f>
        <v>0</v>
      </c>
      <c r="AM26" s="62"/>
      <c r="AN26" s="63">
        <f>('13'!AM26/24)*0.454</f>
        <v>0</v>
      </c>
      <c r="AO26" s="62"/>
      <c r="AP26" s="63">
        <f>('13'!AO26/24)*0.454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0.875</v>
      </c>
      <c r="Y27" s="125">
        <v>3312.0</v>
      </c>
      <c r="Z27" s="125">
        <v>1210.0</v>
      </c>
      <c r="AA27" s="56">
        <v>1.0</v>
      </c>
      <c r="AB27" s="58">
        <f>IF('13'!AA27=1,(('13'!Z27*'13'!$AS$6*'13'!$AT$6)/('13'!Y27*0.0036)),IF('13'!AA27=2,(('13'!Z27*'13'!$AS$8*'13'!$AT$8)/('13'!Y27*0.0036))))</f>
        <v>67.48607756</v>
      </c>
      <c r="AC27" s="58"/>
      <c r="AD27" s="59">
        <f>(('13'!AC27*'13'!$Q$10*1000000))/('13'!Y27*3600)</f>
        <v>0</v>
      </c>
      <c r="AE27" s="60"/>
      <c r="AF27" s="61">
        <f>('13'!AE27/24)*0.454</f>
        <v>0</v>
      </c>
      <c r="AG27" s="60"/>
      <c r="AH27" s="61">
        <f>('13'!AG27/24)*0.454</f>
        <v>0</v>
      </c>
      <c r="AI27" s="60">
        <v>5000.0</v>
      </c>
      <c r="AJ27" s="61">
        <f>('13'!AI27/24)*0.454</f>
        <v>94.58333333</v>
      </c>
      <c r="AK27" s="62"/>
      <c r="AL27" s="63">
        <f>('13'!AK27/24)*0.454</f>
        <v>0</v>
      </c>
      <c r="AM27" s="62"/>
      <c r="AN27" s="63">
        <f>('13'!AM27/24)*0.454</f>
        <v>0</v>
      </c>
      <c r="AO27" s="62"/>
      <c r="AP27" s="63">
        <f>('13'!AO27/24)*0.454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0.916666666666667</v>
      </c>
      <c r="Y28" s="125">
        <v>3281.0</v>
      </c>
      <c r="Z28" s="125">
        <v>1210.0</v>
      </c>
      <c r="AA28" s="56">
        <v>1.0</v>
      </c>
      <c r="AB28" s="58">
        <f>IF('13'!AA28=1,(('13'!Z28*'13'!$AS$6*'13'!$AT$6)/('13'!Y28*0.0036)),IF('13'!AA28=2,(('13'!Z28*'13'!$AS$8*'13'!$AT$8)/('13'!Y28*0.0036))))</f>
        <v>68.1237089</v>
      </c>
      <c r="AC28" s="58"/>
      <c r="AD28" s="59">
        <f>(('13'!AC28*'13'!$Q$10*1000000))/('13'!Y28*3600)</f>
        <v>0</v>
      </c>
      <c r="AE28" s="60"/>
      <c r="AF28" s="61">
        <f>('13'!AE28/24)*0.454</f>
        <v>0</v>
      </c>
      <c r="AG28" s="60"/>
      <c r="AH28" s="61">
        <f>('13'!AG28/24)*0.454</f>
        <v>0</v>
      </c>
      <c r="AI28" s="60">
        <v>5000.0</v>
      </c>
      <c r="AJ28" s="61">
        <f>('13'!AI28/24)*0.454</f>
        <v>94.58333333</v>
      </c>
      <c r="AK28" s="62"/>
      <c r="AL28" s="63">
        <f>('13'!AK28/24)*0.454</f>
        <v>0</v>
      </c>
      <c r="AM28" s="62"/>
      <c r="AN28" s="63">
        <f>('13'!AM28/24)*0.454</f>
        <v>0</v>
      </c>
      <c r="AO28" s="62"/>
      <c r="AP28" s="63">
        <f>('13'!AO28/24)*0.454</f>
        <v>0</v>
      </c>
    </row>
    <row r="29" ht="19.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0.958333333333333</v>
      </c>
      <c r="Y29" s="125">
        <v>3334.0</v>
      </c>
      <c r="Z29" s="125">
        <v>1210.0</v>
      </c>
      <c r="AA29" s="56">
        <v>1.0</v>
      </c>
      <c r="AB29" s="58">
        <f>IF('13'!AA29=1,(('13'!Z29*'13'!$AS$6*'13'!$AT$6)/('13'!Y29*0.0036)),IF('13'!AA29=2,(('13'!Z29*'13'!$AS$8*'13'!$AT$8)/('13'!Y29*0.0036))))</f>
        <v>67.04075851</v>
      </c>
      <c r="AC29" s="58"/>
      <c r="AD29" s="59">
        <f>(('13'!AC29*'13'!$Q$10*1000000))/('13'!Y29*3600)</f>
        <v>0</v>
      </c>
      <c r="AE29" s="60"/>
      <c r="AF29" s="61">
        <f>('13'!AE29/24)*0.454</f>
        <v>0</v>
      </c>
      <c r="AG29" s="60"/>
      <c r="AH29" s="61">
        <f>('13'!AG29/24)*0.454</f>
        <v>0</v>
      </c>
      <c r="AI29" s="60">
        <v>5000.0</v>
      </c>
      <c r="AJ29" s="61">
        <f>('13'!AI29/24)*0.454</f>
        <v>94.58333333</v>
      </c>
      <c r="AK29" s="62"/>
      <c r="AL29" s="63">
        <f>('13'!AK29/24)*0.454</f>
        <v>0</v>
      </c>
      <c r="AM29" s="62"/>
      <c r="AN29" s="63">
        <f>('13'!AM29/24)*0.454</f>
        <v>0</v>
      </c>
      <c r="AO29" s="62"/>
      <c r="AP29" s="63">
        <f>('13'!AO29/24)*0.454</f>
        <v>0</v>
      </c>
    </row>
    <row r="30" ht="18.75" customHeight="1">
      <c r="A30" s="43"/>
      <c r="U30" s="27"/>
      <c r="X30" s="54">
        <v>1.0</v>
      </c>
      <c r="Y30" s="125">
        <v>3319.0</v>
      </c>
      <c r="Z30" s="125">
        <v>1210.0</v>
      </c>
      <c r="AA30" s="56">
        <v>1.0</v>
      </c>
      <c r="AB30" s="58">
        <f>IF('13'!AA30=1,(('13'!Z30*'13'!$AS$6*'13'!$AT$6)/('13'!Y30*0.0036)),IF('13'!AA30=2,(('13'!Z30*'13'!$AS$8*'13'!$AT$8)/('13'!Y30*0.0036))))</f>
        <v>67.34374477</v>
      </c>
      <c r="AC30" s="58"/>
      <c r="AD30" s="59">
        <f>(('13'!AC30*'13'!$Q$10*1000000))/('13'!Y30*3600)</f>
        <v>0</v>
      </c>
      <c r="AE30" s="60"/>
      <c r="AF30" s="61">
        <f>('13'!AE30/24)*0.454</f>
        <v>0</v>
      </c>
      <c r="AG30" s="60"/>
      <c r="AH30" s="61">
        <f>('13'!AG30/24)*0.454</f>
        <v>0</v>
      </c>
      <c r="AI30" s="60">
        <v>5000.0</v>
      </c>
      <c r="AJ30" s="61">
        <f>('13'!AI30/24)*0.454</f>
        <v>94.58333333</v>
      </c>
      <c r="AK30" s="62"/>
      <c r="AL30" s="63">
        <f>('13'!AK30/24)*0.454</f>
        <v>0</v>
      </c>
      <c r="AM30" s="62"/>
      <c r="AN30" s="63">
        <f>('13'!AM30/24)*0.454</f>
        <v>0</v>
      </c>
      <c r="AO30" s="62"/>
      <c r="AP30" s="63">
        <f>('13'!AO30/24)*0.454</f>
        <v>0</v>
      </c>
    </row>
    <row r="31" ht="18.75" customHeight="1">
      <c r="A31" s="43"/>
      <c r="U31" s="27"/>
      <c r="X31" s="130" t="s">
        <v>55</v>
      </c>
      <c r="Y31" s="131">
        <f>SUM('13'!Y6:Y30)*3.6</f>
        <v>285746.4</v>
      </c>
      <c r="Z31" s="132">
        <f>SUM('13'!Z6:Z30)</f>
        <v>29040</v>
      </c>
      <c r="AA31" s="133"/>
      <c r="AB31" s="132"/>
      <c r="AC31" s="133"/>
      <c r="AD31" s="132"/>
      <c r="AE31" s="60"/>
      <c r="AF31" s="61">
        <f>SUM('13'!AF6:AF30)</f>
        <v>0</v>
      </c>
      <c r="AG31" s="60"/>
      <c r="AH31" s="61">
        <f>SUM('13'!AH6:AH30)</f>
        <v>0</v>
      </c>
      <c r="AI31" s="400"/>
      <c r="AJ31" s="61">
        <f>SUM('13'!AJ6:AJ30)</f>
        <v>2270</v>
      </c>
      <c r="AK31" s="62"/>
      <c r="AL31" s="63">
        <f>SUM('13'!AL6:AL30)</f>
        <v>0</v>
      </c>
      <c r="AM31" s="62"/>
      <c r="AN31" s="63">
        <f>SUM('13'!AN6:AN30)</f>
        <v>0</v>
      </c>
      <c r="AO31" s="62"/>
      <c r="AP31" s="63">
        <f>SUM('13'!AP6:AP30)</f>
        <v>0</v>
      </c>
    </row>
    <row r="32" ht="15.0" customHeight="1">
      <c r="A32" s="43"/>
      <c r="U32" s="27"/>
      <c r="X32" s="134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6"/>
      <c r="AK32" s="137"/>
      <c r="AL32" s="137"/>
      <c r="AM32" s="137"/>
      <c r="AN32" s="137"/>
      <c r="AO32" s="137"/>
      <c r="AP32" s="137"/>
    </row>
    <row r="33" ht="15.0" customHeight="1">
      <c r="A33" s="43"/>
      <c r="U33" s="27"/>
      <c r="X33" s="138" t="s">
        <v>60</v>
      </c>
      <c r="Y33" s="80"/>
      <c r="Z33" s="132">
        <f>SUMIF('13'!AA6:AA30,"=1",'13'!Z6:Z30)</f>
        <v>29040</v>
      </c>
      <c r="AA33" s="132">
        <f>'13'!Z33*'13'!AS6</f>
        <v>38623.2</v>
      </c>
      <c r="AB33" s="139">
        <f>SUMIF('13'!$AA$6:$AA$30,"=1",'13'!$AB$6:$AB$30)/COUNTIF('13'!$AA$6:$AA$30,"=1")</f>
        <v>67.58486376</v>
      </c>
      <c r="AC33" s="140">
        <f>SUMIF('13'!AA6:AA30,"=1",'13'!AC6:AC30)</f>
        <v>0</v>
      </c>
      <c r="AD33" s="140"/>
      <c r="AE33" s="141"/>
      <c r="AF33" s="142"/>
      <c r="AG33" s="141"/>
      <c r="AH33" s="142"/>
      <c r="AI33" s="141"/>
      <c r="AJ33" s="143"/>
      <c r="AK33" s="144"/>
      <c r="AL33" s="144"/>
      <c r="AM33" s="144"/>
      <c r="AN33" s="144"/>
      <c r="AO33" s="144"/>
      <c r="AP33" s="144"/>
    </row>
    <row r="34" ht="15.0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38" t="s">
        <v>61</v>
      </c>
      <c r="Y34" s="80"/>
      <c r="Z34" s="132">
        <f>SUMIF('13'!AA6:AA30,"=2",'13'!Z6:Z30)</f>
        <v>0</v>
      </c>
      <c r="AA34" s="132">
        <f>'13'!Z34*'13'!AS8</f>
        <v>0</v>
      </c>
      <c r="AB34" s="139" t="str">
        <f>SUMIF('13'!$AA$6:$AA$30,"=2",'13'!$AB$6:$AB$30)/COUNTIF('13'!$AA$6:$AA$30,"=2")</f>
        <v>#DIV/0!</v>
      </c>
      <c r="AC34" s="145">
        <f>SUMIF('13'!AA6:AA30,"=2",'13'!AC6:AC30)</f>
        <v>0</v>
      </c>
      <c r="AD34" s="145"/>
      <c r="AE34" s="146"/>
      <c r="AF34" s="147"/>
      <c r="AG34" s="146"/>
      <c r="AH34" s="147"/>
      <c r="AI34" s="146"/>
      <c r="AJ34" s="148"/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0" t="s">
        <v>52</v>
      </c>
      <c r="Y35" s="151">
        <f>AVERAGE('13'!Y6:Y30)</f>
        <v>3307.25</v>
      </c>
      <c r="Z35" s="56">
        <f>AVERAGE('13'!Z6:Z30)</f>
        <v>1210</v>
      </c>
      <c r="AA35" s="152"/>
      <c r="AB35" s="152"/>
      <c r="AC35" s="153" t="str">
        <f>SUM('13'!AC6:AC30)/COUNTIF('13'!AC6:AC30,"&lt;&gt;0")</f>
        <v>#DIV/0!</v>
      </c>
      <c r="AD35" s="154" t="str">
        <f>SUM('13'!AD6:AD30)/COUNTIF('13'!AD6:AD30,"&lt;&gt;0")</f>
        <v>#DIV/0!</v>
      </c>
      <c r="AE35" s="133"/>
      <c r="AF35" s="153">
        <f>AVERAGE('13'!AF6:AF30)</f>
        <v>0</v>
      </c>
      <c r="AG35" s="153"/>
      <c r="AH35" s="153">
        <f>AVERAGE('13'!AH6:AH30)</f>
        <v>0</v>
      </c>
      <c r="AI35" s="153"/>
      <c r="AJ35" s="153">
        <f>'13'!AJ31/24</f>
        <v>94.58333333</v>
      </c>
      <c r="AK35" s="153"/>
      <c r="AL35" s="153">
        <f>AVERAGE('13'!AL6:AL30)</f>
        <v>0</v>
      </c>
      <c r="AM35" s="153"/>
      <c r="AN35" s="153">
        <f>AVERAGE('13'!AN6:AN30)</f>
        <v>0</v>
      </c>
      <c r="AO35" s="153"/>
      <c r="AP35" s="153">
        <f>AVERAGE('13'!AP6:AP30)</f>
        <v>0</v>
      </c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59" t="s">
        <v>66</v>
      </c>
      <c r="Y36" s="128"/>
      <c r="Z36" s="160"/>
      <c r="AA36" s="159" t="s">
        <v>67</v>
      </c>
      <c r="AB36" s="128"/>
      <c r="AJ36" s="317" t="s">
        <v>68</v>
      </c>
      <c r="AM36" s="27"/>
      <c r="AO36" s="317" t="s">
        <v>69</v>
      </c>
      <c r="AR36" s="27"/>
    </row>
    <row r="37" ht="15.75" customHeight="1">
      <c r="A37" s="156"/>
      <c r="B37" s="69">
        <v>0.333333333333333</v>
      </c>
      <c r="C37" s="76">
        <v>54.2</v>
      </c>
      <c r="D37" s="76">
        <v>32.1</v>
      </c>
      <c r="E37" s="76">
        <v>24.1</v>
      </c>
      <c r="F37" s="76">
        <v>1.0</v>
      </c>
      <c r="G37" s="60">
        <v>0.2</v>
      </c>
      <c r="H37" s="60">
        <v>0.1</v>
      </c>
      <c r="I37" s="60">
        <v>0.1</v>
      </c>
      <c r="J37" s="60">
        <v>0.1</v>
      </c>
      <c r="K37" s="60">
        <v>0.03</v>
      </c>
      <c r="L37" s="52">
        <v>0.15</v>
      </c>
      <c r="M37" s="106"/>
      <c r="N37" s="157"/>
      <c r="O37" s="51"/>
      <c r="P37" s="51"/>
      <c r="Q37" s="51"/>
      <c r="R37" s="51"/>
      <c r="S37" s="51"/>
      <c r="T37" s="51"/>
      <c r="U37" s="365" t="str">
        <f>'13'!V12</f>
        <v/>
      </c>
      <c r="X37" s="162" t="s">
        <v>73</v>
      </c>
      <c r="Y37" s="163">
        <v>0.0</v>
      </c>
      <c r="Z37" s="164"/>
      <c r="AA37" s="165" t="s">
        <v>74</v>
      </c>
      <c r="AB37" s="163">
        <v>4.0</v>
      </c>
      <c r="AJ37" s="16"/>
      <c r="AK37" s="17"/>
      <c r="AL37" s="17"/>
      <c r="AM37" s="18"/>
      <c r="AO37" s="16"/>
      <c r="AP37" s="17"/>
      <c r="AQ37" s="17"/>
      <c r="AR37" s="18"/>
    </row>
    <row r="38" ht="18.0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323"/>
      <c r="P38" s="323"/>
      <c r="Q38" s="323"/>
      <c r="R38" s="323"/>
      <c r="S38" s="323"/>
      <c r="T38" s="323"/>
      <c r="U38" s="156"/>
      <c r="X38" s="169" t="s">
        <v>75</v>
      </c>
      <c r="Y38" s="128"/>
      <c r="Z38" s="170">
        <f>COUNTA('13'!Z6:Z30)</f>
        <v>24</v>
      </c>
      <c r="AA38" s="171"/>
      <c r="AB38" s="171"/>
      <c r="AJ38" s="172" t="s">
        <v>76</v>
      </c>
      <c r="AK38" s="128"/>
      <c r="AL38" s="173" t="s">
        <v>77</v>
      </c>
      <c r="AM38" s="128"/>
      <c r="AO38" s="172" t="s">
        <v>76</v>
      </c>
      <c r="AP38" s="128"/>
      <c r="AQ38" s="173" t="s">
        <v>77</v>
      </c>
      <c r="AR38" s="128"/>
    </row>
    <row r="39" ht="16.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178" t="s">
        <v>78</v>
      </c>
      <c r="AK39" s="180">
        <f>SUM('13'!AF31+'13'!AH31)</f>
        <v>0</v>
      </c>
      <c r="AL39" s="178" t="s">
        <v>78</v>
      </c>
      <c r="AM39" s="179">
        <f>SUM('13'!AL31+'13'!AN31)</f>
        <v>0</v>
      </c>
      <c r="AO39" s="178" t="s">
        <v>78</v>
      </c>
      <c r="AP39" s="180">
        <f>'13'!AJ31</f>
        <v>2270</v>
      </c>
      <c r="AQ39" s="178" t="s">
        <v>78</v>
      </c>
      <c r="AR39" s="179">
        <f>'13'!AP31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174"/>
      <c r="Y40" s="174"/>
      <c r="Z40" s="175"/>
      <c r="AA40" s="171"/>
      <c r="AB40" s="171"/>
      <c r="AJ40" s="325" t="s">
        <v>86</v>
      </c>
      <c r="AK40" s="326">
        <f>('13'!AK39/'13'!Y31)*1000</f>
        <v>0</v>
      </c>
      <c r="AL40" s="327" t="s">
        <v>86</v>
      </c>
      <c r="AM40" s="328">
        <f>('13'!AM39/'13'!Y31)*1000</f>
        <v>0</v>
      </c>
      <c r="AO40" s="325" t="s">
        <v>86</v>
      </c>
      <c r="AP40" s="326">
        <f>('13'!AP39/'13'!Y31)*1000</f>
        <v>7.944107082</v>
      </c>
      <c r="AQ40" s="327" t="s">
        <v>86</v>
      </c>
      <c r="AR40" s="328">
        <f>('13'!AR39/'13'!Y31)*1000</f>
        <v>0</v>
      </c>
    </row>
    <row r="41" ht="15.75" customHeight="1">
      <c r="A41" s="212">
        <f>COUNTA('13'!E7:E18)</f>
        <v>12</v>
      </c>
      <c r="B41" s="213">
        <f>COUNTA('13'!I7:I18)</f>
        <v>12</v>
      </c>
      <c r="C41" s="214">
        <f>COUNTA('13'!J7:J18)</f>
        <v>12</v>
      </c>
      <c r="D41" s="80"/>
      <c r="E41" s="214">
        <f>COUNTIF('13'!E7:E18,"&gt;15")</f>
        <v>0</v>
      </c>
      <c r="F41" s="80"/>
      <c r="G41" s="214">
        <f>COUNTIF('13'!J7:J18,"&gt;1")</f>
        <v>0</v>
      </c>
      <c r="H41" s="80"/>
      <c r="I41" s="215"/>
      <c r="J41" s="214">
        <f>'13'!A41-'13'!E41</f>
        <v>12</v>
      </c>
      <c r="K41" s="80"/>
      <c r="L41" s="214">
        <f>'13'!C41-'13'!G41</f>
        <v>12</v>
      </c>
      <c r="M41" s="80"/>
      <c r="N41" s="215"/>
      <c r="O41" s="216">
        <f>COUNTIF('13'!J7:J18,"&lt;=0,5")</f>
        <v>5</v>
      </c>
      <c r="P41" s="217"/>
      <c r="Q41" s="218"/>
      <c r="R41" s="219"/>
      <c r="S41" s="220">
        <f>COUNTIF('13'!J7:J18,"&lt;=1,0")</f>
        <v>12</v>
      </c>
      <c r="T41" s="221"/>
      <c r="U41" s="97"/>
      <c r="V41" s="97"/>
      <c r="X41" s="207" t="s">
        <v>89</v>
      </c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90</v>
      </c>
      <c r="AK41" s="128"/>
      <c r="AL41" s="209">
        <f>SUM('13'!AK39,'13'!AM39)</f>
        <v>0</v>
      </c>
      <c r="AM41" s="128"/>
      <c r="AO41" s="210" t="s">
        <v>90</v>
      </c>
      <c r="AP41" s="128"/>
      <c r="AQ41" s="211">
        <f>SUM('13'!AP39,'13'!AR39)</f>
        <v>2270</v>
      </c>
      <c r="AR41" s="128"/>
    </row>
    <row r="42" ht="16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2"/>
      <c r="Y42" s="127"/>
      <c r="Z42" s="127"/>
      <c r="AA42" s="127"/>
      <c r="AB42" s="127"/>
      <c r="AC42" s="127"/>
      <c r="AD42" s="127"/>
      <c r="AE42" s="127"/>
      <c r="AF42" s="127"/>
      <c r="AG42" s="128"/>
      <c r="AJ42" s="210" t="s">
        <v>91</v>
      </c>
      <c r="AK42" s="128"/>
      <c r="AL42" s="223">
        <f>SUM(('13'!AK39+'13'!AM39)/'13'!Y31)*1000</f>
        <v>0</v>
      </c>
      <c r="AM42" s="128"/>
      <c r="AO42" s="210" t="s">
        <v>91</v>
      </c>
      <c r="AP42" s="128"/>
      <c r="AQ42" s="223">
        <f>SUM(('13'!AP39+'13'!AR39)/'13'!Y31)*1000</f>
        <v>7.944107082</v>
      </c>
      <c r="AR42" s="128"/>
    </row>
    <row r="43" ht="19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26" t="s">
        <v>93</v>
      </c>
      <c r="Y43" s="127"/>
      <c r="Z43" s="127"/>
      <c r="AA43" s="127"/>
      <c r="AB43" s="127"/>
      <c r="AC43" s="127"/>
      <c r="AD43" s="127"/>
      <c r="AE43" s="127"/>
      <c r="AF43" s="127"/>
      <c r="AG43" s="128"/>
    </row>
    <row r="44" ht="16.5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236" t="s">
        <v>97</v>
      </c>
      <c r="Y44" s="18"/>
      <c r="Z44" s="236" t="s">
        <v>98</v>
      </c>
      <c r="AA44" s="18"/>
      <c r="AB44" s="236" t="s">
        <v>99</v>
      </c>
      <c r="AC44" s="18"/>
      <c r="AD44" s="236" t="s">
        <v>100</v>
      </c>
      <c r="AE44" s="18"/>
      <c r="AF44" s="237"/>
      <c r="AG44" s="238"/>
    </row>
    <row r="45" ht="15.0" customHeight="1">
      <c r="H45" s="247">
        <f>COUNTIF('13'!I7:I18,"&lt;=5,0")</f>
        <v>12</v>
      </c>
      <c r="I45" s="127"/>
      <c r="J45" s="128"/>
      <c r="K45" s="215"/>
      <c r="L45" s="208">
        <f>COUNTA('13'!L37)</f>
        <v>1</v>
      </c>
      <c r="M45" s="128"/>
      <c r="O45" s="248"/>
      <c r="P45" s="249"/>
      <c r="Q45" s="250">
        <f>'13'!S41-'13'!O41</f>
        <v>7</v>
      </c>
      <c r="R45" s="251"/>
      <c r="S45" s="252"/>
      <c r="T45" s="253"/>
      <c r="X45" s="68" t="s">
        <v>101</v>
      </c>
      <c r="Y45" s="241">
        <v>147.0</v>
      </c>
      <c r="Z45" s="68" t="s">
        <v>101</v>
      </c>
      <c r="AA45" s="241">
        <v>0.0</v>
      </c>
      <c r="AB45" s="68" t="s">
        <v>101</v>
      </c>
      <c r="AC45" s="241">
        <v>73.0</v>
      </c>
      <c r="AD45" s="242"/>
      <c r="AE45" s="243"/>
      <c r="AF45" s="244" t="s">
        <v>102</v>
      </c>
      <c r="AG45" s="245">
        <f>SUM('13'!Y46,'13'!AA46,'13'!AC46,'13'!AE46)</f>
        <v>153469.1</v>
      </c>
      <c r="AI45" s="246" t="s">
        <v>103</v>
      </c>
      <c r="AJ45" s="127"/>
      <c r="AK45" s="127"/>
      <c r="AL45" s="127"/>
      <c r="AM45" s="127"/>
      <c r="AN45" s="127"/>
      <c r="AO45" s="127"/>
      <c r="AP45" s="127"/>
      <c r="AQ45" s="127"/>
      <c r="AR45" s="128"/>
    </row>
    <row r="46" ht="15.0" customHeight="1">
      <c r="F46" s="257"/>
      <c r="X46" s="133" t="s">
        <v>104</v>
      </c>
      <c r="Y46" s="254">
        <f>'13'!Y45*275.3</f>
        <v>40469.1</v>
      </c>
      <c r="Z46" s="133" t="s">
        <v>104</v>
      </c>
      <c r="AA46" s="254">
        <f>262.4*'13'!AA45</f>
        <v>0</v>
      </c>
      <c r="AB46" s="133" t="s">
        <v>104</v>
      </c>
      <c r="AC46" s="254">
        <f>'13'!AC44*277.7</f>
        <v>0</v>
      </c>
      <c r="AD46" s="133" t="s">
        <v>104</v>
      </c>
      <c r="AE46" s="255">
        <v>113000.0</v>
      </c>
      <c r="AF46" s="46"/>
      <c r="AG46" s="46"/>
      <c r="AI46" s="236" t="s">
        <v>97</v>
      </c>
      <c r="AJ46" s="18"/>
      <c r="AK46" s="236" t="s">
        <v>98</v>
      </c>
      <c r="AL46" s="18"/>
      <c r="AM46" s="236" t="s">
        <v>99</v>
      </c>
      <c r="AN46" s="18"/>
      <c r="AO46" s="422"/>
      <c r="AP46" s="233"/>
      <c r="AQ46" s="233"/>
      <c r="AR46" s="89"/>
    </row>
    <row r="47" ht="15.75" customHeight="1">
      <c r="O47" s="262" t="s">
        <v>107</v>
      </c>
      <c r="P47" s="11"/>
      <c r="Q47" s="11"/>
      <c r="R47" s="11"/>
      <c r="S47" s="11"/>
      <c r="T47" s="12"/>
      <c r="X47" s="196" t="s">
        <v>105</v>
      </c>
      <c r="Y47" s="258">
        <f>'13'!AS6</f>
        <v>1.33</v>
      </c>
      <c r="Z47" s="196" t="s">
        <v>105</v>
      </c>
      <c r="AA47" s="258">
        <f>'13'!Y47</f>
        <v>1.33</v>
      </c>
      <c r="AB47" s="196" t="s">
        <v>105</v>
      </c>
      <c r="AC47" s="258">
        <f>'13'!Y47</f>
        <v>1.33</v>
      </c>
      <c r="AD47" s="196" t="s">
        <v>105</v>
      </c>
      <c r="AE47" s="259">
        <f>'13'!Y47</f>
        <v>1.33</v>
      </c>
      <c r="AF47" s="260" t="s">
        <v>106</v>
      </c>
      <c r="AG47" s="261">
        <f>SUM('13'!Y48,'13'!AA48,'13'!AC48,'13'!AE48)</f>
        <v>204113.903</v>
      </c>
      <c r="AI47" s="68" t="s">
        <v>101</v>
      </c>
      <c r="AJ47" s="241"/>
      <c r="AK47" s="68" t="s">
        <v>101</v>
      </c>
      <c r="AL47" s="241"/>
      <c r="AM47" s="68" t="s">
        <v>101</v>
      </c>
      <c r="AN47" s="241"/>
      <c r="AO47" s="43"/>
      <c r="AR47" s="27"/>
    </row>
    <row r="48" ht="15.0" customHeight="1">
      <c r="O48" s="16"/>
      <c r="P48" s="17"/>
      <c r="Q48" s="17"/>
      <c r="R48" s="17"/>
      <c r="S48" s="17"/>
      <c r="T48" s="18"/>
      <c r="X48" s="133" t="s">
        <v>108</v>
      </c>
      <c r="Y48" s="254">
        <f>'13'!Y46*'13'!Y47</f>
        <v>53823.903</v>
      </c>
      <c r="Z48" s="133" t="s">
        <v>108</v>
      </c>
      <c r="AA48" s="254">
        <f>'13'!AA46*'13'!AA47</f>
        <v>0</v>
      </c>
      <c r="AB48" s="133" t="s">
        <v>108</v>
      </c>
      <c r="AC48" s="254">
        <f>'13'!AC46*'13'!AC47</f>
        <v>0</v>
      </c>
      <c r="AD48" s="133" t="s">
        <v>108</v>
      </c>
      <c r="AE48" s="254">
        <f>'13'!AE46*'13'!AE47</f>
        <v>150290</v>
      </c>
      <c r="AF48" s="46"/>
      <c r="AG48" s="46"/>
      <c r="AI48" s="133" t="s">
        <v>104</v>
      </c>
      <c r="AJ48" s="254">
        <f>'13'!AJ47*275.3</f>
        <v>0</v>
      </c>
      <c r="AK48" s="133" t="s">
        <v>104</v>
      </c>
      <c r="AL48" s="254">
        <f>262.4*'13'!AL47</f>
        <v>0</v>
      </c>
      <c r="AM48" s="133" t="s">
        <v>104</v>
      </c>
      <c r="AN48" s="254">
        <f>'13'!AN47*277.7</f>
        <v>0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X49" s="97"/>
      <c r="Y49" s="263"/>
      <c r="Z49" s="97"/>
      <c r="AA49" s="263"/>
      <c r="AB49" s="97"/>
      <c r="AC49" s="263"/>
      <c r="AD49" s="97"/>
      <c r="AE49" s="264"/>
      <c r="AF49" s="264"/>
      <c r="AG49" s="264"/>
      <c r="AI49" s="196" t="s">
        <v>105</v>
      </c>
      <c r="AJ49" s="258">
        <f>'13'!Y47</f>
        <v>1.33</v>
      </c>
      <c r="AK49" s="265" t="s">
        <v>105</v>
      </c>
      <c r="AL49" s="258">
        <f>'13'!AJ49</f>
        <v>1.33</v>
      </c>
      <c r="AM49" s="265" t="s">
        <v>105</v>
      </c>
      <c r="AN49" s="258">
        <f>'13'!AJ49</f>
        <v>1.33</v>
      </c>
      <c r="AO49" s="43"/>
      <c r="AR49" s="27"/>
    </row>
    <row r="50" ht="15.75" customHeight="1">
      <c r="O50" s="16"/>
      <c r="P50" s="18"/>
      <c r="R50" s="16"/>
      <c r="S50" s="17"/>
      <c r="T50" s="18"/>
      <c r="AE50" s="268"/>
      <c r="AF50" s="268"/>
      <c r="AG50" s="268"/>
      <c r="AI50" s="133" t="s">
        <v>108</v>
      </c>
      <c r="AJ50" s="254">
        <f>'13'!AJ48*'13'!AJ49</f>
        <v>0</v>
      </c>
      <c r="AK50" s="133" t="s">
        <v>108</v>
      </c>
      <c r="AL50" s="254">
        <f>'13'!AL48*'13'!AL49</f>
        <v>0</v>
      </c>
      <c r="AM50" s="133" t="s">
        <v>108</v>
      </c>
      <c r="AN50" s="254">
        <f>'13'!AN48*'13'!AN49</f>
        <v>0</v>
      </c>
      <c r="AO50" s="16"/>
      <c r="AP50" s="17"/>
      <c r="AQ50" s="17"/>
      <c r="AR50" s="18"/>
    </row>
    <row r="51" ht="18.0" customHeight="1">
      <c r="O51" s="208">
        <f>COUNTA('13'!O7:O18)</f>
        <v>12</v>
      </c>
      <c r="P51" s="128"/>
      <c r="R51" s="247">
        <f>COUNTIF('13'!O7:O18,"&gt;=0,5")</f>
        <v>12</v>
      </c>
      <c r="S51" s="127"/>
      <c r="T51" s="128"/>
      <c r="X51" s="269" t="s">
        <v>111</v>
      </c>
      <c r="Y51" s="127"/>
      <c r="Z51" s="127"/>
      <c r="AA51" s="127"/>
      <c r="AB51" s="127"/>
      <c r="AC51" s="127"/>
      <c r="AD51" s="127"/>
      <c r="AE51" s="127"/>
      <c r="AF51" s="127"/>
      <c r="AG51" s="128"/>
    </row>
    <row r="52" ht="16.5" customHeight="1">
      <c r="X52" s="236" t="s">
        <v>97</v>
      </c>
      <c r="Y52" s="18"/>
      <c r="Z52" s="236" t="s">
        <v>98</v>
      </c>
      <c r="AA52" s="18"/>
      <c r="AB52" s="236" t="s">
        <v>99</v>
      </c>
      <c r="AC52" s="18"/>
      <c r="AD52" s="236" t="s">
        <v>100</v>
      </c>
      <c r="AE52" s="18"/>
      <c r="AF52" s="270"/>
      <c r="AG52" s="271"/>
      <c r="AI52" s="269" t="s">
        <v>112</v>
      </c>
      <c r="AJ52" s="127"/>
      <c r="AK52" s="127"/>
      <c r="AL52" s="127"/>
      <c r="AM52" s="127"/>
      <c r="AN52" s="127"/>
      <c r="AO52" s="127"/>
      <c r="AP52" s="127"/>
      <c r="AQ52" s="127"/>
      <c r="AR52" s="128"/>
    </row>
    <row r="53" ht="15.0" customHeight="1">
      <c r="O53" s="262" t="s">
        <v>113</v>
      </c>
      <c r="P53" s="11"/>
      <c r="Q53" s="11"/>
      <c r="R53" s="11"/>
      <c r="S53" s="11"/>
      <c r="T53" s="12"/>
      <c r="X53" s="68" t="s">
        <v>101</v>
      </c>
      <c r="Y53" s="272"/>
      <c r="Z53" s="68" t="s">
        <v>101</v>
      </c>
      <c r="AA53" s="272"/>
      <c r="AB53" s="68" t="s">
        <v>101</v>
      </c>
      <c r="AC53" s="272"/>
      <c r="AD53" s="273"/>
      <c r="AE53" s="243"/>
      <c r="AF53" s="244" t="s">
        <v>102</v>
      </c>
      <c r="AG53" s="245">
        <f>SUM('13'!Y54,'13'!AA54,'13'!AC54,'13'!AE54)</f>
        <v>0</v>
      </c>
      <c r="AI53" s="236" t="s">
        <v>97</v>
      </c>
      <c r="AJ53" s="18"/>
      <c r="AK53" s="236" t="s">
        <v>98</v>
      </c>
      <c r="AL53" s="18"/>
      <c r="AM53" s="236" t="s">
        <v>99</v>
      </c>
      <c r="AN53" s="18"/>
      <c r="AO53" s="423"/>
      <c r="AP53" s="233"/>
      <c r="AQ53" s="233"/>
      <c r="AR53" s="89"/>
    </row>
    <row r="54" ht="15.0" customHeight="1">
      <c r="O54" s="16"/>
      <c r="P54" s="17"/>
      <c r="Q54" s="17"/>
      <c r="R54" s="17"/>
      <c r="S54" s="17"/>
      <c r="T54" s="18"/>
      <c r="X54" s="133" t="s">
        <v>104</v>
      </c>
      <c r="Y54" s="254">
        <f>'13'!Y53*275.3</f>
        <v>0</v>
      </c>
      <c r="Z54" s="133" t="s">
        <v>104</v>
      </c>
      <c r="AA54" s="254">
        <f>262.4*'13'!AA53</f>
        <v>0</v>
      </c>
      <c r="AB54" s="133" t="s">
        <v>104</v>
      </c>
      <c r="AC54" s="276">
        <f>'13'!AC53*277.7</f>
        <v>0</v>
      </c>
      <c r="AD54" s="133" t="s">
        <v>104</v>
      </c>
      <c r="AE54" s="352">
        <v>0.0</v>
      </c>
      <c r="AF54" s="46"/>
      <c r="AG54" s="46"/>
      <c r="AI54" s="68" t="s">
        <v>101</v>
      </c>
      <c r="AJ54" s="275">
        <v>0.0</v>
      </c>
      <c r="AK54" s="68" t="s">
        <v>101</v>
      </c>
      <c r="AL54" s="272"/>
      <c r="AM54" s="68" t="s">
        <v>101</v>
      </c>
      <c r="AN54" s="272"/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96" t="s">
        <v>105</v>
      </c>
      <c r="Y55" s="258">
        <f>'13'!AS8</f>
        <v>1.377</v>
      </c>
      <c r="Z55" s="196" t="s">
        <v>105</v>
      </c>
      <c r="AA55" s="258">
        <f>'13'!Y55</f>
        <v>1.377</v>
      </c>
      <c r="AB55" s="196" t="s">
        <v>105</v>
      </c>
      <c r="AC55" s="258">
        <f>'13'!Y55</f>
        <v>1.377</v>
      </c>
      <c r="AD55" s="196" t="s">
        <v>105</v>
      </c>
      <c r="AE55" s="259">
        <f>'13'!Y55</f>
        <v>1.377</v>
      </c>
      <c r="AF55" s="260" t="s">
        <v>106</v>
      </c>
      <c r="AG55" s="261">
        <f>SUM('13'!Y56,'13'!AA56,'13'!AC56,'13'!AE56)</f>
        <v>0</v>
      </c>
      <c r="AI55" s="133" t="s">
        <v>104</v>
      </c>
      <c r="AJ55" s="254">
        <f>'13'!AJ54*275.3</f>
        <v>0</v>
      </c>
      <c r="AK55" s="133" t="s">
        <v>104</v>
      </c>
      <c r="AL55" s="254">
        <f>262.4*'13'!AL54</f>
        <v>0</v>
      </c>
      <c r="AM55" s="133" t="s">
        <v>104</v>
      </c>
      <c r="AN55" s="276">
        <f>'13'!AN54*277.7</f>
        <v>0</v>
      </c>
      <c r="AO55" s="43"/>
      <c r="AR55" s="27"/>
    </row>
    <row r="56" ht="15.0" customHeight="1">
      <c r="O56" s="16"/>
      <c r="P56" s="18"/>
      <c r="R56" s="16"/>
      <c r="S56" s="17"/>
      <c r="T56" s="18"/>
      <c r="X56" s="133" t="s">
        <v>108</v>
      </c>
      <c r="Y56" s="254">
        <f>'13'!Y54*'13'!Y55</f>
        <v>0</v>
      </c>
      <c r="Z56" s="133" t="s">
        <v>108</v>
      </c>
      <c r="AA56" s="254">
        <f>'13'!AA54*'13'!AA55</f>
        <v>0</v>
      </c>
      <c r="AB56" s="133" t="s">
        <v>108</v>
      </c>
      <c r="AC56" s="254">
        <f>'13'!AC54*'13'!AC55</f>
        <v>0</v>
      </c>
      <c r="AD56" s="133" t="s">
        <v>108</v>
      </c>
      <c r="AE56" s="254">
        <f>'13'!AE54*'13'!AE55</f>
        <v>0</v>
      </c>
      <c r="AF56" s="46"/>
      <c r="AG56" s="46"/>
      <c r="AI56" s="196" t="s">
        <v>105</v>
      </c>
      <c r="AJ56" s="258">
        <f>'13'!Y55</f>
        <v>1.377</v>
      </c>
      <c r="AK56" s="196" t="s">
        <v>105</v>
      </c>
      <c r="AL56" s="258">
        <f>'13'!AJ56</f>
        <v>1.377</v>
      </c>
      <c r="AM56" s="196" t="s">
        <v>105</v>
      </c>
      <c r="AN56" s="258">
        <f>'13'!AJ56</f>
        <v>1.377</v>
      </c>
      <c r="AO56" s="43"/>
      <c r="AR56" s="27"/>
    </row>
    <row r="57" ht="13.5" customHeight="1">
      <c r="O57" s="169">
        <f>COUNTA('13'!N7:N18)</f>
        <v>12</v>
      </c>
      <c r="P57" s="128"/>
      <c r="R57" s="277">
        <f>COUNTIF('13'!N7:N18,"&gt;=6")</f>
        <v>12</v>
      </c>
      <c r="S57" s="127"/>
      <c r="T57" s="128"/>
      <c r="AI57" s="133" t="s">
        <v>108</v>
      </c>
      <c r="AJ57" s="254">
        <f>'13'!AJ55*'13'!AJ56</f>
        <v>0</v>
      </c>
      <c r="AK57" s="133" t="s">
        <v>108</v>
      </c>
      <c r="AL57" s="254">
        <f>'13'!AL55*'13'!AL56</f>
        <v>0</v>
      </c>
      <c r="AM57" s="133" t="s">
        <v>108</v>
      </c>
      <c r="AN57" s="254">
        <f>'13'!AN55*'13'!AN56</f>
        <v>0</v>
      </c>
      <c r="AO57" s="16"/>
      <c r="AP57" s="17"/>
      <c r="AQ57" s="17"/>
      <c r="AR57" s="18"/>
    </row>
    <row r="58" ht="15.75" customHeight="1"/>
    <row r="59" ht="15.75" customHeight="1">
      <c r="X59" s="278" t="s">
        <v>116</v>
      </c>
      <c r="Y59" s="127"/>
      <c r="Z59" s="127"/>
      <c r="AA59" s="127"/>
      <c r="AB59" s="127"/>
      <c r="AC59" s="128"/>
    </row>
    <row r="60" ht="15.75" customHeight="1">
      <c r="X60" s="222"/>
      <c r="Y60" s="127"/>
      <c r="Z60" s="127"/>
      <c r="AA60" s="127"/>
      <c r="AB60" s="127"/>
      <c r="AC60" s="128"/>
      <c r="AI60" s="279" t="s">
        <v>117</v>
      </c>
      <c r="AJ60" s="127"/>
      <c r="AK60" s="127"/>
      <c r="AL60" s="127"/>
      <c r="AM60" s="127"/>
      <c r="AN60" s="127"/>
      <c r="AO60" s="127"/>
      <c r="AP60" s="127"/>
      <c r="AQ60" s="127"/>
      <c r="AR60" s="128"/>
    </row>
    <row r="61" ht="15.75" customHeight="1">
      <c r="X61" s="280" t="s">
        <v>118</v>
      </c>
      <c r="Y61" s="128"/>
      <c r="Z61" s="281"/>
      <c r="AA61" s="128"/>
      <c r="AB61" s="280" t="s">
        <v>119</v>
      </c>
      <c r="AC61" s="128"/>
      <c r="AD61" s="282"/>
      <c r="AE61" s="282"/>
      <c r="AI61" s="277" t="s">
        <v>120</v>
      </c>
      <c r="AJ61" s="127"/>
      <c r="AK61" s="127"/>
      <c r="AL61" s="127"/>
      <c r="AM61" s="128"/>
      <c r="AN61" s="277" t="s">
        <v>93</v>
      </c>
      <c r="AO61" s="127"/>
      <c r="AP61" s="127"/>
      <c r="AQ61" s="127"/>
      <c r="AR61" s="128"/>
    </row>
    <row r="62" ht="15.75" customHeight="1">
      <c r="X62" s="283"/>
      <c r="Y62" s="284"/>
      <c r="Z62" s="284"/>
      <c r="AA62" s="284"/>
      <c r="AB62" s="284"/>
      <c r="AC62" s="285"/>
      <c r="AD62" s="97"/>
      <c r="AE62" s="97"/>
      <c r="AI62" s="286" t="s">
        <v>121</v>
      </c>
      <c r="AJ62" s="79"/>
      <c r="AK62" s="80"/>
      <c r="AL62" s="287">
        <f>'13'!AJ57+'13'!AL57+'13'!AN57</f>
        <v>0</v>
      </c>
      <c r="AM62" s="80"/>
      <c r="AN62" s="286" t="s">
        <v>121</v>
      </c>
      <c r="AO62" s="79"/>
      <c r="AP62" s="80"/>
      <c r="AQ62" s="287">
        <f>'13'!AJ50+'13'!AL50+'13'!AN50</f>
        <v>0</v>
      </c>
      <c r="AR62" s="80"/>
    </row>
    <row r="63" ht="15.0" customHeight="1">
      <c r="X63" s="288" t="s">
        <v>122</v>
      </c>
      <c r="Y63" s="289"/>
      <c r="Z63" s="290"/>
      <c r="AA63" s="12"/>
      <c r="AB63" s="291" t="s">
        <v>122</v>
      </c>
      <c r="AC63" s="80"/>
      <c r="AD63" s="97"/>
      <c r="AE63" s="97"/>
      <c r="AI63" s="286" t="s">
        <v>123</v>
      </c>
      <c r="AJ63" s="79"/>
      <c r="AK63" s="80"/>
      <c r="AL63" s="292">
        <f>AA34</f>
        <v>0</v>
      </c>
      <c r="AM63" s="80"/>
      <c r="AN63" s="286" t="s">
        <v>123</v>
      </c>
      <c r="AO63" s="79"/>
      <c r="AP63" s="80"/>
      <c r="AQ63" s="424">
        <f>'13'!AA33</f>
        <v>38623.2</v>
      </c>
      <c r="AR63" s="80"/>
    </row>
    <row r="64" ht="15.0" customHeight="1">
      <c r="X64" s="294" t="s">
        <v>124</v>
      </c>
      <c r="Y64" s="295">
        <v>0.0</v>
      </c>
      <c r="Z64" s="43"/>
      <c r="AA64" s="27"/>
      <c r="AB64" s="296" t="s">
        <v>124</v>
      </c>
      <c r="AC64" s="125">
        <v>0.0</v>
      </c>
      <c r="AE64" s="97"/>
      <c r="AI64" s="286" t="s">
        <v>125</v>
      </c>
      <c r="AJ64" s="79"/>
      <c r="AK64" s="80"/>
      <c r="AL64" s="287">
        <f>'13'!AL62-'13'!AL63</f>
        <v>0</v>
      </c>
      <c r="AM64" s="80"/>
      <c r="AN64" s="286" t="s">
        <v>125</v>
      </c>
      <c r="AO64" s="79"/>
      <c r="AP64" s="80"/>
      <c r="AQ64" s="287">
        <f>'13'!AQ62-'13'!AQ63</f>
        <v>-38623.2</v>
      </c>
      <c r="AR64" s="80"/>
    </row>
    <row r="65" ht="15.0" customHeight="1">
      <c r="X65" s="294"/>
      <c r="Y65" s="295"/>
      <c r="Z65" s="43"/>
      <c r="AA65" s="27"/>
      <c r="AB65" s="425" t="s">
        <v>135</v>
      </c>
      <c r="AC65" s="125"/>
      <c r="AE65" s="97"/>
    </row>
    <row r="66" ht="39.0" customHeight="1">
      <c r="X66" s="297" t="s">
        <v>126</v>
      </c>
      <c r="Y66" s="298">
        <f>'12'!$Y$68</f>
        <v>-11331.08333</v>
      </c>
      <c r="Z66" s="43"/>
      <c r="AA66" s="27"/>
      <c r="AB66" s="299" t="s">
        <v>126</v>
      </c>
      <c r="AC66" s="330">
        <f>'12'!$AC$68</f>
        <v>0</v>
      </c>
    </row>
    <row r="67" ht="15.0" customHeight="1">
      <c r="X67" s="214" t="s">
        <v>127</v>
      </c>
      <c r="Y67" s="79"/>
      <c r="Z67" s="43"/>
      <c r="AA67" s="27"/>
      <c r="AB67" s="300" t="s">
        <v>127</v>
      </c>
      <c r="AC67" s="80"/>
    </row>
    <row r="68" ht="15.0" customHeight="1">
      <c r="X68" s="294" t="s">
        <v>124</v>
      </c>
      <c r="Y68" s="426">
        <f>SUM('13'!AK39,'13'!AP39)</f>
        <v>2270</v>
      </c>
      <c r="Z68" s="43"/>
      <c r="AA68" s="27"/>
      <c r="AB68" s="296" t="s">
        <v>124</v>
      </c>
      <c r="AC68" s="254">
        <f>SUM('13'!AM39,'13'!AR39)</f>
        <v>0</v>
      </c>
    </row>
    <row r="69" ht="15.75" customHeight="1">
      <c r="X69" s="294" t="s">
        <v>128</v>
      </c>
      <c r="Y69" s="301">
        <f>SUM('13'!Y64,'13'!Y66)-'13'!Y68</f>
        <v>-13601.08333</v>
      </c>
      <c r="Z69" s="16"/>
      <c r="AA69" s="18"/>
      <c r="AB69" s="296" t="s">
        <v>128</v>
      </c>
      <c r="AC69" s="302">
        <f>SUM('13'!AC64,'13'!AC66)-'13'!AC68-'13'!AC65</f>
        <v>0</v>
      </c>
    </row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6"/>
    <mergeCell ref="V7:W11"/>
    <mergeCell ref="V12:W16"/>
    <mergeCell ref="V17:W18"/>
    <mergeCell ref="Y4:Y6"/>
    <mergeCell ref="Z4:Z6"/>
    <mergeCell ref="AA4:AA6"/>
    <mergeCell ref="AB4:AB6"/>
    <mergeCell ref="AC4:AC6"/>
    <mergeCell ref="AD4:AD6"/>
    <mergeCell ref="AE4:AE6"/>
    <mergeCell ref="AF4:AF6"/>
    <mergeCell ref="AQ9:AT9"/>
    <mergeCell ref="AQ10:AS10"/>
    <mergeCell ref="AQ11:AS11"/>
    <mergeCell ref="T4:T5"/>
    <mergeCell ref="U4:U6"/>
    <mergeCell ref="T19:U24"/>
    <mergeCell ref="R22:S22"/>
    <mergeCell ref="A23:Q23"/>
    <mergeCell ref="T25:T26"/>
    <mergeCell ref="U25:U26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Q43:S44"/>
    <mergeCell ref="Q45:S45"/>
    <mergeCell ref="AD45:AE45"/>
    <mergeCell ref="AF45:AF46"/>
    <mergeCell ref="AG45:AG46"/>
    <mergeCell ref="AI46:AJ46"/>
    <mergeCell ref="AK46:AL46"/>
    <mergeCell ref="AM46:AN46"/>
    <mergeCell ref="O39:Q40"/>
    <mergeCell ref="O41:Q41"/>
    <mergeCell ref="O42:T42"/>
    <mergeCell ref="X44:Y44"/>
    <mergeCell ref="Z44:AA44"/>
    <mergeCell ref="AB44:AC44"/>
    <mergeCell ref="AD44:AE44"/>
    <mergeCell ref="R27:T27"/>
    <mergeCell ref="A28:U28"/>
    <mergeCell ref="A29:U34"/>
    <mergeCell ref="X32:AJ32"/>
    <mergeCell ref="X33:Y33"/>
    <mergeCell ref="X34:Y34"/>
    <mergeCell ref="C35:E35"/>
    <mergeCell ref="L35:N35"/>
    <mergeCell ref="F35:H35"/>
    <mergeCell ref="I35:K35"/>
    <mergeCell ref="U35:U36"/>
    <mergeCell ref="X36:Y36"/>
    <mergeCell ref="AA36:AB36"/>
    <mergeCell ref="AJ36:AM37"/>
    <mergeCell ref="AO36:AR37"/>
    <mergeCell ref="L36:N36"/>
    <mergeCell ref="L37:N37"/>
    <mergeCell ref="X38:Y38"/>
    <mergeCell ref="AJ38:AK38"/>
    <mergeCell ref="AL38:AM38"/>
    <mergeCell ref="AO38:AP38"/>
    <mergeCell ref="AQ38:AR38"/>
    <mergeCell ref="C39:D39"/>
    <mergeCell ref="C40:D40"/>
    <mergeCell ref="E40:F40"/>
    <mergeCell ref="G40:H40"/>
    <mergeCell ref="J40:K40"/>
    <mergeCell ref="L40:M40"/>
    <mergeCell ref="AJ41:AK41"/>
    <mergeCell ref="AJ42:AK42"/>
    <mergeCell ref="X59:AC59"/>
    <mergeCell ref="X60:AC60"/>
    <mergeCell ref="AI60:AR60"/>
    <mergeCell ref="X61:Y61"/>
    <mergeCell ref="Z61:AA61"/>
    <mergeCell ref="AI61:AM61"/>
    <mergeCell ref="AN61:AR61"/>
    <mergeCell ref="X63:Y63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AB61:AC61"/>
    <mergeCell ref="X62:AC62"/>
    <mergeCell ref="AI62:AK62"/>
    <mergeCell ref="AL62:AM62"/>
    <mergeCell ref="AN62:AP62"/>
    <mergeCell ref="AQ62:AR62"/>
    <mergeCell ref="Z63:AA69"/>
    <mergeCell ref="C41:D41"/>
    <mergeCell ref="E41:F41"/>
    <mergeCell ref="X41:AG41"/>
    <mergeCell ref="AL41:AM41"/>
    <mergeCell ref="AQ41:AR41"/>
    <mergeCell ref="AL42:AM42"/>
    <mergeCell ref="AQ42:AR42"/>
    <mergeCell ref="R49:T50"/>
    <mergeCell ref="R51:T51"/>
    <mergeCell ref="O53:T54"/>
    <mergeCell ref="O55:P56"/>
    <mergeCell ref="R55:T56"/>
    <mergeCell ref="O57:P57"/>
    <mergeCell ref="R57:T57"/>
    <mergeCell ref="X42:AG42"/>
    <mergeCell ref="X43:AG43"/>
    <mergeCell ref="O47:T48"/>
    <mergeCell ref="AF47:AF48"/>
    <mergeCell ref="AG47:AG48"/>
    <mergeCell ref="O49:P50"/>
    <mergeCell ref="O51:P51"/>
    <mergeCell ref="AM53:AN53"/>
    <mergeCell ref="AO53:AR57"/>
    <mergeCell ref="AO41:AP41"/>
    <mergeCell ref="AO42:AP42"/>
    <mergeCell ref="AI45:AR45"/>
    <mergeCell ref="AO46:AR50"/>
    <mergeCell ref="AI52:AR52"/>
    <mergeCell ref="AI53:AJ53"/>
    <mergeCell ref="AK53:AL53"/>
    <mergeCell ref="AF53:AF54"/>
    <mergeCell ref="AF55:AF56"/>
    <mergeCell ref="AG55:AG56"/>
    <mergeCell ref="X51:AG51"/>
    <mergeCell ref="X52:Y52"/>
    <mergeCell ref="Z52:AA52"/>
    <mergeCell ref="AB52:AC52"/>
    <mergeCell ref="AD52:AE52"/>
    <mergeCell ref="AD53:AE53"/>
    <mergeCell ref="AG53:AG54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greaterThan">
      <formula>3</formula>
    </cfRule>
  </conditionalFormatting>
  <conditionalFormatting sqref="O19">
    <cfRule type="cellIs" dxfId="0" priority="4" operator="lessThan">
      <formula>2.4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57"/>
    <col customWidth="1" min="3" max="3" width="6.14"/>
    <col customWidth="1" min="4" max="18" width="8.57"/>
    <col customWidth="1" min="19" max="19" width="6.14"/>
    <col customWidth="1" min="20" max="20" width="8.14"/>
    <col customWidth="1" min="21" max="21" width="8.71"/>
    <col customWidth="1" min="22" max="25" width="8.57"/>
    <col customWidth="1" min="26" max="26" width="8.71"/>
    <col customWidth="1" min="27" max="32" width="8.57"/>
    <col customWidth="1" min="33" max="33" width="8.71"/>
    <col customWidth="1" min="34" max="47" width="8.57"/>
  </cols>
  <sheetData>
    <row r="1" ht="15.75" customHeight="1"/>
    <row r="2" ht="15.0" customHeight="1">
      <c r="A2" s="10"/>
      <c r="B2" s="11"/>
      <c r="C2" s="12"/>
      <c r="D2" s="331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3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3320.0</v>
      </c>
      <c r="Z6" s="125">
        <v>1210.0</v>
      </c>
      <c r="AA6" s="56">
        <v>1.0</v>
      </c>
      <c r="AB6" s="58">
        <f>IF('14'!AA6=1,(('14'!Z6*'14'!$AS$6*'14'!$AT$6)/('14'!Y6*0.0036)),IF('14'!AA6=2,(('14'!Z6*'14'!$AS$7*'14'!$AT$7)/('14'!Y6*0.0036))))</f>
        <v>67.32346051</v>
      </c>
      <c r="AC6" s="58"/>
      <c r="AD6" s="59">
        <f>(('14'!AC6*'14'!$Q$10*1000000))/('14'!Y6*3600)</f>
        <v>0</v>
      </c>
      <c r="AE6" s="427"/>
      <c r="AF6" s="61">
        <f>('14'!AE6/24)*0.454</f>
        <v>0</v>
      </c>
      <c r="AG6" s="60"/>
      <c r="AH6" s="61">
        <f>('14'!AG6/24)*0.454</f>
        <v>0</v>
      </c>
      <c r="AI6" s="427">
        <v>5000.0</v>
      </c>
      <c r="AJ6" s="61">
        <f>('14'!AI6/24)*0.454</f>
        <v>94.58333333</v>
      </c>
      <c r="AK6" s="62"/>
      <c r="AL6" s="63">
        <f>('14'!AK6/24)*0.454</f>
        <v>0</v>
      </c>
      <c r="AM6" s="62"/>
      <c r="AN6" s="63">
        <f>('14'!AM6/24)*0.454</f>
        <v>0</v>
      </c>
      <c r="AO6" s="62"/>
      <c r="AP6" s="63">
        <f>('14'!AO6/24)*0.454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5.0" customHeight="1">
      <c r="A7" s="69">
        <v>0.0</v>
      </c>
      <c r="B7" s="76">
        <v>84.0</v>
      </c>
      <c r="C7" s="76">
        <v>14.0</v>
      </c>
      <c r="D7" s="76">
        <v>13.0</v>
      </c>
      <c r="E7" s="76">
        <v>6.0</v>
      </c>
      <c r="F7" s="76">
        <v>13.0</v>
      </c>
      <c r="G7" s="76">
        <v>1.1</v>
      </c>
      <c r="H7" s="76">
        <v>0.6</v>
      </c>
      <c r="I7" s="76">
        <v>0.5</v>
      </c>
      <c r="J7" s="76">
        <v>0.6</v>
      </c>
      <c r="K7" s="76">
        <v>6.9</v>
      </c>
      <c r="L7" s="76">
        <v>6.5</v>
      </c>
      <c r="M7" s="76">
        <v>6.5</v>
      </c>
      <c r="N7" s="76">
        <v>6.2</v>
      </c>
      <c r="O7" s="76">
        <v>3.6</v>
      </c>
      <c r="P7" s="76"/>
      <c r="Q7" s="310"/>
      <c r="R7" s="77">
        <f>'13'!$Z$30</f>
        <v>1210</v>
      </c>
      <c r="S7" s="309">
        <f>'13'!$AB$30</f>
        <v>67.34374477</v>
      </c>
      <c r="T7" s="77">
        <f>'13'!$Y$30</f>
        <v>3319</v>
      </c>
      <c r="U7" s="73" t="str">
        <f>IF('14'!AA6=1,'14'!AR6,'14'!AR7)</f>
        <v>S.A.L</v>
      </c>
      <c r="V7" s="74" t="str">
        <f>ESCALA!$C$15</f>
        <v/>
      </c>
      <c r="W7" s="12"/>
      <c r="X7" s="54">
        <v>0.0833333333333333</v>
      </c>
      <c r="Y7" s="125">
        <v>3316.0</v>
      </c>
      <c r="Z7" s="125">
        <v>1210.0</v>
      </c>
      <c r="AA7" s="56">
        <v>1.0</v>
      </c>
      <c r="AB7" s="58">
        <f>IF('14'!AA7=1,(('14'!Z7*'14'!$AS$6*'14'!$AT$6)/('14'!Y7*0.0036)),IF('14'!AA7=2,(('14'!Z7*'14'!$AS$7*'14'!$AT$7)/('14'!Y7*0.0036))))</f>
        <v>67.40467096</v>
      </c>
      <c r="AC7" s="58"/>
      <c r="AD7" s="59">
        <f>(('14'!AC7*'14'!$Q$10*1000000))/('14'!Y7*3600)</f>
        <v>0</v>
      </c>
      <c r="AE7" s="427"/>
      <c r="AF7" s="61">
        <f>('14'!AE7/24)*0.454</f>
        <v>0</v>
      </c>
      <c r="AG7" s="60"/>
      <c r="AH7" s="61">
        <f>('14'!AG7/24)*0.454</f>
        <v>0</v>
      </c>
      <c r="AI7" s="427">
        <v>5000.0</v>
      </c>
      <c r="AJ7" s="61">
        <f>('14'!AI7/24)*0.454</f>
        <v>94.58333333</v>
      </c>
      <c r="AK7" s="62"/>
      <c r="AL7" s="63">
        <f>('14'!AK7/24)*0.454</f>
        <v>0</v>
      </c>
      <c r="AM7" s="62"/>
      <c r="AN7" s="63">
        <f>('14'!AM7/24)*0.454</f>
        <v>0</v>
      </c>
      <c r="AO7" s="62"/>
      <c r="AP7" s="63">
        <f>('14'!AO7/24)*0.454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5.0" customHeight="1">
      <c r="A8" s="69">
        <v>0.0833333333333333</v>
      </c>
      <c r="B8" s="76">
        <v>83.0</v>
      </c>
      <c r="C8" s="76">
        <v>14.0</v>
      </c>
      <c r="D8" s="76">
        <v>12.0</v>
      </c>
      <c r="E8" s="76">
        <v>6.0</v>
      </c>
      <c r="F8" s="76">
        <v>13.0</v>
      </c>
      <c r="G8" s="76">
        <v>1.1</v>
      </c>
      <c r="H8" s="76">
        <v>0.6</v>
      </c>
      <c r="I8" s="76">
        <v>0.5</v>
      </c>
      <c r="J8" s="76">
        <v>0.5</v>
      </c>
      <c r="K8" s="76">
        <v>6.9</v>
      </c>
      <c r="L8" s="76">
        <v>6.5</v>
      </c>
      <c r="M8" s="76">
        <v>6.5</v>
      </c>
      <c r="N8" s="76">
        <v>6.2</v>
      </c>
      <c r="O8" s="76">
        <v>3.6</v>
      </c>
      <c r="P8" s="76"/>
      <c r="Q8" s="310"/>
      <c r="R8" s="75">
        <f>'14'!Z7</f>
        <v>1210</v>
      </c>
      <c r="S8" s="76">
        <f>'14'!AB7</f>
        <v>67.40467096</v>
      </c>
      <c r="T8" s="77">
        <f>'14'!Y7</f>
        <v>3316</v>
      </c>
      <c r="U8" s="73" t="str">
        <f>IF('14'!AA7=1,'14'!AR6,'14'!AR7)</f>
        <v>S.A.L</v>
      </c>
      <c r="V8" s="43"/>
      <c r="W8" s="27"/>
      <c r="X8" s="54">
        <v>0.125</v>
      </c>
      <c r="Y8" s="125">
        <v>3306.0</v>
      </c>
      <c r="Z8" s="125">
        <v>1210.0</v>
      </c>
      <c r="AA8" s="56">
        <v>1.0</v>
      </c>
      <c r="AB8" s="58">
        <f>IF('14'!AA8=1,(('14'!Z8*'14'!$AS$6*'14'!$AT$6)/('14'!Y8*0.0036)),IF('14'!AA8=2,(('14'!Z8*'14'!$AS$7*'14'!$AT$7)/('14'!Y8*0.0036))))</f>
        <v>67.60855683</v>
      </c>
      <c r="AC8" s="58"/>
      <c r="AD8" s="59">
        <f>(('14'!AC8*'14'!$Q$10*1000000))/('14'!Y8*3600)</f>
        <v>0</v>
      </c>
      <c r="AE8" s="427"/>
      <c r="AF8" s="61">
        <f>('14'!AE8/24)*0.454</f>
        <v>0</v>
      </c>
      <c r="AG8" s="60"/>
      <c r="AH8" s="61">
        <f>('14'!AG8/24)*0.454</f>
        <v>0</v>
      </c>
      <c r="AI8" s="427">
        <v>5000.0</v>
      </c>
      <c r="AJ8" s="61">
        <f>('14'!AI8/24)*0.454</f>
        <v>94.58333333</v>
      </c>
      <c r="AK8" s="62"/>
      <c r="AL8" s="63">
        <f>('14'!AK8/24)*0.454</f>
        <v>0</v>
      </c>
      <c r="AM8" s="62"/>
      <c r="AN8" s="63">
        <f>('14'!AM8/24)*0.454</f>
        <v>0</v>
      </c>
      <c r="AO8" s="62"/>
      <c r="AP8" s="63">
        <f>('14'!AO8/24)*0.454</f>
        <v>0</v>
      </c>
      <c r="AQ8" s="78" t="s">
        <v>50</v>
      </c>
      <c r="AR8" s="79"/>
      <c r="AS8" s="79"/>
      <c r="AT8" s="80"/>
    </row>
    <row r="9" ht="15.0" customHeight="1">
      <c r="A9" s="69">
        <v>0.166666666666667</v>
      </c>
      <c r="B9" s="76">
        <v>78.0</v>
      </c>
      <c r="C9" s="76">
        <v>14.0</v>
      </c>
      <c r="D9" s="76">
        <v>12.0</v>
      </c>
      <c r="E9" s="76">
        <v>6.0</v>
      </c>
      <c r="F9" s="76">
        <v>12.0</v>
      </c>
      <c r="G9" s="76">
        <v>1.0</v>
      </c>
      <c r="H9" s="76">
        <v>0.5</v>
      </c>
      <c r="I9" s="76">
        <v>0.5</v>
      </c>
      <c r="J9" s="76">
        <v>0.5</v>
      </c>
      <c r="K9" s="76">
        <v>6.9</v>
      </c>
      <c r="L9" s="76">
        <v>6.5</v>
      </c>
      <c r="M9" s="76">
        <v>6.5</v>
      </c>
      <c r="N9" s="76">
        <v>6.2</v>
      </c>
      <c r="O9" s="76">
        <v>3.6</v>
      </c>
      <c r="P9" s="76"/>
      <c r="Q9" s="310"/>
      <c r="R9" s="75">
        <f>'14'!Z9</f>
        <v>1210</v>
      </c>
      <c r="S9" s="76">
        <f>'14'!AB9</f>
        <v>67.24244551</v>
      </c>
      <c r="T9" s="77">
        <f>'14'!Y9</f>
        <v>3324</v>
      </c>
      <c r="U9" s="73" t="str">
        <f>IF('14'!AA9=1,'14'!AR6,'14'!AR7)</f>
        <v>S.A.L</v>
      </c>
      <c r="V9" s="43"/>
      <c r="W9" s="27"/>
      <c r="X9" s="54">
        <v>0.166666666666667</v>
      </c>
      <c r="Y9" s="125">
        <v>3324.0</v>
      </c>
      <c r="Z9" s="125">
        <v>1210.0</v>
      </c>
      <c r="AA9" s="56">
        <v>1.0</v>
      </c>
      <c r="AB9" s="58">
        <f>IF('14'!AA9=1,(('14'!Z9*'14'!$AS$6*'14'!$AT$6)/('14'!Y9*0.0036)),IF('14'!AA9=2,(('14'!Z9*'14'!$AS$7*'14'!$AT$7)/('14'!Y9*0.0036))))</f>
        <v>67.24244551</v>
      </c>
      <c r="AC9" s="58"/>
      <c r="AD9" s="59">
        <f>(('14'!AC9*'14'!$Q$10*1000000))/('14'!Y9*3600)</f>
        <v>0</v>
      </c>
      <c r="AE9" s="427"/>
      <c r="AF9" s="61">
        <f>('14'!AE9/24)*0.454</f>
        <v>0</v>
      </c>
      <c r="AG9" s="60"/>
      <c r="AH9" s="61">
        <f>('14'!AG9/24)*0.454</f>
        <v>0</v>
      </c>
      <c r="AI9" s="427">
        <v>5000.0</v>
      </c>
      <c r="AJ9" s="61">
        <f>('14'!AI9/24)*0.454</f>
        <v>94.58333333</v>
      </c>
      <c r="AK9" s="62"/>
      <c r="AL9" s="63">
        <f>('14'!AK9/24)*0.454</f>
        <v>0</v>
      </c>
      <c r="AM9" s="62"/>
      <c r="AN9" s="63">
        <f>('14'!AM9/24)*0.454</f>
        <v>0</v>
      </c>
      <c r="AO9" s="62"/>
      <c r="AP9" s="63">
        <f>('14'!AO9/24)*0.454</f>
        <v>0</v>
      </c>
      <c r="AQ9" s="81" t="s">
        <v>37</v>
      </c>
      <c r="AR9" s="79"/>
      <c r="AS9" s="80"/>
      <c r="AT9" s="82" t="s">
        <v>39</v>
      </c>
    </row>
    <row r="10" ht="15.0" customHeight="1">
      <c r="A10" s="69">
        <v>0.25</v>
      </c>
      <c r="B10" s="76">
        <v>75.0</v>
      </c>
      <c r="C10" s="76">
        <v>14.0</v>
      </c>
      <c r="D10" s="76">
        <v>12.0</v>
      </c>
      <c r="E10" s="76">
        <v>6.0</v>
      </c>
      <c r="F10" s="76">
        <v>11.0</v>
      </c>
      <c r="G10" s="76">
        <v>1.0</v>
      </c>
      <c r="H10" s="76">
        <v>0.5</v>
      </c>
      <c r="I10" s="76">
        <v>0.5</v>
      </c>
      <c r="J10" s="76">
        <v>0.5</v>
      </c>
      <c r="K10" s="76">
        <v>6.9</v>
      </c>
      <c r="L10" s="76">
        <v>6.5</v>
      </c>
      <c r="M10" s="76">
        <v>6.5</v>
      </c>
      <c r="N10" s="76">
        <v>6.2</v>
      </c>
      <c r="O10" s="76">
        <v>3.6</v>
      </c>
      <c r="P10" s="76"/>
      <c r="Q10" s="310"/>
      <c r="R10" s="75">
        <f>'14'!Z11</f>
        <v>1210</v>
      </c>
      <c r="S10" s="76">
        <f>'14'!AB11</f>
        <v>67.06087275</v>
      </c>
      <c r="T10" s="77">
        <f>'14'!Y11</f>
        <v>3333</v>
      </c>
      <c r="U10" s="73" t="str">
        <f>IF('14'!AA11=1,'14'!AR6,'14'!AR7)</f>
        <v>S.A.L</v>
      </c>
      <c r="V10" s="43"/>
      <c r="W10" s="27"/>
      <c r="X10" s="54">
        <v>0.208333333333333</v>
      </c>
      <c r="Y10" s="125">
        <v>3333.0</v>
      </c>
      <c r="Z10" s="125">
        <v>1210.0</v>
      </c>
      <c r="AA10" s="56">
        <v>1.0</v>
      </c>
      <c r="AB10" s="58">
        <f>IF('14'!AA10=1,(('14'!Z10*'14'!$AS$6*'14'!$AT$6)/('14'!Y10*0.0036)),IF('14'!AA10=2,(('14'!Z10*'14'!$AS$7*'14'!$AT$7)/('14'!Y10*0.0036))))</f>
        <v>67.06087275</v>
      </c>
      <c r="AC10" s="58"/>
      <c r="AD10" s="59">
        <f>(('14'!AC10*'14'!$Q$10*1000000))/('14'!Y10*3600)</f>
        <v>0</v>
      </c>
      <c r="AE10" s="427"/>
      <c r="AF10" s="61">
        <f>('14'!AE10/24)*0.454</f>
        <v>0</v>
      </c>
      <c r="AG10" s="60"/>
      <c r="AH10" s="61">
        <f>('14'!AG10/24)*0.454</f>
        <v>0</v>
      </c>
      <c r="AI10" s="427">
        <v>5000.0</v>
      </c>
      <c r="AJ10" s="61">
        <f>('14'!AI10/24)*0.454</f>
        <v>94.58333333</v>
      </c>
      <c r="AK10" s="62"/>
      <c r="AL10" s="63">
        <f>('14'!AK10/24)*0.454</f>
        <v>0</v>
      </c>
      <c r="AM10" s="62"/>
      <c r="AN10" s="63">
        <f>('14'!AM10/24)*0.454</f>
        <v>0</v>
      </c>
      <c r="AO10" s="62"/>
      <c r="AP10" s="63">
        <f>('14'!AO10/24)*0.454</f>
        <v>0</v>
      </c>
      <c r="AQ10" s="84" t="s">
        <v>51</v>
      </c>
      <c r="AR10" s="79"/>
      <c r="AS10" s="80"/>
      <c r="AT10" s="85">
        <v>0.002</v>
      </c>
    </row>
    <row r="11" ht="15.0" customHeight="1">
      <c r="A11" s="69">
        <v>0.333333333333333</v>
      </c>
      <c r="B11" s="76">
        <v>74.0</v>
      </c>
      <c r="C11" s="76">
        <v>15.0</v>
      </c>
      <c r="D11" s="76">
        <v>14.0</v>
      </c>
      <c r="E11" s="76">
        <v>7.0</v>
      </c>
      <c r="F11" s="76">
        <v>12.0</v>
      </c>
      <c r="G11" s="76">
        <v>1.1</v>
      </c>
      <c r="H11" s="76">
        <v>0.9</v>
      </c>
      <c r="I11" s="76">
        <v>0.5</v>
      </c>
      <c r="J11" s="76">
        <v>0.5</v>
      </c>
      <c r="K11" s="76">
        <v>6.9</v>
      </c>
      <c r="L11" s="76">
        <v>6.5</v>
      </c>
      <c r="M11" s="76">
        <v>6.5</v>
      </c>
      <c r="N11" s="76">
        <v>6.2</v>
      </c>
      <c r="O11" s="76">
        <v>3.0</v>
      </c>
      <c r="P11" s="76"/>
      <c r="Q11" s="310"/>
      <c r="R11" s="75">
        <f>'14'!Z13</f>
        <v>1210</v>
      </c>
      <c r="S11" s="76">
        <f>'14'!AB13</f>
        <v>72.2177347</v>
      </c>
      <c r="T11" s="77">
        <f>'14'!Y13</f>
        <v>3095</v>
      </c>
      <c r="U11" s="73" t="str">
        <f>IF('14'!AA13=1,'14'!AR6,'14'!AR7)</f>
        <v>S.A.L</v>
      </c>
      <c r="V11" s="16"/>
      <c r="W11" s="18"/>
      <c r="X11" s="54">
        <v>0.25</v>
      </c>
      <c r="Y11" s="125">
        <v>3333.0</v>
      </c>
      <c r="Z11" s="125">
        <v>1210.0</v>
      </c>
      <c r="AA11" s="56">
        <v>1.0</v>
      </c>
      <c r="AB11" s="58">
        <f>IF('14'!AA11=1,(('14'!Z11*'14'!$AS$6*'14'!$AT$6)/('14'!Y11*0.0036)),IF('14'!AA11=2,(('14'!Z11*'14'!$AS$7*'14'!$AT$7)/('14'!Y11*0.0036))))</f>
        <v>67.06087275</v>
      </c>
      <c r="AC11" s="58"/>
      <c r="AD11" s="59">
        <f>(('14'!AC11*'14'!$Q$10*1000000))/('14'!Y11*3600)</f>
        <v>0</v>
      </c>
      <c r="AE11" s="427"/>
      <c r="AF11" s="61">
        <f>('14'!AE11/24)*0.454</f>
        <v>0</v>
      </c>
      <c r="AG11" s="60"/>
      <c r="AH11" s="61">
        <f>('14'!AG11/24)*0.454</f>
        <v>0</v>
      </c>
      <c r="AI11" s="427">
        <v>5000.0</v>
      </c>
      <c r="AJ11" s="61">
        <f>('14'!AI11/24)*0.454</f>
        <v>94.58333333</v>
      </c>
      <c r="AK11" s="62"/>
      <c r="AL11" s="63">
        <f>('14'!AK11/24)*0.454</f>
        <v>0</v>
      </c>
      <c r="AM11" s="62"/>
      <c r="AN11" s="63">
        <f>('14'!AM11/24)*0.454</f>
        <v>0</v>
      </c>
      <c r="AO11" s="62"/>
      <c r="AP11" s="63">
        <f>('14'!AO11/24)*0.454</f>
        <v>0</v>
      </c>
    </row>
    <row r="12" ht="15.0" customHeight="1">
      <c r="A12" s="69">
        <v>0.416666666666667</v>
      </c>
      <c r="B12" s="76">
        <v>76.0</v>
      </c>
      <c r="C12" s="76">
        <v>16.0</v>
      </c>
      <c r="D12" s="76">
        <v>16.0</v>
      </c>
      <c r="E12" s="76">
        <v>8.0</v>
      </c>
      <c r="F12" s="76">
        <v>11.0</v>
      </c>
      <c r="G12" s="76">
        <v>1.2</v>
      </c>
      <c r="H12" s="76">
        <v>1.0</v>
      </c>
      <c r="I12" s="76">
        <v>0.5</v>
      </c>
      <c r="J12" s="76">
        <v>0.5</v>
      </c>
      <c r="K12" s="76">
        <v>6.9</v>
      </c>
      <c r="L12" s="76">
        <v>6.5</v>
      </c>
      <c r="M12" s="76">
        <v>6.5</v>
      </c>
      <c r="N12" s="76">
        <v>6.2</v>
      </c>
      <c r="O12" s="76">
        <v>2.5</v>
      </c>
      <c r="P12" s="76"/>
      <c r="Q12" s="310"/>
      <c r="R12" s="75">
        <f>'14'!Z15</f>
        <v>1210</v>
      </c>
      <c r="S12" s="76">
        <f>'14'!AB15</f>
        <v>65.45062632</v>
      </c>
      <c r="T12" s="77">
        <f>'14'!Y15</f>
        <v>3415</v>
      </c>
      <c r="U12" s="73" t="str">
        <f>IF('14'!AA15=1,'14'!AR6,'14'!AR7)</f>
        <v>S.A.L</v>
      </c>
      <c r="V12" s="88" t="str">
        <f>ESCALA!$B$16</f>
        <v/>
      </c>
      <c r="W12" s="89"/>
      <c r="X12" s="54">
        <v>0.291666666666667</v>
      </c>
      <c r="Y12" s="125">
        <v>3445.0</v>
      </c>
      <c r="Z12" s="125">
        <v>1210.0</v>
      </c>
      <c r="AA12" s="56">
        <v>1.0</v>
      </c>
      <c r="AB12" s="58">
        <f>IF('14'!AA12=1,(('14'!Z12*'14'!$AS$6*'14'!$AT$6)/('14'!Y12*0.0036)),IF('14'!AA12=2,(('14'!Z12*'14'!$AS$7*'14'!$AT$7)/('14'!Y12*0.0036))))</f>
        <v>64.88066441</v>
      </c>
      <c r="AC12" s="58"/>
      <c r="AD12" s="59">
        <f>(('14'!AC12*'14'!$Q$10*1000000))/('14'!Y12*3600)</f>
        <v>0</v>
      </c>
      <c r="AE12" s="427"/>
      <c r="AF12" s="61">
        <f>('14'!AE12/24)*0.454</f>
        <v>0</v>
      </c>
      <c r="AG12" s="60"/>
      <c r="AH12" s="61">
        <f>('14'!AG12/24)*0.454</f>
        <v>0</v>
      </c>
      <c r="AI12" s="427">
        <v>5000.0</v>
      </c>
      <c r="AJ12" s="61">
        <f>('14'!AI12/24)*0.454</f>
        <v>94.58333333</v>
      </c>
      <c r="AK12" s="62"/>
      <c r="AL12" s="63">
        <f>('14'!AK12/24)*0.454</f>
        <v>0</v>
      </c>
      <c r="AM12" s="62"/>
      <c r="AN12" s="63">
        <f>('14'!AM12/24)*0.454</f>
        <v>0</v>
      </c>
      <c r="AO12" s="62"/>
      <c r="AP12" s="63">
        <f>('14'!AO12/24)*0.454</f>
        <v>0</v>
      </c>
    </row>
    <row r="13" ht="15.0" customHeight="1">
      <c r="A13" s="69">
        <v>0.5</v>
      </c>
      <c r="B13" s="76">
        <v>75.0</v>
      </c>
      <c r="C13" s="76">
        <v>16.0</v>
      </c>
      <c r="D13" s="76">
        <v>16.0</v>
      </c>
      <c r="E13" s="76">
        <v>8.0</v>
      </c>
      <c r="F13" s="76">
        <v>11.0</v>
      </c>
      <c r="G13" s="76">
        <v>1.3</v>
      </c>
      <c r="H13" s="76">
        <v>0.9</v>
      </c>
      <c r="I13" s="76">
        <v>0.5</v>
      </c>
      <c r="J13" s="76">
        <v>0.5</v>
      </c>
      <c r="K13" s="76">
        <v>6.9</v>
      </c>
      <c r="L13" s="76">
        <v>6.5</v>
      </c>
      <c r="M13" s="76">
        <v>6.5</v>
      </c>
      <c r="N13" s="76">
        <v>6.2</v>
      </c>
      <c r="O13" s="76">
        <v>2.8</v>
      </c>
      <c r="P13" s="76"/>
      <c r="Q13" s="310"/>
      <c r="R13" s="75">
        <f>'14'!Z17</f>
        <v>1210</v>
      </c>
      <c r="S13" s="76">
        <f>'14'!AB17</f>
        <v>65.87500409</v>
      </c>
      <c r="T13" s="77">
        <f>'14'!Y17</f>
        <v>3393</v>
      </c>
      <c r="U13" s="73" t="str">
        <f>IF('14'!AA17=1,'14'!AR6,'14'!AR7)</f>
        <v>S.A.L</v>
      </c>
      <c r="V13" s="43"/>
      <c r="W13" s="27"/>
      <c r="X13" s="54">
        <v>0.333333333333333</v>
      </c>
      <c r="Y13" s="125">
        <v>3095.0</v>
      </c>
      <c r="Z13" s="125">
        <v>1210.0</v>
      </c>
      <c r="AA13" s="56">
        <v>1.0</v>
      </c>
      <c r="AB13" s="58">
        <f>IF('14'!AA13=1,(('14'!Z13*'14'!$AS$6*'14'!$AT$6)/('14'!Y13*0.0036)),IF('14'!AA13=2,(('14'!Z13*'14'!$AS$7*'14'!$AT$7)/('14'!Y13*0.0036))))</f>
        <v>72.2177347</v>
      </c>
      <c r="AC13" s="58"/>
      <c r="AD13" s="59">
        <f>(('14'!AC13*'14'!$Q$10*1000000))/('14'!Y13*3600)</f>
        <v>0</v>
      </c>
      <c r="AE13" s="427"/>
      <c r="AF13" s="61">
        <f>('14'!AE13/24)*0.454</f>
        <v>0</v>
      </c>
      <c r="AG13" s="60"/>
      <c r="AH13" s="61">
        <f>('14'!AG13/24)*0.454</f>
        <v>0</v>
      </c>
      <c r="AI13" s="308">
        <v>5000.0</v>
      </c>
      <c r="AJ13" s="61">
        <f>('14'!AI13/24)*0.454</f>
        <v>94.58333333</v>
      </c>
      <c r="AK13" s="62"/>
      <c r="AL13" s="63">
        <f>('14'!AK13/24)*0.454</f>
        <v>0</v>
      </c>
      <c r="AM13" s="62"/>
      <c r="AN13" s="63">
        <f>('14'!AM13/24)*0.454</f>
        <v>0</v>
      </c>
      <c r="AO13" s="62"/>
      <c r="AP13" s="63">
        <f>('14'!AO13/24)*0.454</f>
        <v>0</v>
      </c>
    </row>
    <row r="14" ht="15.0" customHeight="1">
      <c r="A14" s="69">
        <v>0.583333333333333</v>
      </c>
      <c r="B14" s="76">
        <v>78.0</v>
      </c>
      <c r="C14" s="76">
        <v>16.0</v>
      </c>
      <c r="D14" s="76">
        <v>14.0</v>
      </c>
      <c r="E14" s="76">
        <v>7.0</v>
      </c>
      <c r="F14" s="76">
        <v>13.0</v>
      </c>
      <c r="G14" s="76">
        <v>1.4</v>
      </c>
      <c r="H14" s="76">
        <v>0.9</v>
      </c>
      <c r="I14" s="76">
        <v>0.5</v>
      </c>
      <c r="J14" s="76">
        <v>0.5</v>
      </c>
      <c r="K14" s="76">
        <v>6.9</v>
      </c>
      <c r="L14" s="76">
        <v>6.5</v>
      </c>
      <c r="M14" s="76">
        <v>6.5</v>
      </c>
      <c r="N14" s="76">
        <v>6.2</v>
      </c>
      <c r="O14" s="76">
        <v>2.8</v>
      </c>
      <c r="P14" s="76"/>
      <c r="Q14" s="310"/>
      <c r="R14" s="75">
        <f>'14'!Z19</f>
        <v>1210</v>
      </c>
      <c r="S14" s="76">
        <f>'14'!AB19</f>
        <v>66.05020357</v>
      </c>
      <c r="T14" s="77">
        <f>'14'!Y19</f>
        <v>3384</v>
      </c>
      <c r="U14" s="73" t="str">
        <f>IF('14'!AA19=1,'14'!AR6,'14'!AR7)</f>
        <v>S.A.L</v>
      </c>
      <c r="V14" s="43"/>
      <c r="W14" s="27"/>
      <c r="X14" s="54">
        <v>0.375</v>
      </c>
      <c r="Y14" s="125">
        <v>3404.0</v>
      </c>
      <c r="Z14" s="125">
        <v>1210.0</v>
      </c>
      <c r="AA14" s="56">
        <v>1.0</v>
      </c>
      <c r="AB14" s="58">
        <f>IF('14'!AA14=1,(('14'!Z14*'14'!$AS$6*'14'!$AT$6)/('14'!Y14*0.0036)),IF('14'!AA14=2,(('14'!Z14*'14'!$AS$7*'14'!$AT$7)/('14'!Y14*0.0036))))</f>
        <v>65.66212952</v>
      </c>
      <c r="AC14" s="58"/>
      <c r="AD14" s="59">
        <f>(('14'!AC14*'14'!$Q$10*1000000))/('14'!Y14*3600)</f>
        <v>0</v>
      </c>
      <c r="AE14" s="427"/>
      <c r="AF14" s="61">
        <f>('14'!AE14/24)*0.454</f>
        <v>0</v>
      </c>
      <c r="AG14" s="60"/>
      <c r="AH14" s="61">
        <f>('14'!AG14/24)*0.454</f>
        <v>0</v>
      </c>
      <c r="AI14" s="308">
        <v>5000.0</v>
      </c>
      <c r="AJ14" s="61">
        <f>('14'!AI14/24)*0.454</f>
        <v>94.58333333</v>
      </c>
      <c r="AK14" s="62"/>
      <c r="AL14" s="63">
        <f>('14'!AK14/24)*0.454</f>
        <v>0</v>
      </c>
      <c r="AM14" s="62"/>
      <c r="AN14" s="63">
        <f>('14'!AM14/24)*0.454</f>
        <v>0</v>
      </c>
      <c r="AO14" s="62"/>
      <c r="AP14" s="63">
        <f>('14'!AO14/24)*0.454</f>
        <v>0</v>
      </c>
    </row>
    <row r="15" ht="15.0" customHeight="1">
      <c r="A15" s="69">
        <v>0.666666666666667</v>
      </c>
      <c r="B15" s="76">
        <v>89.0</v>
      </c>
      <c r="C15" s="76">
        <v>15.0</v>
      </c>
      <c r="D15" s="76">
        <v>14.0</v>
      </c>
      <c r="E15" s="76">
        <v>6.0</v>
      </c>
      <c r="F15" s="76">
        <v>17.0</v>
      </c>
      <c r="G15" s="76">
        <v>1.2</v>
      </c>
      <c r="H15" s="76">
        <v>1.0</v>
      </c>
      <c r="I15" s="76">
        <v>0.5</v>
      </c>
      <c r="J15" s="76">
        <v>0.5</v>
      </c>
      <c r="K15" s="76">
        <v>6.9</v>
      </c>
      <c r="L15" s="76">
        <v>6.5</v>
      </c>
      <c r="M15" s="76">
        <v>6.5</v>
      </c>
      <c r="N15" s="76">
        <v>6.2</v>
      </c>
      <c r="O15" s="76">
        <v>3.0</v>
      </c>
      <c r="P15" s="76"/>
      <c r="Q15" s="310"/>
      <c r="R15" s="75">
        <f>'14'!Z21</f>
        <v>1210</v>
      </c>
      <c r="S15" s="76">
        <f>'14'!AB21</f>
        <v>65.46979757</v>
      </c>
      <c r="T15" s="77">
        <f>'14'!Y21</f>
        <v>3414</v>
      </c>
      <c r="U15" s="73" t="str">
        <f>IF('14'!AA21=1,'14'!AR6,'14'!AR7)</f>
        <v>S.A.L</v>
      </c>
      <c r="V15" s="43"/>
      <c r="W15" s="27"/>
      <c r="X15" s="54">
        <v>0.416666666666667</v>
      </c>
      <c r="Y15" s="125">
        <v>3415.0</v>
      </c>
      <c r="Z15" s="125">
        <v>1210.0</v>
      </c>
      <c r="AA15" s="56">
        <v>1.0</v>
      </c>
      <c r="AB15" s="58">
        <f>IF('14'!AA15=1,(('14'!Z15*'14'!$AS$6*'14'!$AT$6)/('14'!Y15*0.0036)),IF('14'!AA15=2,(('14'!Z15*'14'!$AS$7*'14'!$AT$7)/('14'!Y15*0.0036))))</f>
        <v>65.45062632</v>
      </c>
      <c r="AC15" s="58"/>
      <c r="AD15" s="59">
        <f>(('14'!AC15*'14'!$Q$10*1000000))/('14'!Y15*3600)</f>
        <v>0</v>
      </c>
      <c r="AE15" s="427"/>
      <c r="AF15" s="61">
        <f>('14'!AE15/24)*0.454</f>
        <v>0</v>
      </c>
      <c r="AG15" s="60"/>
      <c r="AH15" s="61">
        <f>('14'!AG15/24)*0.454</f>
        <v>0</v>
      </c>
      <c r="AI15" s="308">
        <v>5000.0</v>
      </c>
      <c r="AJ15" s="61">
        <f>('14'!AI15/24)*0.454</f>
        <v>94.58333333</v>
      </c>
      <c r="AK15" s="62"/>
      <c r="AL15" s="63">
        <f>('14'!AK15/24)*0.454</f>
        <v>0</v>
      </c>
      <c r="AM15" s="62"/>
      <c r="AN15" s="63">
        <f>('14'!AM15/24)*0.454</f>
        <v>0</v>
      </c>
      <c r="AO15" s="62"/>
      <c r="AP15" s="63">
        <f>('14'!AO15/24)*0.454</f>
        <v>0</v>
      </c>
    </row>
    <row r="16" ht="15.0" customHeight="1">
      <c r="A16" s="69">
        <v>0.75</v>
      </c>
      <c r="B16" s="76">
        <v>94.0</v>
      </c>
      <c r="C16" s="76">
        <v>16.0</v>
      </c>
      <c r="D16" s="76">
        <v>14.0</v>
      </c>
      <c r="E16" s="76">
        <v>6.0</v>
      </c>
      <c r="F16" s="76">
        <v>18.0</v>
      </c>
      <c r="G16" s="76">
        <v>1.2</v>
      </c>
      <c r="H16" s="76">
        <v>0.9</v>
      </c>
      <c r="I16" s="76">
        <v>0.5</v>
      </c>
      <c r="J16" s="76">
        <v>0.5</v>
      </c>
      <c r="K16" s="76">
        <v>6.9</v>
      </c>
      <c r="L16" s="76">
        <v>6.5</v>
      </c>
      <c r="M16" s="76">
        <v>6.5</v>
      </c>
      <c r="N16" s="76">
        <v>6.2</v>
      </c>
      <c r="O16" s="76">
        <v>3.3</v>
      </c>
      <c r="P16" s="76"/>
      <c r="Q16" s="310"/>
      <c r="R16" s="75">
        <f>'14'!Z23</f>
        <v>1210</v>
      </c>
      <c r="S16" s="76">
        <f>'14'!AB23</f>
        <v>67.58811276</v>
      </c>
      <c r="T16" s="77">
        <f>'14'!Y23</f>
        <v>3307</v>
      </c>
      <c r="U16" s="73" t="str">
        <f>IF('14'!AA23=1,'14'!AR6,'14'!AR7)</f>
        <v>S.A.L</v>
      </c>
      <c r="V16" s="16"/>
      <c r="W16" s="18"/>
      <c r="X16" s="54">
        <v>0.458333333333333</v>
      </c>
      <c r="Y16" s="125">
        <v>3389.0</v>
      </c>
      <c r="Z16" s="125">
        <v>1210.0</v>
      </c>
      <c r="AA16" s="56">
        <v>1.0</v>
      </c>
      <c r="AB16" s="58">
        <f>IF('14'!AA16=1,(('14'!Z16*'14'!$AS$6*'14'!$AT$6)/('14'!Y16*0.0036)),IF('14'!AA16=2,(('14'!Z16*'14'!$AS$7*'14'!$AT$7)/('14'!Y16*0.0036))))</f>
        <v>65.95275565</v>
      </c>
      <c r="AC16" s="58"/>
      <c r="AD16" s="59">
        <f>(('14'!AC16*'14'!$Q$10*1000000))/('14'!Y16*3600)</f>
        <v>0</v>
      </c>
      <c r="AE16" s="427"/>
      <c r="AF16" s="61">
        <f>('14'!AE16/24)*0.454</f>
        <v>0</v>
      </c>
      <c r="AG16" s="60"/>
      <c r="AH16" s="61">
        <f>('14'!AG16/24)*0.454</f>
        <v>0</v>
      </c>
      <c r="AI16" s="308">
        <v>5000.0</v>
      </c>
      <c r="AJ16" s="61">
        <f>('14'!AI16/24)*0.454</f>
        <v>94.58333333</v>
      </c>
      <c r="AK16" s="62"/>
      <c r="AL16" s="63">
        <f>('14'!AK16/24)*0.454</f>
        <v>0</v>
      </c>
      <c r="AM16" s="62"/>
      <c r="AN16" s="63">
        <f>('14'!AM16/24)*0.454</f>
        <v>0</v>
      </c>
      <c r="AO16" s="62"/>
      <c r="AP16" s="63">
        <f>('14'!AO16/24)*0.454</f>
        <v>0</v>
      </c>
    </row>
    <row r="17" ht="15.0" customHeight="1">
      <c r="A17" s="69">
        <v>0.833333333333333</v>
      </c>
      <c r="B17" s="76">
        <v>96.0</v>
      </c>
      <c r="C17" s="76">
        <v>16.0</v>
      </c>
      <c r="D17" s="76">
        <v>14.0</v>
      </c>
      <c r="E17" s="76">
        <v>5.0</v>
      </c>
      <c r="F17" s="76">
        <v>17.0</v>
      </c>
      <c r="G17" s="76">
        <v>1.3</v>
      </c>
      <c r="H17" s="76">
        <v>0.9</v>
      </c>
      <c r="I17" s="76">
        <v>0.5</v>
      </c>
      <c r="J17" s="76">
        <v>0.5</v>
      </c>
      <c r="K17" s="76">
        <v>6.9</v>
      </c>
      <c r="L17" s="76">
        <v>6.5</v>
      </c>
      <c r="M17" s="76">
        <v>6.5</v>
      </c>
      <c r="N17" s="76">
        <v>6.2</v>
      </c>
      <c r="O17" s="76">
        <v>3.5</v>
      </c>
      <c r="P17" s="76"/>
      <c r="Q17" s="310"/>
      <c r="R17" s="75">
        <f>'14'!Z25</f>
        <v>1210</v>
      </c>
      <c r="S17" s="76">
        <f>'14'!AB25</f>
        <v>66.18711545</v>
      </c>
      <c r="T17" s="77">
        <f>'14'!Y25</f>
        <v>3377</v>
      </c>
      <c r="U17" s="73" t="str">
        <f>IF('14'!AA25=1,'14'!AR6,'14'!AR7)</f>
        <v>S.A.L</v>
      </c>
      <c r="V17" s="90" t="str">
        <f>ESCALA!$C$16</f>
        <v/>
      </c>
      <c r="W17" s="89"/>
      <c r="X17" s="54">
        <v>0.5</v>
      </c>
      <c r="Y17" s="125">
        <v>3393.0</v>
      </c>
      <c r="Z17" s="125">
        <v>1210.0</v>
      </c>
      <c r="AA17" s="56">
        <v>1.0</v>
      </c>
      <c r="AB17" s="58">
        <f>IF('14'!AA17=1,(('14'!Z17*'14'!$AS$6*'14'!$AT$6)/('14'!Y17*0.0036)),IF('14'!AA17=2,(('14'!Z17*'14'!$AS$7*'14'!$AT$7)/('14'!Y17*0.0036))))</f>
        <v>65.87500409</v>
      </c>
      <c r="AC17" s="58"/>
      <c r="AD17" s="59">
        <f>(('14'!AC17*'14'!$Q$10*1000000))/('14'!Y17*3600)</f>
        <v>0</v>
      </c>
      <c r="AE17" s="427"/>
      <c r="AF17" s="61">
        <f>('14'!AE17/24)*0.454</f>
        <v>0</v>
      </c>
      <c r="AG17" s="60"/>
      <c r="AH17" s="61">
        <f>('14'!AG17/24)*0.454</f>
        <v>0</v>
      </c>
      <c r="AI17" s="308">
        <v>5000.0</v>
      </c>
      <c r="AJ17" s="61">
        <f>('14'!AI17/24)*0.454</f>
        <v>94.58333333</v>
      </c>
      <c r="AK17" s="62"/>
      <c r="AL17" s="63">
        <f>('14'!AK17/24)*0.454</f>
        <v>0</v>
      </c>
      <c r="AM17" s="62"/>
      <c r="AN17" s="63">
        <f>('14'!AM17/24)*0.454</f>
        <v>0</v>
      </c>
      <c r="AO17" s="62"/>
      <c r="AP17" s="63">
        <f>('14'!AO17/24)*0.454</f>
        <v>0</v>
      </c>
    </row>
    <row r="18" ht="15.0" customHeight="1">
      <c r="A18" s="69">
        <v>0.916666666666667</v>
      </c>
      <c r="B18" s="76">
        <v>98.0</v>
      </c>
      <c r="C18" s="76">
        <v>16.0</v>
      </c>
      <c r="D18" s="76">
        <v>13.0</v>
      </c>
      <c r="E18" s="76">
        <v>5.0</v>
      </c>
      <c r="F18" s="76">
        <v>17.0</v>
      </c>
      <c r="G18" s="76">
        <v>1.3</v>
      </c>
      <c r="H18" s="76">
        <v>1.0</v>
      </c>
      <c r="I18" s="76">
        <v>0.5</v>
      </c>
      <c r="J18" s="76">
        <v>0.5</v>
      </c>
      <c r="K18" s="76">
        <v>6.9</v>
      </c>
      <c r="L18" s="76">
        <v>6.5</v>
      </c>
      <c r="M18" s="76">
        <v>6.5</v>
      </c>
      <c r="N18" s="76">
        <v>6.2</v>
      </c>
      <c r="O18" s="76">
        <v>3.5</v>
      </c>
      <c r="P18" s="76"/>
      <c r="Q18" s="310"/>
      <c r="R18" s="75">
        <f>'14'!Z27</f>
        <v>1210</v>
      </c>
      <c r="S18" s="76">
        <f>'14'!AB27</f>
        <v>65.87500409</v>
      </c>
      <c r="T18" s="77">
        <f>'14'!Y27</f>
        <v>3393</v>
      </c>
      <c r="U18" s="73" t="str">
        <f>IF('14'!AA27=1,'14'!AR6,'14'!AR7)</f>
        <v>S.A.L</v>
      </c>
      <c r="V18" s="16"/>
      <c r="W18" s="18"/>
      <c r="X18" s="54">
        <v>0.541666666666667</v>
      </c>
      <c r="Y18" s="125">
        <v>3388.0</v>
      </c>
      <c r="Z18" s="125">
        <v>1210.0</v>
      </c>
      <c r="AA18" s="56">
        <v>1.0</v>
      </c>
      <c r="AB18" s="58">
        <f>IF('14'!AA18=1,(('14'!Z18*'14'!$AS$6*'14'!$AT$6)/('14'!Y18*0.0036)),IF('14'!AA18=2,(('14'!Z18*'14'!$AS$7*'14'!$AT$7)/('14'!Y18*0.0036))))</f>
        <v>65.97222222</v>
      </c>
      <c r="AC18" s="58"/>
      <c r="AD18" s="59">
        <f>(('14'!AC18*'14'!$Q$10*1000000))/('14'!Y18*3600)</f>
        <v>0</v>
      </c>
      <c r="AE18" s="427"/>
      <c r="AF18" s="61">
        <f>('14'!AE18/24)*0.454</f>
        <v>0</v>
      </c>
      <c r="AG18" s="60"/>
      <c r="AH18" s="61">
        <f>('14'!AG18/24)*0.454</f>
        <v>0</v>
      </c>
      <c r="AI18" s="308">
        <v>5000.0</v>
      </c>
      <c r="AJ18" s="61">
        <f>('14'!AI18/24)*0.454</f>
        <v>94.58333333</v>
      </c>
      <c r="AK18" s="62"/>
      <c r="AL18" s="63">
        <f>('14'!AK18/24)*0.454</f>
        <v>0</v>
      </c>
      <c r="AM18" s="62"/>
      <c r="AN18" s="63">
        <f>('14'!AM18/24)*0.454</f>
        <v>0</v>
      </c>
      <c r="AO18" s="62"/>
      <c r="AP18" s="63">
        <f>('14'!AO18/24)*0.454</f>
        <v>0</v>
      </c>
    </row>
    <row r="19" ht="14.25" customHeight="1">
      <c r="A19" s="51" t="s">
        <v>52</v>
      </c>
      <c r="B19" s="91">
        <f t="array" ref="B19">IF('14'!B7:B18&gt;0.01,AVERAGE('14'!B7:B18),"")</f>
        <v>83.33333333</v>
      </c>
      <c r="C19" s="92">
        <f t="array" ref="C19">IF('14'!C7:C18&gt;0.01,AVERAGE('14'!C7:C18),"")</f>
        <v>15.16666667</v>
      </c>
      <c r="D19" s="92">
        <f t="array" ref="D19">IF('14'!D7:D18&gt;0.01,AVERAGE('14'!D7:D18),"")</f>
        <v>13.66666667</v>
      </c>
      <c r="E19" s="92">
        <f t="array" ref="E19">IF('14'!E7:E18&gt;0.01,AVERAGE('14'!E7:E18),"")</f>
        <v>6.333333333</v>
      </c>
      <c r="F19" s="92">
        <f t="array" ref="F19">IF('14'!F7:F18&gt;0.01,AVERAGE('14'!F7:F18),"")</f>
        <v>13.75</v>
      </c>
      <c r="G19" s="92">
        <f t="array" ref="G19">IF('14'!G7:G18&gt;0.01,AVERAGE('14'!G7:G18),"")</f>
        <v>1.183333333</v>
      </c>
      <c r="H19" s="92">
        <f t="array" ref="H19">IF('14'!H7:H18&gt;0.01,AVERAGE('14'!H7:H18),"")</f>
        <v>0.8083333333</v>
      </c>
      <c r="I19" s="92">
        <f t="array" ref="I19">IF('14'!I7:I18&gt;0.01,AVERAGE('14'!I7:I18),"")</f>
        <v>0.5</v>
      </c>
      <c r="J19" s="92">
        <f t="array" ref="J19">IF('14'!J7:J18&gt;0.01,AVERAGE('14'!J7:J18),"")</f>
        <v>0.5083333333</v>
      </c>
      <c r="K19" s="92">
        <f t="array" ref="K19">IF('14'!K7:K18&gt;0.01,AVERAGE('14'!K7:K18),"")</f>
        <v>6.9</v>
      </c>
      <c r="L19" s="92">
        <f t="array" ref="L19">IF('14'!L7:L18&gt;0.01,AVERAGE('14'!L7:L18),"")</f>
        <v>6.5</v>
      </c>
      <c r="M19" s="92">
        <f t="array" ref="M19">IF('14'!M7:M18&gt;0.01,AVERAGE('14'!M7:M18),"")</f>
        <v>6.5</v>
      </c>
      <c r="N19" s="92">
        <f t="array" ref="N19">IF('14'!N7:N18&gt;0.01,AVERAGE('14'!N7:N18),"")</f>
        <v>6.2</v>
      </c>
      <c r="O19" s="92">
        <f t="array" ref="O19">IF('14'!O7:O18&gt;0.01,AVERAGE('14'!O7:O18),"")</f>
        <v>3.233333333</v>
      </c>
      <c r="P19" s="93" t="str">
        <f t="array" ref="P19">IF('14'!P7:P18&gt;0.01,AVERAGE('14'!P7:P18),"")</f>
        <v/>
      </c>
      <c r="Q19" s="94" t="str">
        <f t="array" ref="Q19">IF('14'!Q7:Q18&gt;0.01,AVERAGE('14'!Q7:Q18),"")</f>
        <v/>
      </c>
      <c r="R19" s="94">
        <f t="array" ref="R19">IF('14'!R7:R18&gt;0.01,AVERAGE('14'!R7:R18),"")</f>
        <v>1210</v>
      </c>
      <c r="S19" s="94">
        <f t="array" ref="S19">IF('14'!S7:S18&gt;0.01,AVERAGE('14'!S7:S18),"")</f>
        <v>66.98044438</v>
      </c>
      <c r="T19" s="95"/>
      <c r="U19" s="96"/>
      <c r="W19" s="97"/>
      <c r="X19" s="54">
        <v>0.583333333333333</v>
      </c>
      <c r="Y19" s="125">
        <v>3384.0</v>
      </c>
      <c r="Z19" s="125">
        <v>1210.0</v>
      </c>
      <c r="AA19" s="56">
        <v>1.0</v>
      </c>
      <c r="AB19" s="58">
        <f>IF('14'!AA19=1,(('14'!Z19*'14'!$AS$6*'14'!$AT$6)/('14'!Y19*0.0036)),IF('14'!AA19=2,(('14'!Z19*'14'!$AS$7*'14'!$AT$7)/('14'!Y19*0.0036))))</f>
        <v>66.05020357</v>
      </c>
      <c r="AC19" s="58"/>
      <c r="AD19" s="59">
        <f>(('14'!AC19*'14'!$Q$10*1000000))/('14'!Y19*3600)</f>
        <v>0</v>
      </c>
      <c r="AE19" s="427"/>
      <c r="AF19" s="61">
        <f>('14'!AE19/24)*0.454</f>
        <v>0</v>
      </c>
      <c r="AG19" s="60"/>
      <c r="AH19" s="61">
        <f>('14'!AG19/24)*0.454</f>
        <v>0</v>
      </c>
      <c r="AI19" s="308">
        <v>5000.0</v>
      </c>
      <c r="AJ19" s="61">
        <f>('14'!AI19/24)*0.454</f>
        <v>94.58333333</v>
      </c>
      <c r="AK19" s="62"/>
      <c r="AL19" s="63">
        <f>('14'!AK19/24)*0.454</f>
        <v>0</v>
      </c>
      <c r="AM19" s="62"/>
      <c r="AN19" s="63">
        <f>('14'!AM19/24)*0.454</f>
        <v>0</v>
      </c>
      <c r="AO19" s="62"/>
      <c r="AP19" s="63">
        <f>('14'!AO19/24)*0.454</f>
        <v>0</v>
      </c>
    </row>
    <row r="20" ht="14.25" customHeight="1">
      <c r="A20" s="51" t="s">
        <v>53</v>
      </c>
      <c r="B20" s="91">
        <f>MAX('14'!B7:B18)</f>
        <v>98</v>
      </c>
      <c r="C20" s="92">
        <f>MAX('14'!C7:C18)</f>
        <v>16</v>
      </c>
      <c r="D20" s="92">
        <f>MAX('14'!D7:D18)</f>
        <v>16</v>
      </c>
      <c r="E20" s="92">
        <f>MAX('14'!E7:E18)</f>
        <v>8</v>
      </c>
      <c r="F20" s="92">
        <f>MAX('14'!F7:F18)</f>
        <v>18</v>
      </c>
      <c r="G20" s="92">
        <f>MAX('14'!G7:G18)</f>
        <v>1.4</v>
      </c>
      <c r="H20" s="92">
        <f>MAX('14'!H7:H18)</f>
        <v>1</v>
      </c>
      <c r="I20" s="92">
        <f>MAX('14'!I7:I18)</f>
        <v>0.5</v>
      </c>
      <c r="J20" s="92">
        <f>MAX('14'!J7:J18)</f>
        <v>0.6</v>
      </c>
      <c r="K20" s="92">
        <f>MAX('14'!K7:K18)</f>
        <v>6.9</v>
      </c>
      <c r="L20" s="92">
        <f>MAX('14'!L7:L18)</f>
        <v>6.5</v>
      </c>
      <c r="M20" s="92">
        <f>MAX('14'!M7:M18)</f>
        <v>6.5</v>
      </c>
      <c r="N20" s="92">
        <f>MAX('14'!N7:N18)</f>
        <v>6.2</v>
      </c>
      <c r="O20" s="98">
        <f>MAX('14'!O7:O18)</f>
        <v>3.6</v>
      </c>
      <c r="P20" s="98">
        <f>MAX('14'!P7:P18)</f>
        <v>0</v>
      </c>
      <c r="Q20" s="98">
        <f>MAX('14'!Q7:Q18)</f>
        <v>0</v>
      </c>
      <c r="R20" s="98">
        <f>MAX('14'!R7:R18)</f>
        <v>1210</v>
      </c>
      <c r="S20" s="98">
        <f>MAX('14'!S7:S18)</f>
        <v>72.2177347</v>
      </c>
      <c r="T20" s="99"/>
      <c r="U20" s="21"/>
      <c r="X20" s="54">
        <v>0.625</v>
      </c>
      <c r="Y20" s="125">
        <v>3387.0</v>
      </c>
      <c r="Z20" s="125">
        <v>1210.0</v>
      </c>
      <c r="AA20" s="56">
        <v>1.0</v>
      </c>
      <c r="AB20" s="58">
        <f>IF('14'!AA20=1,(('14'!Z20*'14'!$AS$6*'14'!$AT$6)/('14'!Y20*0.0036)),IF('14'!AA20=2,(('14'!Z20*'14'!$AS$7*'14'!$AT$7)/('14'!Y20*0.0036))))</f>
        <v>65.99170029</v>
      </c>
      <c r="AC20" s="58"/>
      <c r="AD20" s="59">
        <f>(('14'!AC20*'14'!$Q$10*1000000))/('14'!Y20*3600)</f>
        <v>0</v>
      </c>
      <c r="AE20" s="427"/>
      <c r="AF20" s="61">
        <f>('14'!AE20/24)*0.454</f>
        <v>0</v>
      </c>
      <c r="AG20" s="60"/>
      <c r="AH20" s="61">
        <f>('14'!AG20/24)*0.454</f>
        <v>0</v>
      </c>
      <c r="AI20" s="308">
        <v>5000.0</v>
      </c>
      <c r="AJ20" s="61">
        <f>('14'!AI20/24)*0.454</f>
        <v>94.58333333</v>
      </c>
      <c r="AK20" s="62"/>
      <c r="AL20" s="63">
        <f>('14'!AK20/24)*0.454</f>
        <v>0</v>
      </c>
      <c r="AM20" s="62"/>
      <c r="AN20" s="63">
        <f>('14'!AM20/24)*0.454</f>
        <v>0</v>
      </c>
      <c r="AO20" s="62"/>
      <c r="AP20" s="63">
        <f>('14'!AO20/24)*0.454</f>
        <v>0</v>
      </c>
    </row>
    <row r="21" ht="14.25" customHeight="1">
      <c r="A21" s="51" t="s">
        <v>54</v>
      </c>
      <c r="B21" s="91">
        <f>MIN('14'!B7:B18)</f>
        <v>74</v>
      </c>
      <c r="C21" s="92">
        <f>MIN('14'!C7:C18)</f>
        <v>14</v>
      </c>
      <c r="D21" s="92">
        <f>MIN('14'!D7:D18)</f>
        <v>12</v>
      </c>
      <c r="E21" s="92">
        <f>MIN('14'!E7:E18)</f>
        <v>5</v>
      </c>
      <c r="F21" s="92">
        <f>MIN('14'!F7:F18)</f>
        <v>11</v>
      </c>
      <c r="G21" s="100">
        <f>MIN('14'!G7:G18)</f>
        <v>1</v>
      </c>
      <c r="H21" s="100">
        <f>MIN('14'!H7:H18)</f>
        <v>0.5</v>
      </c>
      <c r="I21" s="100">
        <f>MIN('14'!I7:I18)</f>
        <v>0.5</v>
      </c>
      <c r="J21" s="100">
        <f>MIN('14'!J7:J18)</f>
        <v>0.5</v>
      </c>
      <c r="K21" s="100">
        <f>MIN('14'!K7:K18)</f>
        <v>6.9</v>
      </c>
      <c r="L21" s="100">
        <f>MIN('14'!L7:L18)</f>
        <v>6.5</v>
      </c>
      <c r="M21" s="100">
        <f>MIN('14'!M7:M18)</f>
        <v>6.5</v>
      </c>
      <c r="N21" s="100">
        <f>MIN('14'!N7:N18)</f>
        <v>6.2</v>
      </c>
      <c r="O21" s="101">
        <f>MIN('14'!O7:O18)</f>
        <v>2.5</v>
      </c>
      <c r="P21" s="101">
        <f>MIN('14'!P7:P18)</f>
        <v>0</v>
      </c>
      <c r="Q21" s="101">
        <f>MIN('14'!Q7:Q18)</f>
        <v>0</v>
      </c>
      <c r="R21" s="101">
        <f>MIN('14'!R7:R18)</f>
        <v>1210</v>
      </c>
      <c r="S21" s="101">
        <f>MIN('14'!S7:S18)</f>
        <v>65.45062632</v>
      </c>
      <c r="T21" s="99"/>
      <c r="U21" s="21"/>
      <c r="X21" s="54">
        <v>0.666666666666667</v>
      </c>
      <c r="Y21" s="125">
        <v>3414.0</v>
      </c>
      <c r="Z21" s="125">
        <v>1210.0</v>
      </c>
      <c r="AA21" s="56">
        <v>1.0</v>
      </c>
      <c r="AB21" s="58">
        <f>IF('14'!AA21=1,(('14'!Z21*'14'!$AS$6*'14'!$AT$6)/('14'!Y21*0.0036)),IF('14'!AA21=2,(('14'!Z21*'14'!$AS$7*'14'!$AT$7)/('14'!Y21*0.0036))))</f>
        <v>65.46979757</v>
      </c>
      <c r="AC21" s="58"/>
      <c r="AD21" s="59">
        <f>(('14'!AC21*'14'!$Q$10*1000000))/('14'!Y21*3600)</f>
        <v>0</v>
      </c>
      <c r="AE21" s="427"/>
      <c r="AF21" s="61">
        <f>('14'!AE21/24)*0.454</f>
        <v>0</v>
      </c>
      <c r="AG21" s="60"/>
      <c r="AH21" s="61">
        <f>('14'!AG21/24)*0.454</f>
        <v>0</v>
      </c>
      <c r="AI21" s="308">
        <v>5000.0</v>
      </c>
      <c r="AJ21" s="61">
        <f>('14'!AI21/24)*0.454</f>
        <v>94.58333333</v>
      </c>
      <c r="AK21" s="62"/>
      <c r="AL21" s="63">
        <f>('14'!AK21/24)*0.454</f>
        <v>0</v>
      </c>
      <c r="AM21" s="62"/>
      <c r="AN21" s="63">
        <f>('14'!AM21/24)*0.454</f>
        <v>0</v>
      </c>
      <c r="AO21" s="62"/>
      <c r="AP21" s="63">
        <f>('14'!AO21/24)*0.454</f>
        <v>0</v>
      </c>
    </row>
    <row r="22" ht="13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3154.0</v>
      </c>
      <c r="Z22" s="125">
        <v>1210.0</v>
      </c>
      <c r="AA22" s="56">
        <v>1.0</v>
      </c>
      <c r="AB22" s="58">
        <f>IF('14'!AA22=1,(('14'!Z22*'14'!$AS$6*'14'!$AT$6)/('14'!Y22*0.0036)),IF('14'!AA22=2,(('14'!Z22*'14'!$AS$7*'14'!$AT$7)/('14'!Y22*0.0036))))</f>
        <v>70.86680054</v>
      </c>
      <c r="AC22" s="58"/>
      <c r="AD22" s="59">
        <f>(('14'!AC22*'14'!$Q$10*1000000))/('14'!Y22*3600)</f>
        <v>0</v>
      </c>
      <c r="AE22" s="427"/>
      <c r="AF22" s="61">
        <f>('14'!AE22/24)*0.454</f>
        <v>0</v>
      </c>
      <c r="AG22" s="60"/>
      <c r="AH22" s="61">
        <f>('14'!AG22/24)*0.454</f>
        <v>0</v>
      </c>
      <c r="AI22" s="308">
        <v>5000.0</v>
      </c>
      <c r="AJ22" s="61">
        <f>('14'!AI22/24)*0.454</f>
        <v>94.58333333</v>
      </c>
      <c r="AK22" s="62"/>
      <c r="AL22" s="63">
        <f>('14'!AK22/24)*0.454</f>
        <v>0</v>
      </c>
      <c r="AM22" s="62"/>
      <c r="AN22" s="63">
        <f>('14'!AM22/24)*0.454</f>
        <v>0</v>
      </c>
      <c r="AO22" s="62"/>
      <c r="AP22" s="63">
        <f>('14'!AO22/24)*0.454</f>
        <v>0</v>
      </c>
    </row>
    <row r="23" ht="13.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3307.0</v>
      </c>
      <c r="Z23" s="125">
        <v>1210.0</v>
      </c>
      <c r="AA23" s="56">
        <v>1.0</v>
      </c>
      <c r="AB23" s="58">
        <f>IF('14'!AA23=1,(('14'!Z23*'14'!$AS$6*'14'!$AT$6)/('14'!Y23*0.0036)),IF('14'!AA23=2,(('14'!Z23*'14'!$AS$7*'14'!$AT$7)/('14'!Y23*0.0036))))</f>
        <v>67.58811276</v>
      </c>
      <c r="AC23" s="58"/>
      <c r="AD23" s="59">
        <f>(('14'!AC23*'14'!$Q$10*1000000))/('14'!Y23*3600)</f>
        <v>0</v>
      </c>
      <c r="AE23" s="427"/>
      <c r="AF23" s="61">
        <f>('14'!AE23/24)*0.454</f>
        <v>0</v>
      </c>
      <c r="AG23" s="60"/>
      <c r="AH23" s="61">
        <f>('14'!AG23/24)*0.454</f>
        <v>0</v>
      </c>
      <c r="AI23" s="308">
        <v>5000.0</v>
      </c>
      <c r="AJ23" s="61">
        <f>('14'!AI23/24)*0.454</f>
        <v>94.58333333</v>
      </c>
      <c r="AK23" s="62"/>
      <c r="AL23" s="63">
        <f>('14'!AK23/24)*0.454</f>
        <v>0</v>
      </c>
      <c r="AM23" s="62"/>
      <c r="AN23" s="63">
        <f>('14'!AM23/24)*0.454</f>
        <v>0</v>
      </c>
      <c r="AO23" s="62"/>
      <c r="AP23" s="63">
        <f>('14'!AO23/24)*0.454</f>
        <v>0</v>
      </c>
    </row>
    <row r="24" ht="13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3349.0</v>
      </c>
      <c r="Z24" s="125">
        <v>1210.0</v>
      </c>
      <c r="AA24" s="56">
        <v>1.0</v>
      </c>
      <c r="AB24" s="58">
        <f>IF('14'!AA24=1,(('14'!Z24*'14'!$AS$6*'14'!$AT$6)/('14'!Y24*0.0036)),IF('14'!AA24=2,(('14'!Z24*'14'!$AS$7*'14'!$AT$7)/('14'!Y24*0.0036))))</f>
        <v>66.74048638</v>
      </c>
      <c r="AC24" s="57"/>
      <c r="AD24" s="154">
        <f>(('14'!AC24*'14'!$Q$10*1000000))/('14'!Y24*3600)</f>
        <v>0</v>
      </c>
      <c r="AE24" s="427"/>
      <c r="AF24" s="311">
        <f>('14'!AE24/24)*0.454</f>
        <v>0</v>
      </c>
      <c r="AG24" s="125"/>
      <c r="AH24" s="311">
        <f>('14'!AG24/24)*0.454</f>
        <v>0</v>
      </c>
      <c r="AI24" s="308">
        <v>5000.0</v>
      </c>
      <c r="AJ24" s="311">
        <f>('14'!AI24/24)*0.454</f>
        <v>94.58333333</v>
      </c>
      <c r="AK24" s="62"/>
      <c r="AL24" s="110">
        <f>('14'!AK24/24)*0.454</f>
        <v>0</v>
      </c>
      <c r="AM24" s="312"/>
      <c r="AN24" s="110">
        <f>('14'!AM24/24)*0.454</f>
        <v>0</v>
      </c>
      <c r="AO24" s="62"/>
      <c r="AP24" s="110">
        <f>('14'!AO24/24)*0.454</f>
        <v>0</v>
      </c>
    </row>
    <row r="25" ht="19.5" customHeight="1">
      <c r="A25" s="111">
        <v>0.416666666666667</v>
      </c>
      <c r="B25" s="108">
        <v>0.54</v>
      </c>
      <c r="C25" s="108">
        <v>0.53</v>
      </c>
      <c r="D25" s="108">
        <v>0.59</v>
      </c>
      <c r="E25" s="313">
        <v>0.42</v>
      </c>
      <c r="F25" s="313">
        <v>0.55</v>
      </c>
      <c r="G25" s="313" t="s">
        <v>132</v>
      </c>
      <c r="H25" s="313">
        <v>0.46</v>
      </c>
      <c r="I25" s="313">
        <v>0.44</v>
      </c>
      <c r="J25" s="313" t="s">
        <v>132</v>
      </c>
      <c r="K25" s="313">
        <v>0.52</v>
      </c>
      <c r="L25" s="313">
        <v>0.33</v>
      </c>
      <c r="M25" s="313">
        <v>0.29</v>
      </c>
      <c r="N25" s="313">
        <v>0.31</v>
      </c>
      <c r="O25" s="313">
        <v>0.36</v>
      </c>
      <c r="P25" s="313">
        <v>0.28</v>
      </c>
      <c r="Q25" s="313" t="s">
        <v>132</v>
      </c>
      <c r="R25" s="112" t="str">
        <f t="shared" ref="R25:R26" si="1">#DIV/0!</f>
        <v>#DIV/0!</v>
      </c>
      <c r="S25" s="113"/>
      <c r="T25" s="348" t="s">
        <v>0</v>
      </c>
      <c r="U25" s="370">
        <f>ESCALA!$A$16</f>
        <v>43935</v>
      </c>
      <c r="X25" s="54">
        <v>0.833333333333333</v>
      </c>
      <c r="Y25" s="125">
        <v>3377.0</v>
      </c>
      <c r="Z25" s="125">
        <v>1210.0</v>
      </c>
      <c r="AA25" s="56">
        <v>1.0</v>
      </c>
      <c r="AB25" s="58">
        <f>IF('14'!AA25=1,(('14'!Z25*'14'!$AS$6*'14'!$AT$6)/('14'!Y25*0.0036)),IF('14'!AA25=2,(('14'!Z25*'14'!$AS$7*'14'!$AT$7)/('14'!Y25*0.0036))))</f>
        <v>66.18711545</v>
      </c>
      <c r="AC25" s="58"/>
      <c r="AD25" s="59">
        <f>(('14'!AC25*'14'!$Q$10*1000000))/('14'!Y25*3600)</f>
        <v>0</v>
      </c>
      <c r="AE25" s="427"/>
      <c r="AF25" s="61">
        <f>('14'!AE25/24)*0.454</f>
        <v>0</v>
      </c>
      <c r="AG25" s="60"/>
      <c r="AH25" s="61">
        <f>('14'!AG25/24)*0.454</f>
        <v>0</v>
      </c>
      <c r="AI25" s="308">
        <v>5000.0</v>
      </c>
      <c r="AJ25" s="61">
        <f>('14'!AI25/24)*0.454</f>
        <v>94.58333333</v>
      </c>
      <c r="AK25" s="62"/>
      <c r="AL25" s="63">
        <f>('14'!AK25/24)*0.454</f>
        <v>0</v>
      </c>
      <c r="AM25" s="62"/>
      <c r="AN25" s="63">
        <f>('14'!AM25/24)*0.454</f>
        <v>0</v>
      </c>
      <c r="AO25" s="62"/>
      <c r="AP25" s="63">
        <f>('14'!AO25/24)*0.454</f>
        <v>0</v>
      </c>
    </row>
    <row r="26" ht="19.5" customHeight="1">
      <c r="A26" s="111">
        <v>0.666666666666667</v>
      </c>
      <c r="B26" s="108"/>
      <c r="C26" s="108"/>
      <c r="D26" s="42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12" t="str">
        <f t="shared" si="1"/>
        <v>#DIV/0!</v>
      </c>
      <c r="S26" s="429"/>
      <c r="T26" s="118"/>
      <c r="U26" s="118"/>
      <c r="X26" s="54">
        <v>0.875</v>
      </c>
      <c r="Y26" s="125">
        <v>3395.0</v>
      </c>
      <c r="Z26" s="125">
        <v>1210.0</v>
      </c>
      <c r="AA26" s="56">
        <v>1.0</v>
      </c>
      <c r="AB26" s="58">
        <f>IF('14'!AA26=1,(('14'!Z26*'14'!$AS$6*'14'!$AT$6)/('14'!Y26*0.0036)),IF('14'!AA26=2,(('14'!Z26*'14'!$AS$7*'14'!$AT$7)/('14'!Y26*0.0036))))</f>
        <v>65.83619702</v>
      </c>
      <c r="AC26" s="58"/>
      <c r="AD26" s="59">
        <f>(('14'!AC26*'14'!$Q$10*1000000))/('14'!Y26*3600)</f>
        <v>0</v>
      </c>
      <c r="AE26" s="427"/>
      <c r="AF26" s="61">
        <f>('14'!AE26/24)*0.454</f>
        <v>0</v>
      </c>
      <c r="AG26" s="60"/>
      <c r="AH26" s="61">
        <f>('14'!AG26/24)*0.454</f>
        <v>0</v>
      </c>
      <c r="AI26" s="308">
        <v>5000.0</v>
      </c>
      <c r="AJ26" s="61">
        <f>('14'!AI26/24)*0.454</f>
        <v>94.58333333</v>
      </c>
      <c r="AK26" s="62"/>
      <c r="AL26" s="63">
        <f>('14'!AK26/24)*0.454</f>
        <v>0</v>
      </c>
      <c r="AM26" s="62"/>
      <c r="AN26" s="63">
        <f>('14'!AM26/24)*0.454</f>
        <v>0</v>
      </c>
      <c r="AO26" s="62"/>
      <c r="AP26" s="63">
        <f>('14'!AO26/24)*0.454</f>
        <v>0</v>
      </c>
    </row>
    <row r="27" ht="13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2" t="str">
        <f t="shared" si="2"/>
        <v>#DIV/0!</v>
      </c>
      <c r="R27" s="430"/>
      <c r="S27" s="106"/>
      <c r="T27" s="106"/>
      <c r="U27" s="157"/>
      <c r="X27" s="54">
        <v>0.916666666666667</v>
      </c>
      <c r="Y27" s="125">
        <v>3393.0</v>
      </c>
      <c r="Z27" s="125">
        <v>1210.0</v>
      </c>
      <c r="AA27" s="56">
        <v>1.0</v>
      </c>
      <c r="AB27" s="58">
        <f>IF('14'!AA27=1,(('14'!Z27*'14'!$AS$6*'14'!$AT$6)/('14'!Y27*0.0036)),IF('14'!AA27=2,(('14'!Z27*'14'!$AS$7*'14'!$AT$7)/('14'!Y27*0.0036))))</f>
        <v>65.87500409</v>
      </c>
      <c r="AC27" s="58"/>
      <c r="AD27" s="59">
        <f>(('14'!AC27*'14'!$Q$10*1000000))/('14'!Y27*3600)</f>
        <v>0</v>
      </c>
      <c r="AE27" s="427"/>
      <c r="AF27" s="61">
        <f>('14'!AE27/24)*0.454</f>
        <v>0</v>
      </c>
      <c r="AG27" s="60"/>
      <c r="AH27" s="61">
        <f>('14'!AG27/24)*0.454</f>
        <v>0</v>
      </c>
      <c r="AI27" s="308">
        <v>5000.0</v>
      </c>
      <c r="AJ27" s="61">
        <f>('14'!AI27/24)*0.454</f>
        <v>94.58333333</v>
      </c>
      <c r="AK27" s="62"/>
      <c r="AL27" s="63">
        <f>('14'!AK27/24)*0.454</f>
        <v>0</v>
      </c>
      <c r="AM27" s="62"/>
      <c r="AN27" s="63">
        <f>('14'!AM27/24)*0.454</f>
        <v>0</v>
      </c>
      <c r="AO27" s="62"/>
      <c r="AP27" s="63">
        <f>('14'!AO27/24)*0.454</f>
        <v>0</v>
      </c>
    </row>
    <row r="28" ht="17.2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3454.0</v>
      </c>
      <c r="Z28" s="125">
        <v>1210.0</v>
      </c>
      <c r="AA28" s="56">
        <v>1.0</v>
      </c>
      <c r="AB28" s="58">
        <f>IF('14'!AA28=1,(('14'!Z28*'14'!$AS$6*'14'!$AT$6)/('14'!Y28*0.0036)),IF('14'!AA28=2,(('14'!Z28*'14'!$AS$7*'14'!$AT$7)/('14'!Y28*0.0036))))</f>
        <v>64.71160651</v>
      </c>
      <c r="AC28" s="58"/>
      <c r="AD28" s="59">
        <f>(('14'!AC28*'14'!$Q$10*1000000))/('14'!Y28*3600)</f>
        <v>0</v>
      </c>
      <c r="AE28" s="427"/>
      <c r="AF28" s="61">
        <f>('14'!AE28/24)*0.454</f>
        <v>0</v>
      </c>
      <c r="AG28" s="60"/>
      <c r="AH28" s="61">
        <f>('14'!AG28/24)*0.454</f>
        <v>0</v>
      </c>
      <c r="AI28" s="308">
        <v>5000.0</v>
      </c>
      <c r="AJ28" s="61">
        <f>('14'!AI28/24)*0.454</f>
        <v>94.58333333</v>
      </c>
      <c r="AK28" s="62"/>
      <c r="AL28" s="63">
        <f>('14'!AK28/24)*0.454</f>
        <v>0</v>
      </c>
      <c r="AM28" s="62"/>
      <c r="AN28" s="63">
        <f>('14'!AM28/24)*0.454</f>
        <v>0</v>
      </c>
      <c r="AO28" s="62"/>
      <c r="AP28" s="63">
        <f>('14'!AO28/24)*0.454</f>
        <v>0</v>
      </c>
    </row>
    <row r="29" ht="13.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3413.0</v>
      </c>
      <c r="Z29" s="125">
        <v>1210.0</v>
      </c>
      <c r="AA29" s="56">
        <v>1.0</v>
      </c>
      <c r="AB29" s="58">
        <f>IF('14'!AA29=1,(('14'!Z29*'14'!$AS$6*'14'!$AT$6)/('14'!Y29*0.0036)),IF('14'!AA29=2,(('14'!Z29*'14'!$AS$7*'14'!$AT$7)/('14'!Y29*0.0036))))</f>
        <v>65.48898004</v>
      </c>
      <c r="AC29" s="58"/>
      <c r="AD29" s="59">
        <f>(('14'!AC29*'14'!$Q$10*1000000))/('14'!Y29*3600)</f>
        <v>0</v>
      </c>
      <c r="AE29" s="427"/>
      <c r="AF29" s="61">
        <f>('14'!AE29/24)*0.454</f>
        <v>0</v>
      </c>
      <c r="AG29" s="60"/>
      <c r="AH29" s="61">
        <f>('14'!AG29/24)*0.454</f>
        <v>0</v>
      </c>
      <c r="AI29" s="308">
        <v>5000.0</v>
      </c>
      <c r="AJ29" s="61">
        <f>('14'!AI29/24)*0.454</f>
        <v>94.58333333</v>
      </c>
      <c r="AK29" s="62"/>
      <c r="AL29" s="63">
        <f>('14'!AK29/24)*0.454</f>
        <v>0</v>
      </c>
      <c r="AM29" s="62"/>
      <c r="AN29" s="63">
        <f>('14'!AM29/24)*0.454</f>
        <v>0</v>
      </c>
      <c r="AO29" s="62"/>
      <c r="AP29" s="63">
        <f>('14'!AO29/24)*0.454</f>
        <v>0</v>
      </c>
    </row>
    <row r="30" ht="18.75" customHeight="1">
      <c r="A30" s="43"/>
      <c r="U30" s="27"/>
      <c r="X30" s="130" t="s">
        <v>55</v>
      </c>
      <c r="Y30" s="131">
        <f>SUM('14'!Y6:Y29)*3.6</f>
        <v>289756.8</v>
      </c>
      <c r="Z30" s="431">
        <f>SUM('14'!Z6:Z29)</f>
        <v>29040</v>
      </c>
      <c r="AA30" s="133"/>
      <c r="AB30" s="132"/>
      <c r="AC30" s="133"/>
      <c r="AD30" s="132"/>
      <c r="AE30" s="60"/>
      <c r="AF30" s="61">
        <f>SUM('14'!AF6:AF29)</f>
        <v>0</v>
      </c>
      <c r="AG30" s="60"/>
      <c r="AH30" s="61">
        <f>SUM('14'!AH6:AH29)</f>
        <v>0</v>
      </c>
      <c r="AI30" s="61"/>
      <c r="AJ30" s="61">
        <f>SUM('14'!AJ6:AJ29)</f>
        <v>2270</v>
      </c>
      <c r="AK30" s="62"/>
      <c r="AL30" s="63">
        <f>SUM('14'!AL6:AL29)</f>
        <v>0</v>
      </c>
      <c r="AM30" s="62"/>
      <c r="AN30" s="63">
        <f>SUM('14'!AN6:AN29)</f>
        <v>0</v>
      </c>
      <c r="AO30" s="62"/>
      <c r="AP30" s="63">
        <f>SUM('14'!AP6:AP29)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SUMIF('14'!AA6:AA29,"=1",'14'!Z6:Z29)</f>
        <v>29040</v>
      </c>
      <c r="AA32" s="132">
        <f>'14'!Z32*'14'!AS6</f>
        <v>38623.2</v>
      </c>
      <c r="AB32" s="139">
        <f>SUMIF('14'!$AA$6:$AA$29,"=1",'14'!$AB$6:$AB$29)/COUNTIF('14'!$AA$6:$AA$29,"=1")</f>
        <v>66.68825085</v>
      </c>
      <c r="AC32" s="140">
        <f>SUMIF('14'!AA6:AA29,"=1",'14'!AC6:AC29)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SUMIF('14'!AA6:AA29,"=2",'14'!Z6:Z29)</f>
        <v>0</v>
      </c>
      <c r="AA33" s="132">
        <f>'14'!Z33*'14'!AS7</f>
        <v>0</v>
      </c>
      <c r="AB33" s="139" t="str">
        <f>SUMIF('14'!$AA$6:$AA$29,"=2",'14'!$AB$6:$AB$29)/COUNTIF('14'!$AA$6:$AA$29,"=2")</f>
        <v>#DIV/0!</v>
      </c>
      <c r="AC33" s="145">
        <f>SUMIF('14'!AA6:AA29,"=2",'14'!AC6:AC29)</f>
        <v>0</v>
      </c>
      <c r="AD33" s="145"/>
      <c r="AE33" s="146"/>
      <c r="AF33" s="147"/>
      <c r="AG33" s="146"/>
      <c r="AH33" s="147"/>
      <c r="AI33" s="146"/>
      <c r="AJ33" s="148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AVERAGE('14'!Y6:Y29)</f>
        <v>3353.666667</v>
      </c>
      <c r="Z34" s="56">
        <f>AVERAGE('14'!Z6:Z29)</f>
        <v>1210</v>
      </c>
      <c r="AA34" s="152"/>
      <c r="AB34" s="152"/>
      <c r="AC34" s="153" t="str">
        <f>SUM('14'!AC6:AC29)/COUNTIF('14'!AC6:AC29,"&lt;&gt;0")</f>
        <v>#DIV/0!</v>
      </c>
      <c r="AD34" s="154" t="str">
        <f>SUM('14'!AD6:AD29)/COUNTIF('14'!AD6:AD29,"&lt;&gt;0")</f>
        <v>#DIV/0!</v>
      </c>
      <c r="AE34" s="133"/>
      <c r="AF34" s="153">
        <f>AVERAGE('14'!AF6:AF29)</f>
        <v>0</v>
      </c>
      <c r="AG34" s="153"/>
      <c r="AH34" s="153">
        <f>AVERAGE('14'!AH6:AH29)</f>
        <v>0</v>
      </c>
      <c r="AI34" s="153"/>
      <c r="AJ34" s="153">
        <f>'14'!AJ30/24</f>
        <v>94.58333333</v>
      </c>
      <c r="AK34" s="153"/>
      <c r="AL34" s="153">
        <f>AVERAGE('14'!AL6:AL29)</f>
        <v>0</v>
      </c>
      <c r="AM34" s="153"/>
      <c r="AN34" s="153">
        <f>AVERAGE('14'!AN6:AN29)</f>
        <v>0</v>
      </c>
      <c r="AO34" s="153"/>
      <c r="AP34" s="153">
        <f>AVERAGE('14'!AP6:AP29)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54.2</v>
      </c>
      <c r="D37" s="76">
        <v>32.1</v>
      </c>
      <c r="E37" s="76">
        <v>24.1</v>
      </c>
      <c r="F37" s="76">
        <v>1.0</v>
      </c>
      <c r="G37" s="76">
        <v>0.2</v>
      </c>
      <c r="H37" s="76">
        <v>0.1</v>
      </c>
      <c r="I37" s="60">
        <v>0.1</v>
      </c>
      <c r="J37" s="60">
        <v>0.06</v>
      </c>
      <c r="K37" s="60">
        <v>0.03</v>
      </c>
      <c r="L37" s="52"/>
      <c r="M37" s="106"/>
      <c r="N37" s="157"/>
      <c r="O37" s="51"/>
      <c r="P37" s="51"/>
      <c r="Q37" s="51"/>
      <c r="R37" s="51"/>
      <c r="S37" s="51"/>
      <c r="T37" s="51"/>
      <c r="U37" s="365" t="str">
        <f>'14'!V12</f>
        <v/>
      </c>
      <c r="X37" s="169" t="s">
        <v>75</v>
      </c>
      <c r="Y37" s="128"/>
      <c r="Z37" s="170">
        <f>COUNTA('14'!Z6:Z29)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SUM('14'!AF30+'14'!AH30)</f>
        <v>0</v>
      </c>
      <c r="AL38" s="178" t="s">
        <v>78</v>
      </c>
      <c r="AM38" s="179">
        <f>SUM('14'!AL30+'14'!AN30)</f>
        <v>0</v>
      </c>
      <c r="AO38" s="178" t="s">
        <v>78</v>
      </c>
      <c r="AP38" s="180">
        <f>AJ30</f>
        <v>2270</v>
      </c>
      <c r="AQ38" s="178" t="s">
        <v>78</v>
      </c>
      <c r="AR38" s="179">
        <f>'14'!AP30</f>
        <v>0</v>
      </c>
    </row>
    <row r="39" ht="16.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432"/>
      <c r="X39" s="174"/>
      <c r="Y39" s="174"/>
      <c r="Z39" s="175"/>
      <c r="AA39" s="171"/>
      <c r="AB39" s="171"/>
      <c r="AJ39" s="325" t="s">
        <v>86</v>
      </c>
      <c r="AK39" s="326">
        <f>('14'!AK38/'14'!Y30)*1000</f>
        <v>0</v>
      </c>
      <c r="AL39" s="327" t="s">
        <v>86</v>
      </c>
      <c r="AM39" s="328">
        <f>('14'!AM38/'14'!Y30)*1000</f>
        <v>0</v>
      </c>
      <c r="AO39" s="325" t="s">
        <v>86</v>
      </c>
      <c r="AP39" s="326">
        <f>('14'!AP38/'14'!Y30)*1000</f>
        <v>7.834156092</v>
      </c>
      <c r="AQ39" s="327" t="s">
        <v>86</v>
      </c>
      <c r="AR39" s="328">
        <f>('14'!AR38/'14'!Y30)*1000</f>
        <v>0</v>
      </c>
    </row>
    <row r="40" ht="15.7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433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SUM('14'!AK38,'14'!AM38)</f>
        <v>0</v>
      </c>
      <c r="AM40" s="128"/>
      <c r="AO40" s="210" t="s">
        <v>90</v>
      </c>
      <c r="AP40" s="128"/>
      <c r="AQ40" s="211">
        <f>SUM('14'!AP38,'14'!AR38)</f>
        <v>2270</v>
      </c>
      <c r="AR40" s="128"/>
    </row>
    <row r="41" ht="16.5" customHeight="1">
      <c r="A41" s="212">
        <f>COUNTA('14'!E7:E18)</f>
        <v>12</v>
      </c>
      <c r="B41" s="213">
        <f>COUNTA('14'!I7:I18)</f>
        <v>12</v>
      </c>
      <c r="C41" s="214">
        <f>COUNTA('14'!J7:J18)</f>
        <v>12</v>
      </c>
      <c r="D41" s="80"/>
      <c r="E41" s="214">
        <f>COUNTIF('14'!E7:E18,"&gt;15")</f>
        <v>0</v>
      </c>
      <c r="F41" s="80"/>
      <c r="G41" s="214">
        <f>COUNTIF('14'!J7:J18,"&gt;1")</f>
        <v>0</v>
      </c>
      <c r="H41" s="80"/>
      <c r="I41" s="215"/>
      <c r="J41" s="214">
        <f>'14'!A41-'14'!E41</f>
        <v>12</v>
      </c>
      <c r="K41" s="80"/>
      <c r="L41" s="214">
        <f>'14'!C41-'14'!G41</f>
        <v>12</v>
      </c>
      <c r="M41" s="80"/>
      <c r="N41" s="215"/>
      <c r="O41" s="216">
        <f>COUNTIF('14'!J7:J18,"&lt;=0,5")</f>
        <v>11</v>
      </c>
      <c r="P41" s="217"/>
      <c r="Q41" s="218"/>
      <c r="R41" s="219"/>
      <c r="S41" s="220">
        <f>COUNTIF('14'!J7:J18,"&lt;=1,0")</f>
        <v>12</v>
      </c>
      <c r="T41" s="221"/>
      <c r="U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SUM(('14'!AK38+'14'!AM38)/'14'!Y30)*1000</f>
        <v>0</v>
      </c>
      <c r="AM41" s="128"/>
      <c r="AO41" s="210" t="s">
        <v>91</v>
      </c>
      <c r="AP41" s="128"/>
      <c r="AQ41" s="223">
        <f>SUM(('14'!AP38+'14'!AR38)/'14'!Y30)*1000</f>
        <v>7.834156092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SUM('14'!Y45,'14'!AA45,'14'!AC45,'14'!AE45)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75" customHeight="1">
      <c r="H45" s="247">
        <f>COUNTIF('14'!I7:I18,"&lt;=5,0")</f>
        <v>12</v>
      </c>
      <c r="I45" s="127"/>
      <c r="J45" s="128"/>
      <c r="K45" s="215"/>
      <c r="L45" s="208">
        <f>COUNTA('14'!L37)</f>
        <v>0</v>
      </c>
      <c r="M45" s="128"/>
      <c r="O45" s="248"/>
      <c r="P45" s="249"/>
      <c r="Q45" s="250">
        <f>'14'!S41-'14'!O41</f>
        <v>1</v>
      </c>
      <c r="R45" s="251"/>
      <c r="S45" s="252"/>
      <c r="T45" s="253"/>
      <c r="X45" s="133" t="s">
        <v>104</v>
      </c>
      <c r="Y45" s="254">
        <f>'14'!Y44*275.3</f>
        <v>0</v>
      </c>
      <c r="Z45" s="133" t="s">
        <v>104</v>
      </c>
      <c r="AA45" s="254">
        <f>262.4*'14'!AA44</f>
        <v>0</v>
      </c>
      <c r="AB45" s="133" t="s">
        <v>104</v>
      </c>
      <c r="AC45" s="254">
        <f>'14'!AC44*277.7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343"/>
      <c r="AP45" s="233"/>
      <c r="AQ45" s="233"/>
      <c r="AR45" s="89"/>
    </row>
    <row r="46" ht="13.5" customHeight="1">
      <c r="F46" s="257"/>
      <c r="X46" s="196" t="s">
        <v>105</v>
      </c>
      <c r="Y46" s="258">
        <f>'14'!AS6</f>
        <v>1.33</v>
      </c>
      <c r="Z46" s="196" t="s">
        <v>105</v>
      </c>
      <c r="AA46" s="258">
        <f>'14'!Y46</f>
        <v>1.33</v>
      </c>
      <c r="AB46" s="196" t="s">
        <v>105</v>
      </c>
      <c r="AC46" s="258">
        <f>'14'!Y46</f>
        <v>1.33</v>
      </c>
      <c r="AD46" s="196" t="s">
        <v>105</v>
      </c>
      <c r="AE46" s="259">
        <f>'14'!Y46</f>
        <v>1.33</v>
      </c>
      <c r="AF46" s="260" t="s">
        <v>106</v>
      </c>
      <c r="AG46" s="261">
        <f>SUM('14'!Y47,'14'!AA47,'14'!AC47,'14'!AE47)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'14'!Y45*'14'!Y46</f>
        <v>0</v>
      </c>
      <c r="Z47" s="133" t="s">
        <v>108</v>
      </c>
      <c r="AA47" s="254">
        <f>'14'!AA45*'14'!AA46</f>
        <v>0</v>
      </c>
      <c r="AB47" s="133" t="s">
        <v>108</v>
      </c>
      <c r="AC47" s="254">
        <f>'14'!AC45*'14'!AC46</f>
        <v>0</v>
      </c>
      <c r="AD47" s="133" t="s">
        <v>108</v>
      </c>
      <c r="AE47" s="254">
        <f>'14'!AE45*'14'!AE46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262.4*'3'!AL46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'3'!AJ48</f>
        <v>1.33</v>
      </c>
      <c r="AM48" s="265" t="s">
        <v>105</v>
      </c>
      <c r="AN48" s="258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'3'!AL47*'3'!AL48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COUNTA('14'!O7:O18)</f>
        <v>12</v>
      </c>
      <c r="P51" s="128"/>
      <c r="R51" s="247">
        <f>COUNTIF('14'!O7:O18,"&gt;=0,5")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SUM('14'!Y53,'14'!AA53,'14'!AC53,'14'!AE53)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343" t="s">
        <v>102</v>
      </c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'14'!Y52*275.3</f>
        <v>0</v>
      </c>
      <c r="Z53" s="133" t="s">
        <v>104</v>
      </c>
      <c r="AA53" s="254">
        <f>262.4*'14'!AA52</f>
        <v>0</v>
      </c>
      <c r="AB53" s="133" t="s">
        <v>104</v>
      </c>
      <c r="AC53" s="276">
        <f>'14'!AC52*277.7</f>
        <v>0</v>
      </c>
      <c r="AD53" s="133" t="s">
        <v>104</v>
      </c>
      <c r="AE53" s="352"/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'14'!AS7</f>
        <v>1.377</v>
      </c>
      <c r="Z54" s="196" t="s">
        <v>105</v>
      </c>
      <c r="AA54" s="258">
        <f>'14'!Y54</f>
        <v>1.377</v>
      </c>
      <c r="AB54" s="196" t="s">
        <v>105</v>
      </c>
      <c r="AC54" s="258">
        <f>'14'!Y54</f>
        <v>1.377</v>
      </c>
      <c r="AD54" s="196" t="s">
        <v>105</v>
      </c>
      <c r="AE54" s="259">
        <f>'14'!Y54</f>
        <v>1.377</v>
      </c>
      <c r="AF54" s="260" t="s">
        <v>106</v>
      </c>
      <c r="AG54" s="261">
        <f>SUM('14'!Y55,'14'!AA55,'14'!AC55,'14'!AE55)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262.4*AL53</f>
        <v>0</v>
      </c>
      <c r="AM54" s="133" t="s">
        <v>104</v>
      </c>
      <c r="AN54" s="276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'14'!Y53*'14'!Y54</f>
        <v>0</v>
      </c>
      <c r="Z55" s="133" t="s">
        <v>108</v>
      </c>
      <c r="AA55" s="254">
        <f>'14'!AA53*'14'!AA54</f>
        <v>0</v>
      </c>
      <c r="AB55" s="133" t="s">
        <v>108</v>
      </c>
      <c r="AC55" s="254">
        <f>'14'!AC53*'14'!AC54</f>
        <v>0</v>
      </c>
      <c r="AD55" s="133" t="s">
        <v>108</v>
      </c>
      <c r="AE55" s="254">
        <f>'14'!AE53*'14'!AE54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>
        <f>AJ55</f>
        <v>1.377</v>
      </c>
      <c r="AM55" s="196" t="s">
        <v>105</v>
      </c>
      <c r="AN55" s="258">
        <f>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AL54*AL55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COUNTA('14'!N7:N18)</f>
        <v>12</v>
      </c>
      <c r="P57" s="128"/>
      <c r="R57" s="277">
        <f>COUNTIF('14'!N7:N18,"&gt;=6")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  <c r="AK58" s="303">
        <v>1.0</v>
      </c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424">
        <f>AA32</f>
        <v>38623.2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>
        <v>0.0</v>
      </c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-38623.2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'13'!$Y$69</f>
        <v>-13601.08333</v>
      </c>
      <c r="Z65" s="43"/>
      <c r="AA65" s="27"/>
      <c r="AB65" s="299" t="s">
        <v>126</v>
      </c>
      <c r="AC65" s="330">
        <f>'13'!$AC$69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SUM('14'!AK38,'14'!AP38)</f>
        <v>2270</v>
      </c>
      <c r="Z67" s="43"/>
      <c r="AA67" s="27"/>
      <c r="AB67" s="296" t="s">
        <v>124</v>
      </c>
      <c r="AC67" s="254">
        <f>SUM('14'!AM38,'14'!AR38)</f>
        <v>0</v>
      </c>
    </row>
    <row r="68" ht="15.75" customHeight="1">
      <c r="X68" s="294" t="s">
        <v>128</v>
      </c>
      <c r="Y68" s="301">
        <f>SUM('14'!Y63,'14'!Y65)-'14'!Y67</f>
        <v>-15871.08333</v>
      </c>
      <c r="Z68" s="16"/>
      <c r="AA68" s="18"/>
      <c r="AB68" s="296" t="s">
        <v>128</v>
      </c>
      <c r="AC68" s="302">
        <f>SUM('14'!AC63,'14'!AC65)-'14'!AC67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U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7" width="8.57"/>
    <col customWidth="1" min="18" max="18" width="8.14"/>
    <col customWidth="1" min="19" max="20" width="6.14"/>
    <col customWidth="1" min="21" max="21" width="8.14"/>
    <col customWidth="1" min="22" max="23" width="8.57"/>
    <col customWidth="1" min="24" max="24" width="8.71"/>
    <col customWidth="1" min="25" max="25" width="8.57"/>
    <col customWidth="1" min="26" max="26" width="8.14"/>
    <col customWidth="1" min="27" max="47" width="8.57"/>
  </cols>
  <sheetData>
    <row r="1" ht="15.75" customHeight="1"/>
    <row r="2" ht="15.0" customHeight="1">
      <c r="A2" s="10"/>
      <c r="B2" s="11"/>
      <c r="C2" s="12"/>
      <c r="D2" s="434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435" t="s">
        <v>12</v>
      </c>
      <c r="S4" s="23"/>
      <c r="T4" s="24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3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76" t="s">
        <v>72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3400.0</v>
      </c>
      <c r="Z6" s="308">
        <v>1210.0</v>
      </c>
      <c r="AA6" s="56">
        <v>1.0</v>
      </c>
      <c r="AB6" s="58">
        <f>IF('15'!AA6=1,(('15'!Z6*'15'!$AS$6*'15'!$AT$6)/('15'!Y6*0.0036)),IF('15'!AA6=2,(('15'!Z6*'15'!$AS$7*'15'!$AT$7)/('15'!Y6*0.0036))))</f>
        <v>65.73937908</v>
      </c>
      <c r="AC6" s="58"/>
      <c r="AD6" s="59">
        <f>(('15'!AC6*'15'!$Q$10*1000000))/('15'!Y6*3600)</f>
        <v>0</v>
      </c>
      <c r="AE6" s="60"/>
      <c r="AF6" s="61">
        <f>('15'!AE6/24)*0.454</f>
        <v>0</v>
      </c>
      <c r="AG6" s="60"/>
      <c r="AH6" s="61">
        <f>('15'!AG6/24)*0.454</f>
        <v>0</v>
      </c>
      <c r="AI6" s="60">
        <v>5000.0</v>
      </c>
      <c r="AJ6" s="61">
        <f>('15'!AI6/24)*0.454</f>
        <v>94.58333333</v>
      </c>
      <c r="AK6" s="62"/>
      <c r="AL6" s="63">
        <f>('15'!AK6/24)*0.454</f>
        <v>0</v>
      </c>
      <c r="AM6" s="62"/>
      <c r="AN6" s="63">
        <f>('15'!AM6/24)*0.454</f>
        <v>0</v>
      </c>
      <c r="AO6" s="62"/>
      <c r="AP6" s="63">
        <f>('15'!AO6/24)*0.454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5.0" customHeight="1">
      <c r="A7" s="69">
        <v>0.0</v>
      </c>
      <c r="B7" s="76">
        <v>89.0</v>
      </c>
      <c r="C7" s="76">
        <v>15.0</v>
      </c>
      <c r="D7" s="76">
        <v>12.0</v>
      </c>
      <c r="E7" s="76">
        <v>5.0</v>
      </c>
      <c r="F7" s="76">
        <v>14.0</v>
      </c>
      <c r="G7" s="76">
        <v>1.3</v>
      </c>
      <c r="H7" s="76">
        <v>0.9</v>
      </c>
      <c r="I7" s="76">
        <v>0.5</v>
      </c>
      <c r="J7" s="76">
        <v>0.5</v>
      </c>
      <c r="K7" s="76">
        <v>6.9</v>
      </c>
      <c r="L7" s="76">
        <v>6.5</v>
      </c>
      <c r="M7" s="76">
        <v>6.5</v>
      </c>
      <c r="N7" s="76">
        <v>6.2</v>
      </c>
      <c r="O7" s="76">
        <v>3.3</v>
      </c>
      <c r="P7" s="76"/>
      <c r="Q7" s="76"/>
      <c r="R7" s="77">
        <f>'14'!$Z$29</f>
        <v>1210</v>
      </c>
      <c r="S7" s="309">
        <f>'14'!$AB$29</f>
        <v>65.48898004</v>
      </c>
      <c r="T7" s="77">
        <f>'14'!$Y$29</f>
        <v>3413</v>
      </c>
      <c r="U7" s="73" t="str">
        <f>IF('15'!AA6=1,'15'!AR6,'15'!AR7)</f>
        <v>S.A.L</v>
      </c>
      <c r="V7" s="74" t="str">
        <f>ESCALA!$C$16</f>
        <v/>
      </c>
      <c r="W7" s="12"/>
      <c r="X7" s="54">
        <v>0.0833333333333333</v>
      </c>
      <c r="Y7" s="125">
        <v>3439.0</v>
      </c>
      <c r="Z7" s="308">
        <v>1210.0</v>
      </c>
      <c r="AA7" s="56">
        <v>1.0</v>
      </c>
      <c r="AB7" s="58">
        <f>IF('15'!AA7=1,(('15'!Z7*'15'!$AS$6*'15'!$AT$6)/('15'!Y7*0.0036)),IF('15'!AA7=2,(('15'!Z7*'15'!$AS$7*'15'!$AT$7)/('15'!Y7*0.0036))))</f>
        <v>64.99386126</v>
      </c>
      <c r="AC7" s="58"/>
      <c r="AD7" s="59">
        <f>(('15'!AC7*'15'!$Q$10*1000000))/('15'!Y7*3600)</f>
        <v>0</v>
      </c>
      <c r="AE7" s="60"/>
      <c r="AF7" s="61">
        <f>('15'!AE7/24)*0.454</f>
        <v>0</v>
      </c>
      <c r="AG7" s="60"/>
      <c r="AH7" s="61">
        <f>('15'!AG7/24)*0.454</f>
        <v>0</v>
      </c>
      <c r="AI7" s="60">
        <v>5000.0</v>
      </c>
      <c r="AJ7" s="61">
        <f>('15'!AI7/24)*0.454</f>
        <v>94.58333333</v>
      </c>
      <c r="AK7" s="62"/>
      <c r="AL7" s="63">
        <f>('15'!AK7/24)*0.454</f>
        <v>0</v>
      </c>
      <c r="AM7" s="62"/>
      <c r="AN7" s="63">
        <f>('15'!AM7/24)*0.454</f>
        <v>0</v>
      </c>
      <c r="AO7" s="62"/>
      <c r="AP7" s="63">
        <f>('15'!AO7/24)*0.454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5.0" customHeight="1">
      <c r="A8" s="69">
        <v>0.0833333333333333</v>
      </c>
      <c r="B8" s="76">
        <v>90.0</v>
      </c>
      <c r="C8" s="76">
        <v>14.0</v>
      </c>
      <c r="D8" s="76">
        <v>12.0</v>
      </c>
      <c r="E8" s="76">
        <v>5.0</v>
      </c>
      <c r="F8" s="76">
        <v>14.0</v>
      </c>
      <c r="G8" s="76">
        <v>1.2</v>
      </c>
      <c r="H8" s="76">
        <v>0.9</v>
      </c>
      <c r="I8" s="76">
        <v>0.5</v>
      </c>
      <c r="J8" s="76">
        <v>0.5</v>
      </c>
      <c r="K8" s="76">
        <v>6.9</v>
      </c>
      <c r="L8" s="76">
        <v>6.5</v>
      </c>
      <c r="M8" s="76">
        <v>6.5</v>
      </c>
      <c r="N8" s="76">
        <v>6.2</v>
      </c>
      <c r="O8" s="76">
        <v>3.3</v>
      </c>
      <c r="P8" s="76"/>
      <c r="Q8" s="76"/>
      <c r="R8" s="75">
        <f>'15'!Z7</f>
        <v>1210</v>
      </c>
      <c r="S8" s="76">
        <f>'15'!AB7</f>
        <v>64.99386126</v>
      </c>
      <c r="T8" s="77">
        <f>'15'!Y8</f>
        <v>3393</v>
      </c>
      <c r="U8" s="73" t="str">
        <f>IF('15'!AA7=1,'15'!AR6,'15'!AR7)</f>
        <v>S.A.L</v>
      </c>
      <c r="V8" s="43"/>
      <c r="W8" s="27"/>
      <c r="X8" s="54">
        <v>0.125</v>
      </c>
      <c r="Y8" s="125">
        <v>3393.0</v>
      </c>
      <c r="Z8" s="308">
        <v>1210.0</v>
      </c>
      <c r="AA8" s="56">
        <v>1.0</v>
      </c>
      <c r="AB8" s="58">
        <f>IF('15'!AA8=1,(('15'!Z8*'15'!$AS$6*'15'!$AT$6)/('15'!Y8*0.0036)),IF('15'!AA8=2,(('15'!Z8*'15'!$AS$7*'15'!$AT$7)/('15'!Y8*0.0036))))</f>
        <v>65.87500409</v>
      </c>
      <c r="AC8" s="58"/>
      <c r="AD8" s="59">
        <f>(('15'!AC8*'15'!$Q$10*1000000))/('15'!Y8*3600)</f>
        <v>0</v>
      </c>
      <c r="AE8" s="60"/>
      <c r="AF8" s="61">
        <f>('15'!AE8/24)*0.454</f>
        <v>0</v>
      </c>
      <c r="AG8" s="60"/>
      <c r="AH8" s="61">
        <f>('15'!AG8/24)*0.454</f>
        <v>0</v>
      </c>
      <c r="AI8" s="60">
        <v>5000.0</v>
      </c>
      <c r="AJ8" s="61">
        <f>('15'!AI8/24)*0.454</f>
        <v>94.58333333</v>
      </c>
      <c r="AK8" s="62"/>
      <c r="AL8" s="63">
        <f>('15'!AK8/24)*0.454</f>
        <v>0</v>
      </c>
      <c r="AM8" s="62"/>
      <c r="AN8" s="63">
        <f>('15'!AM8/24)*0.454</f>
        <v>0</v>
      </c>
      <c r="AO8" s="62"/>
      <c r="AP8" s="63">
        <f>('15'!AO8/24)*0.454</f>
        <v>0</v>
      </c>
      <c r="AQ8" s="78" t="s">
        <v>50</v>
      </c>
      <c r="AR8" s="79"/>
      <c r="AS8" s="79"/>
      <c r="AT8" s="80"/>
    </row>
    <row r="9" ht="15.0" customHeight="1">
      <c r="A9" s="69">
        <v>0.166666666666667</v>
      </c>
      <c r="B9" s="76">
        <v>87.0</v>
      </c>
      <c r="C9" s="76">
        <v>13.0</v>
      </c>
      <c r="D9" s="76">
        <v>13.0</v>
      </c>
      <c r="E9" s="76">
        <v>6.0</v>
      </c>
      <c r="F9" s="76">
        <v>12.0</v>
      </c>
      <c r="G9" s="76">
        <v>1.2</v>
      </c>
      <c r="H9" s="76">
        <v>1.0</v>
      </c>
      <c r="I9" s="76">
        <v>0.5</v>
      </c>
      <c r="J9" s="76">
        <v>0.5</v>
      </c>
      <c r="K9" s="76">
        <v>6.9</v>
      </c>
      <c r="L9" s="76">
        <v>6.5</v>
      </c>
      <c r="M9" s="76">
        <v>6.5</v>
      </c>
      <c r="N9" s="76">
        <v>6.2</v>
      </c>
      <c r="O9" s="76">
        <v>3.3</v>
      </c>
      <c r="P9" s="76"/>
      <c r="Q9" s="76"/>
      <c r="R9" s="75">
        <f>'15'!Z9</f>
        <v>1210</v>
      </c>
      <c r="S9" s="76">
        <f>'15'!AB9</f>
        <v>65.66212952</v>
      </c>
      <c r="T9" s="77">
        <f>'15'!Y10</f>
        <v>3414</v>
      </c>
      <c r="U9" s="73" t="str">
        <f>IF('15'!AA9=1,'15'!AR6,'15'!AR7)</f>
        <v>S.A.L</v>
      </c>
      <c r="V9" s="43"/>
      <c r="W9" s="27"/>
      <c r="X9" s="54">
        <v>0.166666666666667</v>
      </c>
      <c r="Y9" s="125">
        <v>3404.0</v>
      </c>
      <c r="Z9" s="308">
        <v>1210.0</v>
      </c>
      <c r="AA9" s="56">
        <v>1.0</v>
      </c>
      <c r="AB9" s="58">
        <f>IF('15'!AA9=1,(('15'!Z9*'15'!$AS$6*'15'!$AT$6)/('15'!Y9*0.0036)),IF('15'!AA9=2,(('15'!Z9*'15'!$AS$7*'15'!$AT$7)/('15'!Y9*0.0036))))</f>
        <v>65.66212952</v>
      </c>
      <c r="AC9" s="58"/>
      <c r="AD9" s="59">
        <f>(('15'!AC9*'15'!$Q$10*1000000))/('15'!Y9*3600)</f>
        <v>0</v>
      </c>
      <c r="AE9" s="60"/>
      <c r="AF9" s="61">
        <f>('15'!AE9/24)*0.454</f>
        <v>0</v>
      </c>
      <c r="AG9" s="60"/>
      <c r="AH9" s="61">
        <f>('15'!AG9/24)*0.454</f>
        <v>0</v>
      </c>
      <c r="AI9" s="60">
        <v>5000.0</v>
      </c>
      <c r="AJ9" s="61">
        <f>('15'!AI9/24)*0.454</f>
        <v>94.58333333</v>
      </c>
      <c r="AK9" s="62"/>
      <c r="AL9" s="63">
        <f>('15'!AK9/24)*0.454</f>
        <v>0</v>
      </c>
      <c r="AM9" s="62"/>
      <c r="AN9" s="63">
        <f>('15'!AM9/24)*0.454</f>
        <v>0</v>
      </c>
      <c r="AO9" s="62"/>
      <c r="AP9" s="63">
        <f>('15'!AO9/24)*0.454</f>
        <v>0</v>
      </c>
      <c r="AQ9" s="81" t="s">
        <v>37</v>
      </c>
      <c r="AR9" s="79"/>
      <c r="AS9" s="80"/>
      <c r="AT9" s="82" t="s">
        <v>39</v>
      </c>
    </row>
    <row r="10" ht="15.0" customHeight="1">
      <c r="A10" s="69">
        <v>0.25</v>
      </c>
      <c r="B10" s="76">
        <v>84.0</v>
      </c>
      <c r="C10" s="76">
        <v>12.0</v>
      </c>
      <c r="D10" s="76">
        <v>13.0</v>
      </c>
      <c r="E10" s="76">
        <v>6.0</v>
      </c>
      <c r="F10" s="76">
        <v>13.0</v>
      </c>
      <c r="G10" s="76">
        <v>1.2</v>
      </c>
      <c r="H10" s="76">
        <v>1.1</v>
      </c>
      <c r="I10" s="76">
        <v>0.5</v>
      </c>
      <c r="J10" s="76">
        <v>0.6</v>
      </c>
      <c r="K10" s="76">
        <v>6.9</v>
      </c>
      <c r="L10" s="76">
        <v>6.5</v>
      </c>
      <c r="M10" s="76">
        <v>6.5</v>
      </c>
      <c r="N10" s="76">
        <v>6.52</v>
      </c>
      <c r="O10" s="76">
        <v>3.3</v>
      </c>
      <c r="P10" s="76"/>
      <c r="Q10" s="76"/>
      <c r="R10" s="75">
        <f>'15'!Z11</f>
        <v>1210</v>
      </c>
      <c r="S10" s="76">
        <f>'15'!AB11</f>
        <v>64.54342734</v>
      </c>
      <c r="T10" s="77">
        <f>'15'!Y12</f>
        <v>3305</v>
      </c>
      <c r="U10" s="73" t="str">
        <f>IF('15'!AA11=1,'15'!AR6,'15'!AR7)</f>
        <v>S.A.L</v>
      </c>
      <c r="V10" s="43"/>
      <c r="W10" s="27"/>
      <c r="X10" s="54">
        <v>0.208333333333333</v>
      </c>
      <c r="Y10" s="125">
        <v>3414.0</v>
      </c>
      <c r="Z10" s="308">
        <v>1210.0</v>
      </c>
      <c r="AA10" s="56">
        <v>1.0</v>
      </c>
      <c r="AB10" s="58">
        <f>IF('15'!AA10=1,(('15'!Z10*'15'!$AS$6*'15'!$AT$6)/('15'!Y10*0.0036)),IF('15'!AA10=2,(('15'!Z10*'15'!$AS$7*'15'!$AT$7)/('15'!Y10*0.0036))))</f>
        <v>65.46979757</v>
      </c>
      <c r="AC10" s="58"/>
      <c r="AD10" s="59">
        <f>(('15'!AC10*'15'!$Q$10*1000000))/('15'!Y10*3600)</f>
        <v>0</v>
      </c>
      <c r="AE10" s="60"/>
      <c r="AF10" s="61">
        <f>('15'!AE10/24)*0.454</f>
        <v>0</v>
      </c>
      <c r="AG10" s="60"/>
      <c r="AH10" s="61">
        <f>('15'!AG10/24)*0.454</f>
        <v>0</v>
      </c>
      <c r="AI10" s="60">
        <v>5000.0</v>
      </c>
      <c r="AJ10" s="61">
        <f>('15'!AI10/24)*0.454</f>
        <v>94.58333333</v>
      </c>
      <c r="AK10" s="62"/>
      <c r="AL10" s="63">
        <f>('15'!AK10/24)*0.454</f>
        <v>0</v>
      </c>
      <c r="AM10" s="62"/>
      <c r="AN10" s="63">
        <f>('15'!AM10/24)*0.454</f>
        <v>0</v>
      </c>
      <c r="AO10" s="62"/>
      <c r="AP10" s="63">
        <f>('15'!AO10/24)*0.454</f>
        <v>0</v>
      </c>
      <c r="AQ10" s="84" t="s">
        <v>51</v>
      </c>
      <c r="AR10" s="79"/>
      <c r="AS10" s="80"/>
      <c r="AT10" s="85">
        <v>0.002</v>
      </c>
    </row>
    <row r="11" ht="15.0" customHeight="1">
      <c r="A11" s="69">
        <v>0.333333333333333</v>
      </c>
      <c r="B11" s="76">
        <v>85.0</v>
      </c>
      <c r="C11" s="76">
        <v>13.0</v>
      </c>
      <c r="D11" s="76">
        <v>13.0</v>
      </c>
      <c r="E11" s="76">
        <v>6.0</v>
      </c>
      <c r="F11" s="76">
        <v>13.0</v>
      </c>
      <c r="G11" s="76">
        <v>1.2</v>
      </c>
      <c r="H11" s="76">
        <v>1.1</v>
      </c>
      <c r="I11" s="76">
        <v>0.5</v>
      </c>
      <c r="J11" s="76">
        <v>0.5</v>
      </c>
      <c r="K11" s="76">
        <v>6.9</v>
      </c>
      <c r="L11" s="76">
        <v>6.5</v>
      </c>
      <c r="M11" s="76">
        <v>6.5</v>
      </c>
      <c r="N11" s="76">
        <v>6.52</v>
      </c>
      <c r="O11" s="76">
        <v>2.8</v>
      </c>
      <c r="P11" s="76"/>
      <c r="Q11" s="76"/>
      <c r="R11" s="75">
        <f>'15'!Z13</f>
        <v>1210</v>
      </c>
      <c r="S11" s="76">
        <f>'15'!AB13</f>
        <v>67.36404126</v>
      </c>
      <c r="T11" s="77">
        <f>'15'!Y14</f>
        <v>3299</v>
      </c>
      <c r="U11" s="73" t="str">
        <f>IF('15'!AA13=1,'15'!AR6,'15'!AR7)</f>
        <v>S.A.L</v>
      </c>
      <c r="V11" s="16"/>
      <c r="W11" s="18"/>
      <c r="X11" s="54">
        <v>0.25</v>
      </c>
      <c r="Y11" s="125">
        <v>3463.0</v>
      </c>
      <c r="Z11" s="308">
        <v>1210.0</v>
      </c>
      <c r="AA11" s="56">
        <v>1.0</v>
      </c>
      <c r="AB11" s="58">
        <f>IF('15'!AA11=1,(('15'!Z11*'15'!$AS$6*'15'!$AT$6)/('15'!Y11*0.0036)),IF('15'!AA11=2,(('15'!Z11*'15'!$AS$7*'15'!$AT$7)/('15'!Y11*0.0036))))</f>
        <v>64.54342734</v>
      </c>
      <c r="AC11" s="58"/>
      <c r="AD11" s="59">
        <f>(('15'!AC11*'15'!$Q$10*1000000))/('15'!Y11*3600)</f>
        <v>0</v>
      </c>
      <c r="AE11" s="60"/>
      <c r="AF11" s="61">
        <f>('15'!AE11/24)*0.454</f>
        <v>0</v>
      </c>
      <c r="AG11" s="60"/>
      <c r="AH11" s="61">
        <f>('15'!AG11/24)*0.454</f>
        <v>0</v>
      </c>
      <c r="AI11" s="60">
        <v>5000.0</v>
      </c>
      <c r="AJ11" s="61">
        <f>('15'!AI11/24)*0.454</f>
        <v>94.58333333</v>
      </c>
      <c r="AK11" s="62"/>
      <c r="AL11" s="63">
        <f>('15'!AK11/24)*0.454</f>
        <v>0</v>
      </c>
      <c r="AM11" s="62"/>
      <c r="AN11" s="63">
        <f>('15'!AM11/24)*0.454</f>
        <v>0</v>
      </c>
      <c r="AO11" s="62"/>
      <c r="AP11" s="63">
        <f>('15'!AO11/24)*0.454</f>
        <v>0</v>
      </c>
    </row>
    <row r="12" ht="15.0" customHeight="1">
      <c r="A12" s="69">
        <v>0.416666666666667</v>
      </c>
      <c r="B12" s="76">
        <v>83.0</v>
      </c>
      <c r="C12" s="76">
        <v>14.0</v>
      </c>
      <c r="D12" s="76">
        <v>13.0</v>
      </c>
      <c r="E12" s="76">
        <v>6.0</v>
      </c>
      <c r="F12" s="76">
        <v>14.0</v>
      </c>
      <c r="G12" s="76">
        <v>1.3</v>
      </c>
      <c r="H12" s="76">
        <v>1.2</v>
      </c>
      <c r="I12" s="76">
        <v>0.4</v>
      </c>
      <c r="J12" s="76">
        <v>0.5</v>
      </c>
      <c r="K12" s="76">
        <v>6.9</v>
      </c>
      <c r="L12" s="76">
        <v>6.5</v>
      </c>
      <c r="M12" s="76">
        <v>6.5</v>
      </c>
      <c r="N12" s="76">
        <v>6.52</v>
      </c>
      <c r="O12" s="76">
        <v>2.5</v>
      </c>
      <c r="P12" s="76"/>
      <c r="Q12" s="76"/>
      <c r="R12" s="75">
        <f>'15'!Z15</f>
        <v>1210</v>
      </c>
      <c r="S12" s="76">
        <f>'15'!AB15</f>
        <v>67.58811276</v>
      </c>
      <c r="T12" s="77">
        <f>'15'!Y16</f>
        <v>3271</v>
      </c>
      <c r="U12" s="73" t="str">
        <f>IF('15'!AA15=1,'15'!AR6,'15'!AR7)</f>
        <v>S.A.L</v>
      </c>
      <c r="V12" s="88" t="str">
        <f>ESCALA!$B$17</f>
        <v/>
      </c>
      <c r="W12" s="89"/>
      <c r="X12" s="54">
        <v>0.291666666666667</v>
      </c>
      <c r="Y12" s="125">
        <v>3305.0</v>
      </c>
      <c r="Z12" s="308">
        <v>1210.0</v>
      </c>
      <c r="AA12" s="56">
        <v>1.0</v>
      </c>
      <c r="AB12" s="58">
        <f>IF('15'!AA12=1,(('15'!Z12*'15'!$AS$6*'15'!$AT$6)/('15'!Y12*0.0036)),IF('15'!AA12=2,(('15'!Z12*'15'!$AS$7*'15'!$AT$7)/('15'!Y12*0.0036))))</f>
        <v>67.62901328</v>
      </c>
      <c r="AC12" s="58"/>
      <c r="AD12" s="59">
        <f>(('15'!AC12*'15'!$Q$10*1000000))/('15'!Y12*3600)</f>
        <v>0</v>
      </c>
      <c r="AE12" s="60"/>
      <c r="AF12" s="61">
        <f>('15'!AE12/24)*0.454</f>
        <v>0</v>
      </c>
      <c r="AG12" s="60"/>
      <c r="AH12" s="61">
        <f>('15'!AG12/24)*0.454</f>
        <v>0</v>
      </c>
      <c r="AI12" s="60">
        <v>5000.0</v>
      </c>
      <c r="AJ12" s="61">
        <f>('15'!AI12/24)*0.454</f>
        <v>94.58333333</v>
      </c>
      <c r="AK12" s="62"/>
      <c r="AL12" s="63">
        <f>('15'!AK12/24)*0.454</f>
        <v>0</v>
      </c>
      <c r="AM12" s="62"/>
      <c r="AN12" s="63">
        <f>('15'!AM12/24)*0.454</f>
        <v>0</v>
      </c>
      <c r="AO12" s="62"/>
      <c r="AP12" s="63">
        <f>('15'!AO12/24)*0.454</f>
        <v>0</v>
      </c>
    </row>
    <row r="13" ht="15.0" customHeight="1">
      <c r="A13" s="69">
        <v>0.5</v>
      </c>
      <c r="B13" s="76">
        <v>84.0</v>
      </c>
      <c r="C13" s="76">
        <v>14.0</v>
      </c>
      <c r="D13" s="76">
        <v>13.0</v>
      </c>
      <c r="E13" s="76">
        <v>6.0</v>
      </c>
      <c r="F13" s="76">
        <v>13.0</v>
      </c>
      <c r="G13" s="76">
        <v>1.3</v>
      </c>
      <c r="H13" s="76">
        <v>1.2</v>
      </c>
      <c r="I13" s="76">
        <v>0.4</v>
      </c>
      <c r="J13" s="76">
        <v>0.5</v>
      </c>
      <c r="K13" s="76">
        <v>6.9</v>
      </c>
      <c r="L13" s="76">
        <v>6.5</v>
      </c>
      <c r="M13" s="76">
        <v>6.5</v>
      </c>
      <c r="N13" s="76">
        <v>6.52</v>
      </c>
      <c r="O13" s="76">
        <v>2.5</v>
      </c>
      <c r="P13" s="76"/>
      <c r="Q13" s="76"/>
      <c r="R13" s="75">
        <f>'15'!Z17</f>
        <v>1210</v>
      </c>
      <c r="S13" s="76">
        <f>'15'!AB17</f>
        <v>67.24244551</v>
      </c>
      <c r="T13" s="77">
        <f>'15'!Y18</f>
        <v>3301</v>
      </c>
      <c r="U13" s="73" t="str">
        <f>IF('15'!AA17=1,'15'!AR6,'15'!AR7)</f>
        <v>S.A.L</v>
      </c>
      <c r="V13" s="43"/>
      <c r="W13" s="27"/>
      <c r="X13" s="54">
        <v>0.333333333333333</v>
      </c>
      <c r="Y13" s="125">
        <v>3318.0</v>
      </c>
      <c r="Z13" s="308">
        <v>1210.0</v>
      </c>
      <c r="AA13" s="56">
        <v>1.0</v>
      </c>
      <c r="AB13" s="58">
        <f>IF('15'!AA13=1,(('15'!Z13*'15'!$AS$6*'15'!$AT$6)/('15'!Y13*0.0036)),IF('15'!AA13=2,(('15'!Z13*'15'!$AS$7*'15'!$AT$7)/('15'!Y13*0.0036))))</f>
        <v>67.36404126</v>
      </c>
      <c r="AC13" s="58"/>
      <c r="AD13" s="59">
        <f>(('15'!AC13*'15'!$Q$10*1000000))/('15'!Y13*3600)</f>
        <v>0</v>
      </c>
      <c r="AE13" s="60"/>
      <c r="AF13" s="61">
        <f>('15'!AE13/24)*0.454</f>
        <v>0</v>
      </c>
      <c r="AG13" s="60"/>
      <c r="AH13" s="61">
        <f>('15'!AG13/24)*0.454</f>
        <v>0</v>
      </c>
      <c r="AI13" s="60">
        <v>5000.0</v>
      </c>
      <c r="AJ13" s="61">
        <f>('15'!AI13/24)*0.454</f>
        <v>94.58333333</v>
      </c>
      <c r="AK13" s="62"/>
      <c r="AL13" s="63">
        <f>('15'!AK13/24)*0.454</f>
        <v>0</v>
      </c>
      <c r="AM13" s="62"/>
      <c r="AN13" s="63">
        <f>('15'!AM13/24)*0.454</f>
        <v>0</v>
      </c>
      <c r="AO13" s="62"/>
      <c r="AP13" s="63">
        <f>('15'!AO13/24)*0.454</f>
        <v>0</v>
      </c>
    </row>
    <row r="14" ht="15.0" customHeight="1">
      <c r="A14" s="69">
        <v>0.583333333333333</v>
      </c>
      <c r="B14" s="76">
        <v>84.0</v>
      </c>
      <c r="C14" s="76">
        <v>14.0</v>
      </c>
      <c r="D14" s="76">
        <v>12.0</v>
      </c>
      <c r="E14" s="76">
        <v>6.0</v>
      </c>
      <c r="F14" s="76">
        <v>14.0</v>
      </c>
      <c r="G14" s="76">
        <v>1.3</v>
      </c>
      <c r="H14" s="76">
        <v>1.2</v>
      </c>
      <c r="I14" s="76">
        <v>0.5</v>
      </c>
      <c r="J14" s="76">
        <v>0.6</v>
      </c>
      <c r="K14" s="76">
        <v>6.9</v>
      </c>
      <c r="L14" s="76">
        <v>6.5</v>
      </c>
      <c r="M14" s="76">
        <v>6.5</v>
      </c>
      <c r="N14" s="76">
        <v>6.52</v>
      </c>
      <c r="O14" s="76">
        <v>2.8</v>
      </c>
      <c r="P14" s="76"/>
      <c r="Q14" s="76"/>
      <c r="R14" s="75">
        <f>'15'!Z19</f>
        <v>1210</v>
      </c>
      <c r="S14" s="76">
        <f>'15'!AB19</f>
        <v>67.44534969</v>
      </c>
      <c r="T14" s="77">
        <f>'15'!Y20</f>
        <v>3310</v>
      </c>
      <c r="U14" s="73" t="str">
        <f>IF('15'!AA19=1,'15'!AR6,'15'!AR7)</f>
        <v>S.A.L</v>
      </c>
      <c r="V14" s="43"/>
      <c r="W14" s="27"/>
      <c r="X14" s="54">
        <v>0.375</v>
      </c>
      <c r="Y14" s="125">
        <v>3299.0</v>
      </c>
      <c r="Z14" s="308">
        <v>1210.0</v>
      </c>
      <c r="AA14" s="56">
        <v>1.0</v>
      </c>
      <c r="AB14" s="58">
        <f>IF('15'!AA14=1,(('15'!Z14*'15'!$AS$6*'15'!$AT$6)/('15'!Y14*0.0036)),IF('15'!AA14=2,(('15'!Z14*'15'!$AS$7*'15'!$AT$7)/('15'!Y14*0.0036))))</f>
        <v>67.75201239</v>
      </c>
      <c r="AC14" s="58"/>
      <c r="AD14" s="59">
        <f>(('15'!AC14*'15'!$Q$10*1000000))/('15'!Y14*3600)</f>
        <v>0</v>
      </c>
      <c r="AE14" s="60"/>
      <c r="AF14" s="61">
        <f>('15'!AE14/24)*0.454</f>
        <v>0</v>
      </c>
      <c r="AG14" s="60"/>
      <c r="AH14" s="61">
        <f>('15'!AG14/24)*0.454</f>
        <v>0</v>
      </c>
      <c r="AI14" s="60">
        <v>5000.0</v>
      </c>
      <c r="AJ14" s="61">
        <f>('15'!AI14/24)*0.454</f>
        <v>94.58333333</v>
      </c>
      <c r="AK14" s="62"/>
      <c r="AL14" s="63">
        <f>('15'!AK14/24)*0.454</f>
        <v>0</v>
      </c>
      <c r="AM14" s="62"/>
      <c r="AN14" s="63">
        <f>('15'!AM14/24)*0.454</f>
        <v>0</v>
      </c>
      <c r="AO14" s="62"/>
      <c r="AP14" s="63">
        <f>('15'!AO14/24)*0.454</f>
        <v>0</v>
      </c>
    </row>
    <row r="15" ht="15.0" customHeight="1">
      <c r="A15" s="69">
        <v>0.666666666666667</v>
      </c>
      <c r="B15" s="76">
        <v>83.0</v>
      </c>
      <c r="C15" s="76">
        <v>14.0</v>
      </c>
      <c r="D15" s="76">
        <v>13.0</v>
      </c>
      <c r="E15" s="76">
        <v>6.0</v>
      </c>
      <c r="F15" s="76">
        <v>13.0</v>
      </c>
      <c r="G15" s="76">
        <v>1.2</v>
      </c>
      <c r="H15" s="76">
        <v>1.2</v>
      </c>
      <c r="I15" s="76">
        <v>0.5</v>
      </c>
      <c r="J15" s="76">
        <v>0.6</v>
      </c>
      <c r="K15" s="76">
        <v>6.9</v>
      </c>
      <c r="L15" s="76">
        <v>6.5</v>
      </c>
      <c r="M15" s="76">
        <v>6.5</v>
      </c>
      <c r="N15" s="76">
        <v>6.52</v>
      </c>
      <c r="O15" s="76">
        <v>3.5</v>
      </c>
      <c r="P15" s="76"/>
      <c r="Q15" s="76"/>
      <c r="R15" s="75">
        <f>'15'!Z21</f>
        <v>1210</v>
      </c>
      <c r="S15" s="76">
        <f>'15'!AB21</f>
        <v>68.1237089</v>
      </c>
      <c r="T15" s="77">
        <f>'15'!Y22</f>
        <v>3320</v>
      </c>
      <c r="U15" s="73" t="str">
        <f>IF('15'!AA21=1,'15'!AR6,'15'!AR7)</f>
        <v>S.A.L</v>
      </c>
      <c r="V15" s="43"/>
      <c r="W15" s="27"/>
      <c r="X15" s="54">
        <v>0.416666666666667</v>
      </c>
      <c r="Y15" s="125">
        <v>3307.0</v>
      </c>
      <c r="Z15" s="308">
        <v>1210.0</v>
      </c>
      <c r="AA15" s="56">
        <v>1.0</v>
      </c>
      <c r="AB15" s="58">
        <f>IF('15'!AA15=1,(('15'!Z15*'15'!$AS$6*'15'!$AT$6)/('15'!Y15*0.0036)),IF('15'!AA15=2,(('15'!Z15*'15'!$AS$7*'15'!$AT$7)/('15'!Y15*0.0036))))</f>
        <v>67.58811276</v>
      </c>
      <c r="AC15" s="58"/>
      <c r="AD15" s="59">
        <f>(('15'!AC15*'15'!$Q$10*1000000))/('15'!Y15*3600)</f>
        <v>0</v>
      </c>
      <c r="AE15" s="60"/>
      <c r="AF15" s="61">
        <f>('15'!AE15/24)*0.454</f>
        <v>0</v>
      </c>
      <c r="AG15" s="60"/>
      <c r="AH15" s="61">
        <f>('15'!AG15/24)*0.454</f>
        <v>0</v>
      </c>
      <c r="AI15" s="60">
        <v>5000.0</v>
      </c>
      <c r="AJ15" s="61">
        <f>('15'!AI15/24)*0.454</f>
        <v>94.58333333</v>
      </c>
      <c r="AK15" s="62"/>
      <c r="AL15" s="63">
        <f>('15'!AK15/24)*0.454</f>
        <v>0</v>
      </c>
      <c r="AM15" s="62"/>
      <c r="AN15" s="63">
        <f>('15'!AM15/24)*0.454</f>
        <v>0</v>
      </c>
      <c r="AO15" s="62"/>
      <c r="AP15" s="63">
        <f>('15'!AO15/24)*0.454</f>
        <v>0</v>
      </c>
    </row>
    <row r="16" ht="15.0" customHeight="1">
      <c r="A16" s="69">
        <v>0.75</v>
      </c>
      <c r="B16" s="76">
        <v>81.0</v>
      </c>
      <c r="C16" s="76">
        <v>14.0</v>
      </c>
      <c r="D16" s="76">
        <v>14.0</v>
      </c>
      <c r="E16" s="76">
        <v>5.0</v>
      </c>
      <c r="F16" s="76">
        <v>13.0</v>
      </c>
      <c r="G16" s="76">
        <v>1.2</v>
      </c>
      <c r="H16" s="76">
        <v>1.1</v>
      </c>
      <c r="I16" s="76">
        <v>0.5</v>
      </c>
      <c r="J16" s="76">
        <v>0.6</v>
      </c>
      <c r="K16" s="76">
        <v>6.9</v>
      </c>
      <c r="L16" s="76">
        <v>6.5</v>
      </c>
      <c r="M16" s="76">
        <v>6.5</v>
      </c>
      <c r="N16" s="76">
        <v>6.52</v>
      </c>
      <c r="O16" s="76">
        <v>3.5</v>
      </c>
      <c r="P16" s="76"/>
      <c r="Q16" s="76"/>
      <c r="R16" s="75">
        <f>'15'!Z23</f>
        <v>1210</v>
      </c>
      <c r="S16" s="76">
        <f>'15'!AB23</f>
        <v>67.26268098</v>
      </c>
      <c r="T16" s="77">
        <f>'15'!Y24</f>
        <v>3309</v>
      </c>
      <c r="U16" s="73" t="str">
        <f>IF('15'!AA23=1,'15'!AR6,'15'!AR7)</f>
        <v>S.A.L</v>
      </c>
      <c r="V16" s="16"/>
      <c r="W16" s="18"/>
      <c r="X16" s="54">
        <v>0.458333333333333</v>
      </c>
      <c r="Y16" s="125">
        <v>3271.0</v>
      </c>
      <c r="Z16" s="308">
        <v>1210.0</v>
      </c>
      <c r="AA16" s="56">
        <v>1.0</v>
      </c>
      <c r="AB16" s="58">
        <f>IF('15'!AA16=1,(('15'!Z16*'15'!$AS$6*'15'!$AT$6)/('15'!Y16*0.0036)),IF('15'!AA16=2,(('15'!Z16*'15'!$AS$7*'15'!$AT$7)/('15'!Y16*0.0036))))</f>
        <v>68.33197459</v>
      </c>
      <c r="AC16" s="58"/>
      <c r="AD16" s="59">
        <f>(('15'!AC16*'15'!$Q$10*1000000))/('15'!Y16*3600)</f>
        <v>0</v>
      </c>
      <c r="AE16" s="60"/>
      <c r="AF16" s="61">
        <f>('15'!AE16/24)*0.454</f>
        <v>0</v>
      </c>
      <c r="AG16" s="60"/>
      <c r="AH16" s="61">
        <f>('15'!AG16/24)*0.454</f>
        <v>0</v>
      </c>
      <c r="AI16" s="60">
        <v>5000.0</v>
      </c>
      <c r="AJ16" s="61">
        <f>('15'!AI16/24)*0.454</f>
        <v>94.58333333</v>
      </c>
      <c r="AK16" s="62"/>
      <c r="AL16" s="63">
        <f>('15'!AK16/24)*0.454</f>
        <v>0</v>
      </c>
      <c r="AM16" s="62"/>
      <c r="AN16" s="63">
        <f>('15'!AM16/24)*0.454</f>
        <v>0</v>
      </c>
      <c r="AO16" s="62"/>
      <c r="AP16" s="63">
        <f>('15'!AO16/24)*0.454</f>
        <v>0</v>
      </c>
    </row>
    <row r="17" ht="15.0" customHeight="1">
      <c r="A17" s="69">
        <v>0.833333333333333</v>
      </c>
      <c r="B17" s="76">
        <v>80.0</v>
      </c>
      <c r="C17" s="76">
        <v>15.0</v>
      </c>
      <c r="D17" s="76">
        <v>15.0</v>
      </c>
      <c r="E17" s="76">
        <v>5.0</v>
      </c>
      <c r="F17" s="76">
        <v>12.0</v>
      </c>
      <c r="G17" s="76">
        <v>1.2</v>
      </c>
      <c r="H17" s="76">
        <v>1.1</v>
      </c>
      <c r="I17" s="76">
        <v>0.5</v>
      </c>
      <c r="J17" s="76">
        <v>0.5</v>
      </c>
      <c r="K17" s="76">
        <v>6.9</v>
      </c>
      <c r="L17" s="76">
        <v>6.5</v>
      </c>
      <c r="M17" s="76">
        <v>6.5</v>
      </c>
      <c r="N17" s="76">
        <v>6.52</v>
      </c>
      <c r="O17" s="76">
        <v>3.6</v>
      </c>
      <c r="P17" s="76"/>
      <c r="Q17" s="76"/>
      <c r="R17" s="75">
        <f>'15'!Z25</f>
        <v>1210</v>
      </c>
      <c r="S17" s="76">
        <f>'15'!AB25</f>
        <v>67.42500419</v>
      </c>
      <c r="T17" s="77">
        <f>'15'!Y26</f>
        <v>3342</v>
      </c>
      <c r="U17" s="73" t="str">
        <f>IF('15'!AA25=1,'15'!AR6,'15'!AR7)</f>
        <v>S.A.L</v>
      </c>
      <c r="V17" s="90" t="str">
        <f>ESCALA!$C$17</f>
        <v/>
      </c>
      <c r="W17" s="89"/>
      <c r="X17" s="54">
        <v>0.5</v>
      </c>
      <c r="Y17" s="125">
        <v>3324.0</v>
      </c>
      <c r="Z17" s="308">
        <v>1210.0</v>
      </c>
      <c r="AA17" s="56">
        <v>1.0</v>
      </c>
      <c r="AB17" s="58">
        <f>IF('15'!AA17=1,(('15'!Z17*'15'!$AS$6*'15'!$AT$6)/('15'!Y17*0.0036)),IF('15'!AA17=2,(('15'!Z17*'15'!$AS$7*'15'!$AT$7)/('15'!Y17*0.0036))))</f>
        <v>67.24244551</v>
      </c>
      <c r="AC17" s="58"/>
      <c r="AD17" s="59">
        <f>(('15'!AC17*'15'!$Q$10*1000000))/('15'!Y17*3600)</f>
        <v>0</v>
      </c>
      <c r="AE17" s="60"/>
      <c r="AF17" s="61">
        <f>('15'!AE17/24)*0.454</f>
        <v>0</v>
      </c>
      <c r="AG17" s="60"/>
      <c r="AH17" s="61">
        <f>('15'!AG17/24)*0.454</f>
        <v>0</v>
      </c>
      <c r="AI17" s="60">
        <v>5000.0</v>
      </c>
      <c r="AJ17" s="61">
        <f>('15'!AI17/24)*0.454</f>
        <v>94.58333333</v>
      </c>
      <c r="AK17" s="62"/>
      <c r="AL17" s="63">
        <f>('15'!AK17/24)*0.454</f>
        <v>0</v>
      </c>
      <c r="AM17" s="62"/>
      <c r="AN17" s="63">
        <f>('15'!AM17/24)*0.454</f>
        <v>0</v>
      </c>
      <c r="AO17" s="62"/>
      <c r="AP17" s="63">
        <f>('15'!AO17/24)*0.454</f>
        <v>0</v>
      </c>
    </row>
    <row r="18" ht="15.0" customHeight="1">
      <c r="A18" s="69">
        <v>0.916666666666667</v>
      </c>
      <c r="B18" s="76">
        <v>78.0</v>
      </c>
      <c r="C18" s="76">
        <v>15.0</v>
      </c>
      <c r="D18" s="76">
        <v>16.0</v>
      </c>
      <c r="E18" s="76">
        <v>4.0</v>
      </c>
      <c r="F18" s="76">
        <v>12.0</v>
      </c>
      <c r="G18" s="76">
        <v>1.2</v>
      </c>
      <c r="H18" s="76">
        <v>1.0</v>
      </c>
      <c r="I18" s="76">
        <v>0.5</v>
      </c>
      <c r="J18" s="76">
        <v>0.5</v>
      </c>
      <c r="K18" s="76">
        <v>6.9</v>
      </c>
      <c r="L18" s="76">
        <v>6.5</v>
      </c>
      <c r="M18" s="76">
        <v>6.5</v>
      </c>
      <c r="N18" s="76">
        <v>6.52</v>
      </c>
      <c r="O18" s="76">
        <v>3.6</v>
      </c>
      <c r="P18" s="76"/>
      <c r="Q18" s="76"/>
      <c r="R18" s="75">
        <f>'15'!Z27</f>
        <v>1210</v>
      </c>
      <c r="S18" s="76">
        <f>'15'!AB27</f>
        <v>67.10113746</v>
      </c>
      <c r="T18" s="77">
        <f>'15'!Y28</f>
        <v>2903</v>
      </c>
      <c r="U18" s="73" t="str">
        <f>IF('15'!AA27=1,'15'!AR6,'15'!AR7)</f>
        <v>S.A.L</v>
      </c>
      <c r="V18" s="16"/>
      <c r="W18" s="18"/>
      <c r="X18" s="54">
        <v>0.541666666666667</v>
      </c>
      <c r="Y18" s="125">
        <v>3301.0</v>
      </c>
      <c r="Z18" s="308">
        <v>1210.0</v>
      </c>
      <c r="AA18" s="56">
        <v>1.0</v>
      </c>
      <c r="AB18" s="58">
        <f>IF('15'!AA18=1,(('15'!Z18*'15'!$AS$6*'15'!$AT$6)/('15'!Y18*0.0036)),IF('15'!AA18=2,(('15'!Z18*'15'!$AS$7*'15'!$AT$7)/('15'!Y18*0.0036))))</f>
        <v>67.71096301</v>
      </c>
      <c r="AC18" s="58"/>
      <c r="AD18" s="59">
        <f>(('15'!AC18*'15'!$Q$10*1000000))/('15'!Y18*3600)</f>
        <v>0</v>
      </c>
      <c r="AE18" s="60"/>
      <c r="AF18" s="61">
        <f>('15'!AE18/24)*0.454</f>
        <v>0</v>
      </c>
      <c r="AG18" s="60"/>
      <c r="AH18" s="61">
        <f>('15'!AG18/24)*0.454</f>
        <v>0</v>
      </c>
      <c r="AI18" s="60">
        <v>5000.0</v>
      </c>
      <c r="AJ18" s="61">
        <f>('15'!AI18/24)*0.454</f>
        <v>94.58333333</v>
      </c>
      <c r="AK18" s="62"/>
      <c r="AL18" s="63">
        <f>('15'!AK18/24)*0.454</f>
        <v>0</v>
      </c>
      <c r="AM18" s="62"/>
      <c r="AN18" s="63">
        <f>('15'!AM18/24)*0.454</f>
        <v>0</v>
      </c>
      <c r="AO18" s="62"/>
      <c r="AP18" s="63">
        <f>('15'!AO18/24)*0.454</f>
        <v>0</v>
      </c>
    </row>
    <row r="19" ht="14.25" customHeight="1">
      <c r="A19" s="51" t="s">
        <v>52</v>
      </c>
      <c r="B19" s="91">
        <f t="array" ref="B19">IF('15'!B7:B18&gt;0.01,AVERAGE('15'!B7:B18),"")</f>
        <v>84</v>
      </c>
      <c r="C19" s="92">
        <f t="array" ref="C19">IF('15'!C7:C18&gt;0.01,AVERAGE('15'!C7:C18),"")</f>
        <v>13.91666667</v>
      </c>
      <c r="D19" s="92">
        <f t="array" ref="D19">IF('15'!D7:D18&gt;0.01,AVERAGE('15'!D7:D18),"")</f>
        <v>13.25</v>
      </c>
      <c r="E19" s="92">
        <f t="array" ref="E19">IF('15'!E7:E18&gt;0.01,AVERAGE('15'!E7:E18),"")</f>
        <v>5.5</v>
      </c>
      <c r="F19" s="92">
        <f t="array" ref="F19">IF('15'!F7:F18&gt;0.01,AVERAGE('15'!F7:F18),"")</f>
        <v>13.08333333</v>
      </c>
      <c r="G19" s="92">
        <f t="array" ref="G19">IF('15'!G7:G18&gt;0.01,AVERAGE('15'!G7:G18),"")</f>
        <v>1.233333333</v>
      </c>
      <c r="H19" s="92">
        <f t="array" ref="H19">IF('15'!H7:H18&gt;0.01,AVERAGE('15'!H7:H18),"")</f>
        <v>1.083333333</v>
      </c>
      <c r="I19" s="92">
        <f t="array" ref="I19">IF('15'!I7:I18&gt;0.01,AVERAGE('15'!I7:I18),"")</f>
        <v>0.4833333333</v>
      </c>
      <c r="J19" s="92">
        <f t="array" ref="J19">IF('15'!J7:J18&gt;0.01,AVERAGE('15'!J7:J18),"")</f>
        <v>0.5333333333</v>
      </c>
      <c r="K19" s="92">
        <f t="array" ref="K19">IF('15'!K7:K18&gt;0.01,AVERAGE('15'!K7:K18),"")</f>
        <v>6.9</v>
      </c>
      <c r="L19" s="92">
        <f t="array" ref="L19">IF('15'!L7:L18&gt;0.01,AVERAGE('15'!L7:L18),"")</f>
        <v>6.5</v>
      </c>
      <c r="M19" s="92">
        <f t="array" ref="M19">IF('15'!M7:M18&gt;0.01,AVERAGE('15'!M7:M18),"")</f>
        <v>6.5</v>
      </c>
      <c r="N19" s="92">
        <f t="array" ref="N19">IF('15'!N7:N18&gt;0.01,AVERAGE('15'!N7:N18),"")</f>
        <v>6.44</v>
      </c>
      <c r="O19" s="92">
        <f t="array" ref="O19">IF('15'!O7:O18&gt;0.01,AVERAGE('15'!O7:O18),"")</f>
        <v>3.166666667</v>
      </c>
      <c r="P19" s="93" t="str">
        <f t="array" ref="P19">IF('15'!P7:P18&gt;0.01,AVERAGE('15'!P7:P18),"")</f>
        <v/>
      </c>
      <c r="Q19" s="94" t="str">
        <f t="array" ref="Q19">IF('15'!Q7:Q18&gt;0.01,AVERAGE('15'!Q7:Q18),"")</f>
        <v/>
      </c>
      <c r="R19" s="94">
        <f t="array" ref="R19">IF('15'!R7:R18&gt;0.01,AVERAGE('15'!R7:R18),"")</f>
        <v>1210</v>
      </c>
      <c r="S19" s="94">
        <f t="array" ref="S19">IF('15'!S7:S18&gt;0.01,AVERAGE('15'!S7:S18),"")</f>
        <v>66.68673991</v>
      </c>
      <c r="T19" s="95"/>
      <c r="U19" s="96"/>
      <c r="V19" s="97"/>
      <c r="W19" s="97"/>
      <c r="X19" s="54">
        <v>0.583333333333333</v>
      </c>
      <c r="Y19" s="125">
        <v>3314.0</v>
      </c>
      <c r="Z19" s="308">
        <v>1210.0</v>
      </c>
      <c r="AA19" s="56">
        <v>1.0</v>
      </c>
      <c r="AB19" s="58">
        <f>IF('15'!AA19=1,(('15'!Z19*'15'!$AS$6*'15'!$AT$6)/('15'!Y19*0.0036)),IF('15'!AA19=2,(('15'!Z19*'15'!$AS$7*'15'!$AT$7)/('15'!Y19*0.0036))))</f>
        <v>67.44534969</v>
      </c>
      <c r="AC19" s="58"/>
      <c r="AD19" s="59">
        <f>(('15'!AC19*'15'!$Q$10*1000000))/('15'!Y19*3600)</f>
        <v>0</v>
      </c>
      <c r="AE19" s="60"/>
      <c r="AF19" s="61">
        <f>('15'!AE19/24)*0.454</f>
        <v>0</v>
      </c>
      <c r="AG19" s="60"/>
      <c r="AH19" s="61">
        <f>('15'!AG19/24)*0.454</f>
        <v>0</v>
      </c>
      <c r="AI19" s="60">
        <v>5000.0</v>
      </c>
      <c r="AJ19" s="61">
        <f>('15'!AI19/24)*0.454</f>
        <v>94.58333333</v>
      </c>
      <c r="AK19" s="62"/>
      <c r="AL19" s="63">
        <f>('15'!AK19/24)*0.454</f>
        <v>0</v>
      </c>
      <c r="AM19" s="62"/>
      <c r="AN19" s="63">
        <f>('15'!AM19/24)*0.454</f>
        <v>0</v>
      </c>
      <c r="AO19" s="62"/>
      <c r="AP19" s="63">
        <f>('15'!AO19/24)*0.454</f>
        <v>0</v>
      </c>
    </row>
    <row r="20" ht="14.25" customHeight="1">
      <c r="A20" s="51" t="s">
        <v>53</v>
      </c>
      <c r="B20" s="91">
        <f>MAX('15'!B7:B18)</f>
        <v>90</v>
      </c>
      <c r="C20" s="92">
        <f>MAX('15'!C7:C18)</f>
        <v>15</v>
      </c>
      <c r="D20" s="92">
        <f>MAX('15'!D7:D18)</f>
        <v>16</v>
      </c>
      <c r="E20" s="92">
        <f>MAX('15'!E7:E18)</f>
        <v>6</v>
      </c>
      <c r="F20" s="92">
        <f>MAX('15'!F7:F18)</f>
        <v>14</v>
      </c>
      <c r="G20" s="92">
        <f>MAX('15'!G7:G18)</f>
        <v>1.3</v>
      </c>
      <c r="H20" s="92">
        <f>MAX('15'!H7:H18)</f>
        <v>1.2</v>
      </c>
      <c r="I20" s="92">
        <f>MAX('15'!I7:I18)</f>
        <v>0.5</v>
      </c>
      <c r="J20" s="92">
        <f>MAX('15'!J7:J18)</f>
        <v>0.6</v>
      </c>
      <c r="K20" s="92">
        <f>MAX('15'!K7:K18)</f>
        <v>6.9</v>
      </c>
      <c r="L20" s="92">
        <f>MAX('15'!L7:L18)</f>
        <v>6.5</v>
      </c>
      <c r="M20" s="92">
        <f>MAX('15'!M7:M18)</f>
        <v>6.5</v>
      </c>
      <c r="N20" s="92">
        <f>MAX('15'!N7:N18)</f>
        <v>6.52</v>
      </c>
      <c r="O20" s="98">
        <f>MAX('15'!O7:O18)</f>
        <v>3.6</v>
      </c>
      <c r="P20" s="98">
        <f>MAX('15'!P7:P18)</f>
        <v>0</v>
      </c>
      <c r="Q20" s="98">
        <f>MAX('15'!Q7:Q18)</f>
        <v>0</v>
      </c>
      <c r="R20" s="98">
        <f>MAX('15'!R7:R18)</f>
        <v>1210</v>
      </c>
      <c r="S20" s="98">
        <f>MAX('15'!S7:S18)</f>
        <v>68.1237089</v>
      </c>
      <c r="T20" s="99"/>
      <c r="U20" s="21"/>
      <c r="X20" s="54">
        <v>0.625</v>
      </c>
      <c r="Y20" s="125">
        <v>3310.0</v>
      </c>
      <c r="Z20" s="308">
        <v>1210.0</v>
      </c>
      <c r="AA20" s="56">
        <v>1.0</v>
      </c>
      <c r="AB20" s="58">
        <f>IF('15'!AA20=1,(('15'!Z20*'15'!$AS$6*'15'!$AT$6)/('15'!Y20*0.0036)),IF('15'!AA20=2,(('15'!Z20*'15'!$AS$7*'15'!$AT$7)/('15'!Y20*0.0036))))</f>
        <v>67.52685465</v>
      </c>
      <c r="AC20" s="58"/>
      <c r="AD20" s="59">
        <f>(('15'!AC20*'15'!$Q$10*1000000))/('15'!Y20*3600)</f>
        <v>0</v>
      </c>
      <c r="AE20" s="60"/>
      <c r="AF20" s="61">
        <f>('15'!AE20/24)*0.454</f>
        <v>0</v>
      </c>
      <c r="AG20" s="60"/>
      <c r="AH20" s="61">
        <f>('15'!AG20/24)*0.454</f>
        <v>0</v>
      </c>
      <c r="AI20" s="60">
        <v>5000.0</v>
      </c>
      <c r="AJ20" s="61">
        <f>('15'!AI20/24)*0.454</f>
        <v>94.58333333</v>
      </c>
      <c r="AK20" s="62"/>
      <c r="AL20" s="63">
        <f>('15'!AK20/24)*0.454</f>
        <v>0</v>
      </c>
      <c r="AM20" s="62"/>
      <c r="AN20" s="63">
        <f>('15'!AM20/24)*0.454</f>
        <v>0</v>
      </c>
      <c r="AO20" s="62"/>
      <c r="AP20" s="63">
        <f>('15'!AO20/24)*0.454</f>
        <v>0</v>
      </c>
    </row>
    <row r="21" ht="14.25" customHeight="1">
      <c r="A21" s="51" t="s">
        <v>54</v>
      </c>
      <c r="B21" s="91">
        <f>MIN('15'!B7:B18)</f>
        <v>78</v>
      </c>
      <c r="C21" s="92">
        <f>MIN('15'!C7:C18)</f>
        <v>12</v>
      </c>
      <c r="D21" s="92">
        <f>MIN('15'!D7:D18)</f>
        <v>12</v>
      </c>
      <c r="E21" s="92">
        <f>MIN('15'!E7:E18)</f>
        <v>4</v>
      </c>
      <c r="F21" s="92">
        <f>MIN('15'!F7:F18)</f>
        <v>12</v>
      </c>
      <c r="G21" s="100">
        <f>MIN('15'!G7:G18)</f>
        <v>1.2</v>
      </c>
      <c r="H21" s="100">
        <f>MIN('15'!H7:H18)</f>
        <v>0.9</v>
      </c>
      <c r="I21" s="100">
        <f>MIN('15'!I7:I18)</f>
        <v>0.4</v>
      </c>
      <c r="J21" s="100">
        <f>MIN('15'!J7:J18)</f>
        <v>0.5</v>
      </c>
      <c r="K21" s="100">
        <f>MIN('15'!K7:K18)</f>
        <v>6.9</v>
      </c>
      <c r="L21" s="100">
        <f>MIN('15'!L7:L18)</f>
        <v>6.5</v>
      </c>
      <c r="M21" s="100">
        <f>MIN('15'!M7:M18)</f>
        <v>6.5</v>
      </c>
      <c r="N21" s="100">
        <f>MIN('15'!N7:N18)</f>
        <v>6.2</v>
      </c>
      <c r="O21" s="101">
        <f>MIN('15'!O7:O18)</f>
        <v>2.5</v>
      </c>
      <c r="P21" s="101">
        <f>MIN('15'!P7:P18)</f>
        <v>0</v>
      </c>
      <c r="Q21" s="101">
        <f>MIN('15'!Q7:Q18)</f>
        <v>0</v>
      </c>
      <c r="R21" s="101">
        <f>MIN('15'!R7:R18)</f>
        <v>1210</v>
      </c>
      <c r="S21" s="101">
        <f>MIN('15'!S7:S18)</f>
        <v>64.54342734</v>
      </c>
      <c r="T21" s="99"/>
      <c r="U21" s="21"/>
      <c r="X21" s="54">
        <v>0.666666666666667</v>
      </c>
      <c r="Y21" s="125">
        <v>3281.0</v>
      </c>
      <c r="Z21" s="308">
        <v>1210.0</v>
      </c>
      <c r="AA21" s="56">
        <v>1.0</v>
      </c>
      <c r="AB21" s="58">
        <f>IF('15'!AA21=1,(('15'!Z21*'15'!$AS$6*'15'!$AT$6)/('15'!Y21*0.0036)),IF('15'!AA21=2,(('15'!Z21*'15'!$AS$7*'15'!$AT$7)/('15'!Y21*0.0036))))</f>
        <v>68.1237089</v>
      </c>
      <c r="AC21" s="58"/>
      <c r="AD21" s="59">
        <f>(('15'!AC21*'15'!$Q$10*1000000))/('15'!Y21*3600)</f>
        <v>0</v>
      </c>
      <c r="AE21" s="60"/>
      <c r="AF21" s="61">
        <f>('15'!AE21/24)*0.454</f>
        <v>0</v>
      </c>
      <c r="AG21" s="60"/>
      <c r="AH21" s="61">
        <f>('15'!AG21/24)*0.454</f>
        <v>0</v>
      </c>
      <c r="AI21" s="60">
        <v>5000.0</v>
      </c>
      <c r="AJ21" s="61">
        <f>('15'!AI21/24)*0.454</f>
        <v>94.58333333</v>
      </c>
      <c r="AK21" s="62"/>
      <c r="AL21" s="63">
        <f>('15'!AK21/24)*0.454</f>
        <v>0</v>
      </c>
      <c r="AM21" s="62"/>
      <c r="AN21" s="63">
        <f>('15'!AM21/24)*0.454</f>
        <v>0</v>
      </c>
      <c r="AO21" s="62"/>
      <c r="AP21" s="63">
        <f>('15'!AO21/24)*0.454</f>
        <v>0</v>
      </c>
    </row>
    <row r="22" ht="13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3320.0</v>
      </c>
      <c r="Z22" s="308">
        <v>1210.0</v>
      </c>
      <c r="AA22" s="56">
        <v>1.0</v>
      </c>
      <c r="AB22" s="58">
        <f>IF('15'!AA22=1,(('15'!Z22*'15'!$AS$6*'15'!$AT$6)/('15'!Y22*0.0036)),IF('15'!AA22=2,(('15'!Z22*'15'!$AS$7*'15'!$AT$7)/('15'!Y22*0.0036))))</f>
        <v>67.32346051</v>
      </c>
      <c r="AC22" s="58"/>
      <c r="AD22" s="59">
        <f>(('15'!AC22*'15'!$Q$10*1000000))/('15'!Y22*3600)</f>
        <v>0</v>
      </c>
      <c r="AE22" s="60"/>
      <c r="AF22" s="61">
        <f>('15'!AE22/24)*0.454</f>
        <v>0</v>
      </c>
      <c r="AG22" s="60"/>
      <c r="AH22" s="61">
        <f>('15'!AG22/24)*0.454</f>
        <v>0</v>
      </c>
      <c r="AI22" s="60">
        <v>5000.0</v>
      </c>
      <c r="AJ22" s="61">
        <f>('15'!AI22/24)*0.454</f>
        <v>94.58333333</v>
      </c>
      <c r="AK22" s="62"/>
      <c r="AL22" s="63">
        <f>('15'!AK22/24)*0.454</f>
        <v>0</v>
      </c>
      <c r="AM22" s="62"/>
      <c r="AN22" s="63">
        <f>('15'!AM22/24)*0.454</f>
        <v>0</v>
      </c>
      <c r="AO22" s="62"/>
      <c r="AP22" s="63">
        <f>('15'!AO22/24)*0.454</f>
        <v>0</v>
      </c>
    </row>
    <row r="23" ht="13.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3323.0</v>
      </c>
      <c r="Z23" s="308">
        <v>1210.0</v>
      </c>
      <c r="AA23" s="56">
        <v>1.0</v>
      </c>
      <c r="AB23" s="58">
        <f>IF('15'!AA23=1,(('15'!Z23*'15'!$AS$6*'15'!$AT$6)/('15'!Y23*0.0036)),IF('15'!AA23=2,(('15'!Z23*'15'!$AS$7*'15'!$AT$7)/('15'!Y23*0.0036))))</f>
        <v>67.26268098</v>
      </c>
      <c r="AC23" s="58"/>
      <c r="AD23" s="59">
        <f>(('15'!AC23*'15'!$Q$10*1000000))/('15'!Y23*3600)</f>
        <v>0</v>
      </c>
      <c r="AE23" s="60"/>
      <c r="AF23" s="61">
        <f>('15'!AE23/24)*0.454</f>
        <v>0</v>
      </c>
      <c r="AG23" s="60"/>
      <c r="AH23" s="61">
        <f>('15'!AG23/24)*0.454</f>
        <v>0</v>
      </c>
      <c r="AI23" s="60">
        <v>5000.0</v>
      </c>
      <c r="AJ23" s="61">
        <f>('15'!AI23/24)*0.454</f>
        <v>94.58333333</v>
      </c>
      <c r="AK23" s="62"/>
      <c r="AL23" s="63">
        <f>('15'!AK23/24)*0.454</f>
        <v>0</v>
      </c>
      <c r="AM23" s="62"/>
      <c r="AN23" s="63">
        <f>('15'!AM23/24)*0.454</f>
        <v>0</v>
      </c>
      <c r="AO23" s="62"/>
      <c r="AP23" s="63">
        <f>('15'!AO23/24)*0.454</f>
        <v>0</v>
      </c>
    </row>
    <row r="24" ht="13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3309.0</v>
      </c>
      <c r="Z24" s="308">
        <v>1210.0</v>
      </c>
      <c r="AA24" s="56">
        <v>1.0</v>
      </c>
      <c r="AB24" s="57">
        <f>IF('15'!AA24=1,(('15'!Z24*'15'!$AS$6*'15'!$AT$6)/('15'!Y24*0.0036)),IF('15'!AA24=2,(('15'!Z24*'15'!$AS$7*'15'!$AT$7)/('15'!Y24*0.0036))))</f>
        <v>67.54726168</v>
      </c>
      <c r="AC24" s="57"/>
      <c r="AD24" s="154">
        <f>(('15'!AC24*'15'!$Q$10*1000000))/('15'!Y24*3600)</f>
        <v>0</v>
      </c>
      <c r="AE24" s="60"/>
      <c r="AF24" s="311">
        <f>('15'!AE24/24)*0.454</f>
        <v>0</v>
      </c>
      <c r="AG24" s="125"/>
      <c r="AH24" s="311">
        <f>('15'!AG24/24)*0.454</f>
        <v>0</v>
      </c>
      <c r="AI24" s="60">
        <v>5000.0</v>
      </c>
      <c r="AJ24" s="61">
        <f>('15'!AI24/24)*0.454</f>
        <v>94.58333333</v>
      </c>
      <c r="AK24" s="62"/>
      <c r="AL24" s="110">
        <f>('15'!AK24/24)*0.454</f>
        <v>0</v>
      </c>
      <c r="AM24" s="312"/>
      <c r="AN24" s="110">
        <f>('15'!AM24/24)*0.454</f>
        <v>0</v>
      </c>
      <c r="AO24" s="62"/>
      <c r="AP24" s="110">
        <f>('15'!AO24/24)*0.454</f>
        <v>0</v>
      </c>
    </row>
    <row r="25" ht="19.5" customHeight="1">
      <c r="A25" s="111">
        <v>0.416666666666667</v>
      </c>
      <c r="B25" s="108"/>
      <c r="C25" s="108"/>
      <c r="D25" s="108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112" t="str">
        <f t="shared" ref="R25:R26" si="1">#DIV/0!</f>
        <v>#DIV/0!</v>
      </c>
      <c r="S25" s="113"/>
      <c r="T25" s="436" t="s">
        <v>0</v>
      </c>
      <c r="U25" s="370">
        <f>ESCALA!$A$17</f>
        <v>43936</v>
      </c>
      <c r="X25" s="54">
        <v>0.833333333333333</v>
      </c>
      <c r="Y25" s="125">
        <v>3315.0</v>
      </c>
      <c r="Z25" s="308">
        <v>1210.0</v>
      </c>
      <c r="AA25" s="56">
        <v>1.0</v>
      </c>
      <c r="AB25" s="58">
        <f>IF('15'!AA25=1,(('15'!Z25*'15'!$AS$6*'15'!$AT$6)/('15'!Y25*0.0036)),IF('15'!AA25=2,(('15'!Z25*'15'!$AS$7*'15'!$AT$7)/('15'!Y25*0.0036))))</f>
        <v>67.42500419</v>
      </c>
      <c r="AC25" s="58"/>
      <c r="AD25" s="59">
        <f>(('15'!AC25*'15'!$Q$10*1000000))/('15'!Y25*3600)</f>
        <v>0</v>
      </c>
      <c r="AE25" s="60"/>
      <c r="AF25" s="61">
        <f>('15'!AE25/24)*0.454</f>
        <v>0</v>
      </c>
      <c r="AG25" s="60"/>
      <c r="AH25" s="61">
        <f>('15'!AG25/24)*0.454</f>
        <v>0</v>
      </c>
      <c r="AI25" s="60">
        <v>5000.0</v>
      </c>
      <c r="AJ25" s="61">
        <f>('15'!AI25/24)*0.454</f>
        <v>94.58333333</v>
      </c>
      <c r="AK25" s="62"/>
      <c r="AL25" s="63">
        <f>('15'!AK25/24)*0.454</f>
        <v>0</v>
      </c>
      <c r="AM25" s="62"/>
      <c r="AN25" s="63">
        <f>('15'!AM25/24)*0.454</f>
        <v>0</v>
      </c>
      <c r="AO25" s="62"/>
      <c r="AP25" s="63">
        <f>('15'!AO25/24)*0.454</f>
        <v>0</v>
      </c>
    </row>
    <row r="26" ht="19.5" customHeight="1">
      <c r="A26" s="111">
        <v>0.666666666666667</v>
      </c>
      <c r="B26" s="396"/>
      <c r="C26" s="396"/>
      <c r="D26" s="396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125">
        <v>3342.0</v>
      </c>
      <c r="Z26" s="308">
        <v>1210.0</v>
      </c>
      <c r="AA26" s="56">
        <v>1.0</v>
      </c>
      <c r="AB26" s="58">
        <f>IF('15'!AA26=1,(('15'!Z26*'15'!$AS$6*'15'!$AT$6)/('15'!Y26*0.0036)),IF('15'!AA26=2,(('15'!Z26*'15'!$AS$7*'15'!$AT$7)/('15'!Y26*0.0036))))</f>
        <v>66.88027794</v>
      </c>
      <c r="AC26" s="58"/>
      <c r="AD26" s="59">
        <f>(('15'!AC26*'15'!$Q$10*1000000))/('15'!Y26*3600)</f>
        <v>0</v>
      </c>
      <c r="AE26" s="60"/>
      <c r="AF26" s="61">
        <f>('15'!AE26/24)*0.454</f>
        <v>0</v>
      </c>
      <c r="AG26" s="60"/>
      <c r="AH26" s="61">
        <f>('15'!AG26/24)*0.454</f>
        <v>0</v>
      </c>
      <c r="AI26" s="60">
        <v>5000.0</v>
      </c>
      <c r="AJ26" s="61">
        <f>('15'!AI26/24)*0.454</f>
        <v>94.58333333</v>
      </c>
      <c r="AK26" s="62"/>
      <c r="AL26" s="63">
        <f>('15'!AK26/24)*0.454</f>
        <v>0</v>
      </c>
      <c r="AM26" s="62"/>
      <c r="AN26" s="63">
        <f>('15'!AM26/24)*0.454</f>
        <v>0</v>
      </c>
      <c r="AO26" s="62"/>
      <c r="AP26" s="63">
        <f>('15'!AO26/24)*0.454</f>
        <v>0</v>
      </c>
    </row>
    <row r="27" ht="13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3331.0</v>
      </c>
      <c r="Z27" s="308">
        <v>1210.0</v>
      </c>
      <c r="AA27" s="56">
        <v>1.0</v>
      </c>
      <c r="AB27" s="58">
        <f>IF('15'!AA27=1,(('15'!Z27*'15'!$AS$6*'15'!$AT$6)/('15'!Y27*0.0036)),IF('15'!AA27=2,(('15'!Z27*'15'!$AS$7*'15'!$AT$7)/('15'!Y27*0.0036))))</f>
        <v>67.10113746</v>
      </c>
      <c r="AC27" s="58"/>
      <c r="AD27" s="59">
        <f>(('15'!AC27*'15'!$Q$10*1000000))/('15'!Y27*3600)</f>
        <v>0</v>
      </c>
      <c r="AE27" s="60"/>
      <c r="AF27" s="61">
        <f>('15'!AE27/24)*0.454</f>
        <v>0</v>
      </c>
      <c r="AG27" s="60"/>
      <c r="AH27" s="61">
        <f>('15'!AG27/24)*0.454</f>
        <v>0</v>
      </c>
      <c r="AI27" s="60">
        <v>5000.0</v>
      </c>
      <c r="AJ27" s="61">
        <f>('15'!AI27/24)*0.454</f>
        <v>94.58333333</v>
      </c>
      <c r="AK27" s="62"/>
      <c r="AL27" s="63">
        <f>('15'!AK27/24)*0.454</f>
        <v>0</v>
      </c>
      <c r="AM27" s="62"/>
      <c r="AN27" s="63">
        <f>('15'!AM27/24)*0.454</f>
        <v>0</v>
      </c>
      <c r="AO27" s="62"/>
      <c r="AP27" s="63">
        <f>('15'!AO27/24)*0.454</f>
        <v>0</v>
      </c>
    </row>
    <row r="28" ht="17.2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2903.0</v>
      </c>
      <c r="Z28" s="308">
        <v>1210.0</v>
      </c>
      <c r="AA28" s="56">
        <v>1.0</v>
      </c>
      <c r="AB28" s="58">
        <f>IF('15'!AA28=1,(('15'!Z28*'15'!$AS$6*'15'!$AT$6)/('15'!Y28*0.0036)),IF('15'!AA28=2,(('15'!Z28*'15'!$AS$7*'15'!$AT$7)/('15'!Y28*0.0036))))</f>
        <v>76.99410571</v>
      </c>
      <c r="AC28" s="58"/>
      <c r="AD28" s="59">
        <f>(('15'!AC28*'15'!$Q$10*1000000))/('15'!Y28*3600)</f>
        <v>0</v>
      </c>
      <c r="AE28" s="60"/>
      <c r="AF28" s="61">
        <f>('15'!AE28/24)*0.454</f>
        <v>0</v>
      </c>
      <c r="AG28" s="60"/>
      <c r="AH28" s="61">
        <f>('15'!AG28/24)*0.454</f>
        <v>0</v>
      </c>
      <c r="AI28" s="60">
        <v>5000.0</v>
      </c>
      <c r="AJ28" s="61">
        <f>('15'!AI28/24)*0.454</f>
        <v>94.58333333</v>
      </c>
      <c r="AK28" s="62"/>
      <c r="AL28" s="63">
        <f>('15'!AK28/24)*0.454</f>
        <v>0</v>
      </c>
      <c r="AM28" s="62"/>
      <c r="AN28" s="63">
        <f>('15'!AM28/24)*0.454</f>
        <v>0</v>
      </c>
      <c r="AO28" s="62"/>
      <c r="AP28" s="63">
        <f>('15'!AO28/24)*0.454</f>
        <v>0</v>
      </c>
    </row>
    <row r="29" ht="13.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2774.0</v>
      </c>
      <c r="Z29" s="308">
        <v>1210.0</v>
      </c>
      <c r="AA29" s="56">
        <v>1.0</v>
      </c>
      <c r="AB29" s="58">
        <f>IF('15'!AA29=1,(('15'!Z29*'15'!$AS$6*'15'!$AT$6)/('15'!Y29*0.0036)),IF('15'!AA29=2,(('15'!Z29*'15'!$AS$7*'15'!$AT$7)/('15'!Y29*0.0036))))</f>
        <v>80.57458143</v>
      </c>
      <c r="AC29" s="58"/>
      <c r="AD29" s="59">
        <f>(('15'!AC29*'15'!$Q$10*1000000))/('15'!Y29*3600)</f>
        <v>0</v>
      </c>
      <c r="AE29" s="60"/>
      <c r="AF29" s="61">
        <f>('15'!AE29/24)*0.454</f>
        <v>0</v>
      </c>
      <c r="AG29" s="60"/>
      <c r="AH29" s="61">
        <f>('15'!AG29/24)*0.454</f>
        <v>0</v>
      </c>
      <c r="AI29" s="60">
        <v>5000.0</v>
      </c>
      <c r="AJ29" s="61">
        <f>('15'!AI29/24)*0.454</f>
        <v>94.58333333</v>
      </c>
      <c r="AK29" s="62"/>
      <c r="AL29" s="63">
        <f>('15'!AK29/24)*0.454</f>
        <v>0</v>
      </c>
      <c r="AM29" s="62"/>
      <c r="AN29" s="63">
        <f>('15'!AM29/24)*0.454</f>
        <v>0</v>
      </c>
      <c r="AO29" s="62"/>
      <c r="AP29" s="63">
        <f>('15'!AO29/24)*0.454</f>
        <v>0</v>
      </c>
    </row>
    <row r="30" ht="13.5" customHeight="1">
      <c r="A30" s="43"/>
      <c r="U30" s="27"/>
      <c r="X30" s="130" t="s">
        <v>55</v>
      </c>
      <c r="Y30" s="362">
        <f>SUM('15'!Y6:Y29)*3.6</f>
        <v>284976</v>
      </c>
      <c r="Z30" s="132">
        <f>SUM('15'!Z6:Z29)</f>
        <v>29040</v>
      </c>
      <c r="AA30" s="133"/>
      <c r="AB30" s="132"/>
      <c r="AC30" s="133"/>
      <c r="AD30" s="132"/>
      <c r="AE30" s="60"/>
      <c r="AF30" s="61">
        <f>SUM('15'!AF6:AF29)</f>
        <v>0</v>
      </c>
      <c r="AG30" s="60"/>
      <c r="AH30" s="61">
        <f>SUM('15'!AH6:AH29)</f>
        <v>0</v>
      </c>
      <c r="AI30" s="61"/>
      <c r="AJ30" s="400">
        <f>SUM('15'!AJ6:AJ29)</f>
        <v>2270</v>
      </c>
      <c r="AK30" s="62"/>
      <c r="AL30" s="63">
        <f>SUM('15'!AL6:AL29)</f>
        <v>0</v>
      </c>
      <c r="AM30" s="62"/>
      <c r="AN30" s="63">
        <f>SUM('15'!AN6:AN29)</f>
        <v>0</v>
      </c>
      <c r="AO30" s="62"/>
      <c r="AP30" s="63">
        <f>SUM('15'!AP6:AP29)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SUMIF('15'!AA6:AA29,"=1",'15'!Z6:Z29)</f>
        <v>29040</v>
      </c>
      <c r="AA32" s="132">
        <f>'15'!Z32*'15'!AS6</f>
        <v>38623.2</v>
      </c>
      <c r="AB32" s="139">
        <f>SUMIF('15'!$AA$6:$AA$29,"=1",'15'!$AB$6:$AB$29)/COUNTIF('15'!$AA$6:$AA$29,"=1")</f>
        <v>67.9211077</v>
      </c>
      <c r="AC32" s="140">
        <f>SUMIF('15'!AA6:AA29,"=1",'15'!AC6:AC29)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SUMIF('15'!AA6:AA29,"=2",'15'!Z6:Z29)</f>
        <v>0</v>
      </c>
      <c r="AA33" s="132">
        <f>'15'!Z33*'15'!AS7</f>
        <v>0</v>
      </c>
      <c r="AB33" s="139" t="str">
        <f>SUMIF('15'!$AA$6:$AA$29,"=2",'15'!$AB$6:$AB$29)/COUNTIF('15'!$AA$6:$AA$29,"=2")</f>
        <v>#DIV/0!</v>
      </c>
      <c r="AC33" s="145">
        <f>SUMIF('15'!AA6:AA29,"=2",'15'!AC6:AC29)</f>
        <v>0</v>
      </c>
      <c r="AD33" s="145"/>
      <c r="AE33" s="146"/>
      <c r="AF33" s="147"/>
      <c r="AG33" s="146"/>
      <c r="AH33" s="147"/>
      <c r="AI33" s="146"/>
      <c r="AJ33" s="148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AVERAGE('15'!Y6:Y29)</f>
        <v>3298.333333</v>
      </c>
      <c r="Z34" s="56">
        <f>AVERAGE('15'!Z6:Z29)</f>
        <v>1210</v>
      </c>
      <c r="AA34" s="152"/>
      <c r="AB34" s="152"/>
      <c r="AC34" s="153" t="str">
        <f>SUM('15'!AC6:AC29)/COUNTIF('15'!AC6:AC29,"&lt;&gt;0")</f>
        <v>#DIV/0!</v>
      </c>
      <c r="AD34" s="154" t="str">
        <f>SUM('15'!AD6:AD29)/COUNTIF('15'!AD6:AD29,"&lt;&gt;0")</f>
        <v>#DIV/0!</v>
      </c>
      <c r="AE34" s="133"/>
      <c r="AF34" s="153">
        <f>AVERAGE('15'!AF6:AF29)</f>
        <v>0</v>
      </c>
      <c r="AG34" s="153"/>
      <c r="AH34" s="153">
        <f>AVERAGE('15'!AH6:AH29)</f>
        <v>0</v>
      </c>
      <c r="AI34" s="153"/>
      <c r="AJ34" s="153">
        <f>'15'!AJ30/24</f>
        <v>94.58333333</v>
      </c>
      <c r="AK34" s="153"/>
      <c r="AL34" s="153">
        <f>AVERAGE('15'!AL6:AL29)</f>
        <v>0</v>
      </c>
      <c r="AM34" s="153"/>
      <c r="AN34" s="153">
        <f>AVERAGE('15'!AN6:AN29)</f>
        <v>0</v>
      </c>
      <c r="AO34" s="153"/>
      <c r="AP34" s="153">
        <f>AVERAGE('15'!AP6:AP29)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128"/>
      <c r="AJ35" s="335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>
        <v>5.0</v>
      </c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57.2</v>
      </c>
      <c r="D37" s="76">
        <v>34.1</v>
      </c>
      <c r="E37" s="76">
        <v>25.1</v>
      </c>
      <c r="F37" s="76">
        <v>1.0</v>
      </c>
      <c r="G37" s="60">
        <v>0.2</v>
      </c>
      <c r="H37" s="60">
        <v>0.1</v>
      </c>
      <c r="I37" s="60">
        <v>0.15</v>
      </c>
      <c r="J37" s="60">
        <v>0.06</v>
      </c>
      <c r="K37" s="60">
        <v>0.03</v>
      </c>
      <c r="L37" s="52">
        <v>0.15</v>
      </c>
      <c r="M37" s="106"/>
      <c r="N37" s="157"/>
      <c r="O37" s="51"/>
      <c r="P37" s="51"/>
      <c r="Q37" s="51"/>
      <c r="R37" s="51"/>
      <c r="S37" s="51"/>
      <c r="T37" s="51"/>
      <c r="U37" s="437" t="str">
        <f>'15'!V12</f>
        <v/>
      </c>
      <c r="X37" s="338" t="s">
        <v>75</v>
      </c>
      <c r="Y37" s="128"/>
      <c r="Z37" s="170">
        <f>COUNTA('15'!Z6:Z29)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SUM('15'!AF30+'15'!AH30)</f>
        <v>0</v>
      </c>
      <c r="AL38" s="178" t="s">
        <v>78</v>
      </c>
      <c r="AM38" s="179">
        <f>SUM('15'!AL30+'15'!AN30)</f>
        <v>0</v>
      </c>
      <c r="AO38" s="178" t="s">
        <v>78</v>
      </c>
      <c r="AP38" s="180">
        <f>'15'!AJ30</f>
        <v>2270</v>
      </c>
      <c r="AQ38" s="178" t="s">
        <v>78</v>
      </c>
      <c r="AR38" s="179">
        <f>'15'!AP30</f>
        <v>0</v>
      </c>
    </row>
    <row r="39" ht="16.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('15'!AK38/'15'!Y30)*1000</f>
        <v>0</v>
      </c>
      <c r="AL39" s="327" t="s">
        <v>86</v>
      </c>
      <c r="AM39" s="328">
        <f>('15'!AM38/'15'!Y30)*1000</f>
        <v>0</v>
      </c>
      <c r="AO39" s="325" t="s">
        <v>86</v>
      </c>
      <c r="AP39" s="326">
        <f>('15'!AP38/'15'!Y30)*1000</f>
        <v>7.965583067</v>
      </c>
      <c r="AQ39" s="327" t="s">
        <v>86</v>
      </c>
      <c r="AR39" s="328">
        <f>('15'!AR38/'15'!Y30)*1000</f>
        <v>0</v>
      </c>
    </row>
    <row r="40" ht="15.7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SUM('15'!AK38,'15'!AM38)</f>
        <v>0</v>
      </c>
      <c r="AM40" s="128"/>
      <c r="AO40" s="210" t="s">
        <v>90</v>
      </c>
      <c r="AP40" s="128"/>
      <c r="AQ40" s="211">
        <f>SUM('15'!AP38,'15'!AR38)</f>
        <v>2270</v>
      </c>
      <c r="AR40" s="128"/>
    </row>
    <row r="41" ht="16.5" customHeight="1">
      <c r="A41" s="212">
        <f>COUNTA('15'!E7:E18)</f>
        <v>12</v>
      </c>
      <c r="B41" s="213">
        <f>COUNTA('15'!I7:I18)</f>
        <v>12</v>
      </c>
      <c r="C41" s="214">
        <f>COUNTA('15'!J7:J18)</f>
        <v>12</v>
      </c>
      <c r="D41" s="80"/>
      <c r="E41" s="214">
        <f>COUNTIF('15'!E7:E18,"&gt;15")</f>
        <v>0</v>
      </c>
      <c r="F41" s="80"/>
      <c r="G41" s="214">
        <f>COUNTIF('15'!J7:J18,"&gt;1")</f>
        <v>0</v>
      </c>
      <c r="H41" s="80"/>
      <c r="I41" s="215"/>
      <c r="J41" s="214">
        <f>'15'!A41-'15'!E41</f>
        <v>12</v>
      </c>
      <c r="K41" s="80"/>
      <c r="L41" s="214">
        <f>'15'!C41-'15'!G41</f>
        <v>12</v>
      </c>
      <c r="M41" s="80"/>
      <c r="N41" s="215"/>
      <c r="O41" s="216">
        <f>COUNTIF('15'!J7:J18,"&lt;=0,5")</f>
        <v>8</v>
      </c>
      <c r="P41" s="217"/>
      <c r="Q41" s="218"/>
      <c r="R41" s="219"/>
      <c r="S41" s="220">
        <f>COUNTIF('15'!J7:J18,"&lt;=1,0")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SUM(('15'!AK38+'15'!AM38)/'15'!Y30)*1000</f>
        <v>0</v>
      </c>
      <c r="AM41" s="128"/>
      <c r="AO41" s="210" t="s">
        <v>91</v>
      </c>
      <c r="AP41" s="128"/>
      <c r="AQ41" s="223">
        <f>SUM(('15'!AP38+'15'!AR38)/'15'!Y30)*1000</f>
        <v>7.965583067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SUM('15'!Y45,'15'!AA45,'15'!AC45,'15'!AE45)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COUNTIF('15'!I7:I18,"&lt;=5,0")</f>
        <v>12</v>
      </c>
      <c r="I45" s="127"/>
      <c r="J45" s="128"/>
      <c r="K45" s="215"/>
      <c r="L45" s="208">
        <f>COUNTA('15'!L37)</f>
        <v>1</v>
      </c>
      <c r="M45" s="128"/>
      <c r="O45" s="248"/>
      <c r="P45" s="249"/>
      <c r="Q45" s="250">
        <f>'15'!S41-'15'!O41</f>
        <v>4</v>
      </c>
      <c r="R45" s="251"/>
      <c r="S45" s="252"/>
      <c r="T45" s="253"/>
      <c r="X45" s="133" t="s">
        <v>104</v>
      </c>
      <c r="Y45" s="254">
        <f>Y44*275.3</f>
        <v>0</v>
      </c>
      <c r="Z45" s="133" t="s">
        <v>104</v>
      </c>
      <c r="AA45" s="254">
        <f>262.4*'15'!AA44</f>
        <v>0</v>
      </c>
      <c r="AB45" s="133" t="s">
        <v>104</v>
      </c>
      <c r="AC45" s="254">
        <f>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343"/>
      <c r="AP45" s="233"/>
      <c r="AQ45" s="233"/>
      <c r="AR45" s="89"/>
    </row>
    <row r="46" ht="15.0" customHeight="1">
      <c r="F46" s="257"/>
      <c r="X46" s="196" t="s">
        <v>105</v>
      </c>
      <c r="Y46" s="258">
        <f>AS6</f>
        <v>1.33</v>
      </c>
      <c r="Z46" s="196" t="s">
        <v>105</v>
      </c>
      <c r="AA46" s="258">
        <f>Y46</f>
        <v>1.33</v>
      </c>
      <c r="AB46" s="196" t="s">
        <v>105</v>
      </c>
      <c r="AC46" s="258">
        <f>Y46</f>
        <v>1.33</v>
      </c>
      <c r="AD46" s="196" t="s">
        <v>105</v>
      </c>
      <c r="AE46" s="259">
        <f>Y46</f>
        <v>1.33</v>
      </c>
      <c r="AF46" s="260" t="s">
        <v>106</v>
      </c>
      <c r="AG46" s="261">
        <f>SUM('15'!Y47,'15'!AA47,'15'!AC47,'15'!AE47)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Y45*Y46</f>
        <v>0</v>
      </c>
      <c r="Z47" s="133" t="s">
        <v>108</v>
      </c>
      <c r="AA47" s="254">
        <f>'15'!AA45*'15'!AA46</f>
        <v>0</v>
      </c>
      <c r="AB47" s="133" t="s">
        <v>108</v>
      </c>
      <c r="AC47" s="254">
        <f>C45*AC46</f>
        <v>0</v>
      </c>
      <c r="AD47" s="133" t="s">
        <v>108</v>
      </c>
      <c r="AE47" s="254">
        <f>'15'!AE45*'15'!AE46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262.4*'3'!AL46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AJ48</f>
        <v>1.33</v>
      </c>
      <c r="AM48" s="265" t="s">
        <v>105</v>
      </c>
      <c r="AN48" s="258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AL47*AL48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COUNTA('15'!O7:O18)</f>
        <v>12</v>
      </c>
      <c r="P51" s="128"/>
      <c r="R51" s="247">
        <f>COUNTIF('15'!O7:O18,"&gt;=0,5")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SUM('15'!Y53,'15'!AA53,'15'!AC53,'15'!AE53)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343" t="s">
        <v>102</v>
      </c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'15'!Y52*275.3</f>
        <v>0</v>
      </c>
      <c r="Z53" s="133" t="s">
        <v>104</v>
      </c>
      <c r="AA53" s="254">
        <f>262.4*'15'!AA52</f>
        <v>0</v>
      </c>
      <c r="AB53" s="133" t="s">
        <v>104</v>
      </c>
      <c r="AC53" s="276">
        <f>'15'!AC52*277.7</f>
        <v>0</v>
      </c>
      <c r="AD53" s="133" t="s">
        <v>104</v>
      </c>
      <c r="AE53" s="352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'15'!AS7</f>
        <v>1.377</v>
      </c>
      <c r="Z54" s="196" t="s">
        <v>105</v>
      </c>
      <c r="AA54" s="258">
        <f>'15'!Y54</f>
        <v>1.377</v>
      </c>
      <c r="AB54" s="196" t="s">
        <v>105</v>
      </c>
      <c r="AC54" s="258">
        <f>'15'!Y54</f>
        <v>1.377</v>
      </c>
      <c r="AD54" s="196" t="s">
        <v>105</v>
      </c>
      <c r="AE54" s="259">
        <f>'15'!Y54</f>
        <v>1.377</v>
      </c>
      <c r="AF54" s="260" t="s">
        <v>106</v>
      </c>
      <c r="AG54" s="261">
        <f>SUM('15'!Y55,'15'!AA55,'15'!AC55,'15'!AE55)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262.4*'3'!AL53</f>
        <v>0</v>
      </c>
      <c r="AM54" s="133" t="s">
        <v>104</v>
      </c>
      <c r="AN54" s="276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'15'!Y53*'15'!Y54</f>
        <v>0</v>
      </c>
      <c r="Z55" s="133" t="s">
        <v>108</v>
      </c>
      <c r="AA55" s="254">
        <f>'15'!AA53*'15'!AA54</f>
        <v>0</v>
      </c>
      <c r="AB55" s="133" t="s">
        <v>108</v>
      </c>
      <c r="AC55" s="254">
        <f>'15'!AC53*'15'!AC54</f>
        <v>0</v>
      </c>
      <c r="AD55" s="133" t="s">
        <v>108</v>
      </c>
      <c r="AE55" s="254">
        <f>'15'!AE53*'15'!AE54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>
        <f>AJ55</f>
        <v>1.377</v>
      </c>
      <c r="AM55" s="196" t="s">
        <v>105</v>
      </c>
      <c r="AN55" s="258">
        <f>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'3'!AL54*'3'!AL55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COUNTA('15'!N7:N18)</f>
        <v>12</v>
      </c>
      <c r="P57" s="128"/>
      <c r="R57" s="277">
        <f>COUNTIF('15'!N7:N18,"&gt;=6")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U59" s="303" t="s">
        <v>146</v>
      </c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38623.2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-38623.2</v>
      </c>
      <c r="AR63" s="80"/>
    </row>
    <row r="64" ht="15.0" customHeight="1">
      <c r="X64" s="294"/>
      <c r="Y64" s="295"/>
      <c r="Z64" s="43"/>
      <c r="AA64" s="27"/>
      <c r="AB64" s="296"/>
      <c r="AC64" s="125"/>
      <c r="AI64" s="438" t="s">
        <v>147</v>
      </c>
      <c r="AL64" s="439"/>
      <c r="AN64" s="438" t="s">
        <v>147</v>
      </c>
      <c r="AQ64" s="439"/>
    </row>
    <row r="65" ht="39.0" customHeight="1">
      <c r="X65" s="297" t="s">
        <v>126</v>
      </c>
      <c r="Y65" s="298">
        <f>'14'!$Y$68</f>
        <v>-15871.08333</v>
      </c>
      <c r="Z65" s="43"/>
      <c r="AA65" s="27"/>
      <c r="AB65" s="299" t="s">
        <v>126</v>
      </c>
      <c r="AC65" s="330">
        <f>'14'!$AC$68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SUM('15'!AK38,'15'!AP38)</f>
        <v>2270</v>
      </c>
      <c r="Z67" s="43"/>
      <c r="AA67" s="27"/>
      <c r="AB67" s="296" t="s">
        <v>124</v>
      </c>
      <c r="AC67" s="254">
        <f>SUM('15'!AM38,'15'!AR38)</f>
        <v>0</v>
      </c>
    </row>
    <row r="68" ht="15.75" customHeight="1">
      <c r="X68" s="294" t="s">
        <v>128</v>
      </c>
      <c r="Y68" s="301">
        <f>SUM('15'!Y63,'15'!Y65)-'15'!Y67</f>
        <v>-18141.08333</v>
      </c>
      <c r="Z68" s="16"/>
      <c r="AA68" s="18"/>
      <c r="AB68" s="296" t="s">
        <v>128</v>
      </c>
      <c r="AC68" s="302">
        <f>SUM('15'!AC63,'15'!AC65)-'15'!AC67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5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I60:AM60"/>
    <mergeCell ref="AN60:AR60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1" width="8.71"/>
    <col customWidth="1" min="22" max="24" width="8.57"/>
    <col customWidth="1" min="25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308">
        <v>2704.0</v>
      </c>
      <c r="Z6" s="308">
        <v>920.0</v>
      </c>
      <c r="AA6" s="56">
        <v>1.0</v>
      </c>
      <c r="AB6" s="58">
        <f>IF('16'!AA6=1,(('16'!Z6*'16'!$AS$6*'16'!$AT$6)/('16'!Y6*0.0036)),IF('16'!AA6=2,(('16'!Z6*'16'!$AS$7*'16'!$AT$7)/('16'!Y6*0.0036))))</f>
        <v>62.84927679</v>
      </c>
      <c r="AC6" s="58"/>
      <c r="AD6" s="59">
        <f>(('16'!AC6*'16'!$O$9*1000000))/('16'!Y6*3600)</f>
        <v>0</v>
      </c>
      <c r="AE6" s="60"/>
      <c r="AF6" s="61">
        <f>('16'!AE6/24)*0.454</f>
        <v>0</v>
      </c>
      <c r="AG6" s="60"/>
      <c r="AH6" s="61">
        <f>('16'!AG6/24)*0.454</f>
        <v>0</v>
      </c>
      <c r="AI6" s="405">
        <v>4000.0</v>
      </c>
      <c r="AJ6" s="61">
        <f>('16'!AI6/24)*0.454</f>
        <v>75.66666667</v>
      </c>
      <c r="AK6" s="62"/>
      <c r="AL6" s="63">
        <f>('16'!AK6/24)*0.454</f>
        <v>0</v>
      </c>
      <c r="AM6" s="62"/>
      <c r="AN6" s="63">
        <f>('16'!AM6/24)*0.454</f>
        <v>0</v>
      </c>
      <c r="AO6" s="64"/>
      <c r="AP6" s="63">
        <f>('16'!AO6/24)*0.454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5.0" customHeight="1">
      <c r="A7" s="69">
        <v>0.0</v>
      </c>
      <c r="B7" s="76">
        <v>77.0</v>
      </c>
      <c r="C7" s="76">
        <v>15.0</v>
      </c>
      <c r="D7" s="76">
        <v>16.0</v>
      </c>
      <c r="E7" s="76">
        <v>4.0</v>
      </c>
      <c r="F7" s="76">
        <v>11.0</v>
      </c>
      <c r="G7" s="76">
        <v>1.2</v>
      </c>
      <c r="H7" s="76">
        <v>1.0</v>
      </c>
      <c r="I7" s="76">
        <v>0.5</v>
      </c>
      <c r="J7" s="76">
        <v>0.5</v>
      </c>
      <c r="K7" s="76">
        <v>6.9</v>
      </c>
      <c r="L7" s="76">
        <v>6.5</v>
      </c>
      <c r="M7" s="76">
        <v>6.5</v>
      </c>
      <c r="N7" s="76">
        <v>6.2</v>
      </c>
      <c r="O7" s="76">
        <v>3.6</v>
      </c>
      <c r="P7" s="76"/>
      <c r="Q7" s="310"/>
      <c r="R7" s="77">
        <f>'15'!$Z$29</f>
        <v>1210</v>
      </c>
      <c r="S7" s="309">
        <f>'15'!$AB$29</f>
        <v>80.57458143</v>
      </c>
      <c r="T7" s="77">
        <f>'15'!$Y$29</f>
        <v>2774</v>
      </c>
      <c r="U7" s="73" t="str">
        <f>IF('16'!AA6=1,'16'!AR6,'16'!AR7)</f>
        <v>S.A.L</v>
      </c>
      <c r="V7" s="74" t="str">
        <f>ESCALA!$C$17</f>
        <v/>
      </c>
      <c r="W7" s="12"/>
      <c r="X7" s="54">
        <v>0.0833333333333333</v>
      </c>
      <c r="Y7" s="308">
        <v>2787.0</v>
      </c>
      <c r="Z7" s="308">
        <v>920.0</v>
      </c>
      <c r="AA7" s="56">
        <v>1.0</v>
      </c>
      <c r="AB7" s="58">
        <f>IF('16'!AA7=1,(('16'!Z7*'16'!$AS$6*'16'!$AT$6)/('16'!Y7*0.0036)),IF('16'!AA7=2,(('16'!Z7*'16'!$AS$7*'16'!$AT$7)/('16'!Y7*0.0036))))</f>
        <v>60.97755452</v>
      </c>
      <c r="AC7" s="58"/>
      <c r="AD7" s="59">
        <f>(('16'!AC7*'16'!$O$9*1000000))/('16'!Y7*3600)</f>
        <v>0</v>
      </c>
      <c r="AE7" s="60"/>
      <c r="AF7" s="61">
        <f>('16'!AE7/24)*0.454</f>
        <v>0</v>
      </c>
      <c r="AG7" s="60"/>
      <c r="AH7" s="61">
        <f>('16'!AG7/24)*0.454</f>
        <v>0</v>
      </c>
      <c r="AI7" s="405">
        <v>4000.0</v>
      </c>
      <c r="AJ7" s="61">
        <f>('16'!AI7/24)*0.454</f>
        <v>75.66666667</v>
      </c>
      <c r="AK7" s="62"/>
      <c r="AL7" s="63">
        <f>('16'!AK7/24)*0.454</f>
        <v>0</v>
      </c>
      <c r="AM7" s="62"/>
      <c r="AN7" s="63">
        <f>('16'!AM7/24)*0.454</f>
        <v>0</v>
      </c>
      <c r="AO7" s="62"/>
      <c r="AP7" s="63">
        <f>('16'!AO7/24)*0.454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5.0" customHeight="1">
      <c r="A8" s="69">
        <v>0.0833333333333333</v>
      </c>
      <c r="B8" s="76">
        <v>80.0</v>
      </c>
      <c r="C8" s="76">
        <v>15.0</v>
      </c>
      <c r="D8" s="76">
        <v>15.0</v>
      </c>
      <c r="E8" s="76">
        <v>4.0</v>
      </c>
      <c r="F8" s="76">
        <v>9.7</v>
      </c>
      <c r="G8" s="76">
        <v>1.1</v>
      </c>
      <c r="H8" s="76">
        <v>1.0</v>
      </c>
      <c r="I8" s="76">
        <v>0.5</v>
      </c>
      <c r="J8" s="76">
        <v>0.5</v>
      </c>
      <c r="K8" s="76">
        <v>6.9</v>
      </c>
      <c r="L8" s="76">
        <v>6.5</v>
      </c>
      <c r="M8" s="76">
        <v>6.5</v>
      </c>
      <c r="N8" s="76">
        <v>6.2</v>
      </c>
      <c r="O8" s="76">
        <v>3.6</v>
      </c>
      <c r="P8" s="76"/>
      <c r="Q8" s="310"/>
      <c r="R8" s="77">
        <f>'16'!Z7</f>
        <v>920</v>
      </c>
      <c r="S8" s="76">
        <f>'16'!AB7</f>
        <v>60.97755452</v>
      </c>
      <c r="T8" s="77">
        <f>'16'!Y7</f>
        <v>2787</v>
      </c>
      <c r="U8" s="73" t="str">
        <f>IF('16'!AA7=1,'16'!AR6,'16'!AR7)</f>
        <v>S.A.L</v>
      </c>
      <c r="V8" s="43"/>
      <c r="W8" s="27"/>
      <c r="X8" s="54">
        <v>0.125</v>
      </c>
      <c r="Y8" s="308">
        <v>2721.0</v>
      </c>
      <c r="Z8" s="308">
        <v>920.0</v>
      </c>
      <c r="AA8" s="56">
        <v>1.0</v>
      </c>
      <c r="AB8" s="58">
        <f>IF('16'!AA8=1,(('16'!Z8*'16'!$AS$6*'16'!$AT$6)/('16'!Y8*0.0036)),IF('16'!AA8=2,(('16'!Z8*'16'!$AS$7*'16'!$AT$7)/('16'!Y8*0.0036))))</f>
        <v>62.45661317</v>
      </c>
      <c r="AC8" s="58"/>
      <c r="AD8" s="59">
        <f>(('16'!AC8*'16'!$O$9*1000000))/('16'!Y8*3600)</f>
        <v>0</v>
      </c>
      <c r="AE8" s="60"/>
      <c r="AF8" s="61">
        <f>('16'!AE8/24)*0.454</f>
        <v>0</v>
      </c>
      <c r="AG8" s="60"/>
      <c r="AH8" s="61">
        <f>('16'!AG8/24)*0.454</f>
        <v>0</v>
      </c>
      <c r="AI8" s="405">
        <v>4000.0</v>
      </c>
      <c r="AJ8" s="61">
        <f>('16'!AI8/24)*0.454</f>
        <v>75.66666667</v>
      </c>
      <c r="AK8" s="62"/>
      <c r="AL8" s="63">
        <f>('16'!AK8/24)*0.454</f>
        <v>0</v>
      </c>
      <c r="AM8" s="62"/>
      <c r="AN8" s="63">
        <f>('16'!AM8/24)*0.454</f>
        <v>0</v>
      </c>
      <c r="AO8" s="62"/>
      <c r="AP8" s="63">
        <f>('16'!AO8/24)*0.454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78.0</v>
      </c>
      <c r="C9" s="76">
        <v>15.0</v>
      </c>
      <c r="D9" s="76">
        <v>14.0</v>
      </c>
      <c r="E9" s="76">
        <v>4.0</v>
      </c>
      <c r="F9" s="76">
        <v>8.9</v>
      </c>
      <c r="G9" s="76">
        <v>1.0</v>
      </c>
      <c r="H9" s="76">
        <v>0.9</v>
      </c>
      <c r="I9" s="76">
        <v>0.4</v>
      </c>
      <c r="J9" s="76">
        <v>0.4</v>
      </c>
      <c r="K9" s="76">
        <v>6.9</v>
      </c>
      <c r="L9" s="76">
        <v>6.5</v>
      </c>
      <c r="M9" s="76">
        <v>6.5</v>
      </c>
      <c r="N9" s="76">
        <v>6.1</v>
      </c>
      <c r="O9" s="76">
        <v>3.8</v>
      </c>
      <c r="P9" s="76"/>
      <c r="Q9" s="310"/>
      <c r="R9" s="77">
        <f>'16'!Z9</f>
        <v>920</v>
      </c>
      <c r="S9" s="76">
        <f>'16'!AB9</f>
        <v>62.96570746</v>
      </c>
      <c r="T9" s="77">
        <f>'16'!Y9</f>
        <v>2699</v>
      </c>
      <c r="U9" s="73" t="str">
        <f>IF('16'!AA9=1,'16'!AR6,'16'!AR7)</f>
        <v>S.A.L</v>
      </c>
      <c r="V9" s="43"/>
      <c r="W9" s="27"/>
      <c r="X9" s="54">
        <v>0.166666666666667</v>
      </c>
      <c r="Y9" s="308">
        <v>2699.0</v>
      </c>
      <c r="Z9" s="308">
        <v>920.0</v>
      </c>
      <c r="AA9" s="56">
        <v>1.0</v>
      </c>
      <c r="AB9" s="58">
        <f>IF('16'!AA9=1,(('16'!Z9*'16'!$AS$6*'16'!$AT$6)/('16'!Y9*0.0036)),IF('16'!AA9=2,(('16'!Z9*'16'!$AS$7*'16'!$AT$7)/('16'!Y9*0.0036))))</f>
        <v>62.96570746</v>
      </c>
      <c r="AC9" s="58"/>
      <c r="AD9" s="59">
        <f>(('16'!AC9*'16'!$O$9*1000000))/('16'!Y9*3600)</f>
        <v>0</v>
      </c>
      <c r="AE9" s="60"/>
      <c r="AF9" s="61">
        <f>('16'!AE9/24)*0.454</f>
        <v>0</v>
      </c>
      <c r="AG9" s="60"/>
      <c r="AH9" s="61">
        <f>('16'!AG9/24)*0.454</f>
        <v>0</v>
      </c>
      <c r="AI9" s="405">
        <v>4000.0</v>
      </c>
      <c r="AJ9" s="61">
        <f>('16'!AI9/24)*0.454</f>
        <v>75.66666667</v>
      </c>
      <c r="AK9" s="62"/>
      <c r="AL9" s="63">
        <f>('16'!AK9/24)*0.454</f>
        <v>0</v>
      </c>
      <c r="AM9" s="62"/>
      <c r="AN9" s="63">
        <f>('16'!AM9/24)*0.454</f>
        <v>0</v>
      </c>
      <c r="AO9" s="62"/>
      <c r="AP9" s="63">
        <f>('16'!AO9/24)*0.454</f>
        <v>0</v>
      </c>
      <c r="AQ9" s="81" t="s">
        <v>37</v>
      </c>
      <c r="AR9" s="79"/>
      <c r="AS9" s="80"/>
      <c r="AT9" s="82" t="s">
        <v>39</v>
      </c>
    </row>
    <row r="10" ht="15.0" customHeight="1">
      <c r="A10" s="69">
        <v>0.25</v>
      </c>
      <c r="B10" s="76">
        <v>78.0</v>
      </c>
      <c r="C10" s="76">
        <v>16.0</v>
      </c>
      <c r="D10" s="76">
        <v>14.0</v>
      </c>
      <c r="E10" s="76">
        <v>4.0</v>
      </c>
      <c r="F10" s="76">
        <v>8.4</v>
      </c>
      <c r="G10" s="76">
        <v>1.0</v>
      </c>
      <c r="H10" s="76">
        <v>0.9</v>
      </c>
      <c r="I10" s="76">
        <v>0.4</v>
      </c>
      <c r="J10" s="76">
        <v>0.4</v>
      </c>
      <c r="K10" s="76">
        <v>6.9</v>
      </c>
      <c r="L10" s="76">
        <v>6.5</v>
      </c>
      <c r="M10" s="76">
        <v>6.5</v>
      </c>
      <c r="N10" s="76">
        <v>6.1</v>
      </c>
      <c r="O10" s="76">
        <v>3.8</v>
      </c>
      <c r="P10" s="76"/>
      <c r="Q10" s="310"/>
      <c r="R10" s="77">
        <f>'16'!Z11</f>
        <v>920</v>
      </c>
      <c r="S10" s="76">
        <f>'16'!AB11</f>
        <v>71.16601526</v>
      </c>
      <c r="T10" s="77">
        <f>'16'!Y11</f>
        <v>2388</v>
      </c>
      <c r="U10" s="73" t="str">
        <f>IF('16'!AA11=1,'16'!AR6,'16'!AR7)</f>
        <v>S.A.L</v>
      </c>
      <c r="V10" s="43"/>
      <c r="W10" s="27"/>
      <c r="X10" s="54">
        <v>0.208333333333333</v>
      </c>
      <c r="Y10" s="308">
        <v>2644.0</v>
      </c>
      <c r="Z10" s="308">
        <v>920.0</v>
      </c>
      <c r="AA10" s="56">
        <v>1.0</v>
      </c>
      <c r="AB10" s="58">
        <f>IF('16'!AA10=1,(('16'!Z10*'16'!$AS$6*'16'!$AT$6)/('16'!Y10*0.0036)),IF('16'!AA10=2,(('16'!Z10*'16'!$AS$7*'16'!$AT$7)/('16'!Y10*0.0036))))</f>
        <v>64.27550849</v>
      </c>
      <c r="AC10" s="58"/>
      <c r="AD10" s="59">
        <f>(('16'!AC10*'16'!$O$9*1000000))/('16'!Y10*3600)</f>
        <v>0</v>
      </c>
      <c r="AE10" s="60"/>
      <c r="AF10" s="61">
        <f>('16'!AE10/24)*0.454</f>
        <v>0</v>
      </c>
      <c r="AG10" s="60"/>
      <c r="AH10" s="61">
        <f>('16'!AG10/24)*0.454</f>
        <v>0</v>
      </c>
      <c r="AI10" s="405">
        <v>4000.0</v>
      </c>
      <c r="AJ10" s="61">
        <f>('16'!AI10/24)*0.454</f>
        <v>75.66666667</v>
      </c>
      <c r="AK10" s="62"/>
      <c r="AL10" s="63">
        <f>('16'!AK10/24)*0.454</f>
        <v>0</v>
      </c>
      <c r="AM10" s="62"/>
      <c r="AN10" s="63">
        <f>('16'!AM10/24)*0.454</f>
        <v>0</v>
      </c>
      <c r="AO10" s="62"/>
      <c r="AP10" s="63">
        <f>('16'!AO10/24)*0.454</f>
        <v>0</v>
      </c>
      <c r="AQ10" s="84" t="s">
        <v>51</v>
      </c>
      <c r="AR10" s="79"/>
      <c r="AS10" s="80"/>
      <c r="AT10" s="85">
        <v>0.002</v>
      </c>
    </row>
    <row r="11" ht="15.0" customHeight="1">
      <c r="A11" s="69">
        <v>0.333333333333333</v>
      </c>
      <c r="B11" s="76">
        <v>60.0</v>
      </c>
      <c r="C11" s="76">
        <v>19.0</v>
      </c>
      <c r="D11" s="76">
        <v>17.0</v>
      </c>
      <c r="E11" s="76">
        <v>11.0</v>
      </c>
      <c r="F11" s="76">
        <v>5.0</v>
      </c>
      <c r="G11" s="76">
        <v>0.8</v>
      </c>
      <c r="H11" s="76">
        <v>0.7</v>
      </c>
      <c r="I11" s="76">
        <v>0.5</v>
      </c>
      <c r="J11" s="76">
        <v>0.4</v>
      </c>
      <c r="K11" s="76">
        <v>6.9</v>
      </c>
      <c r="L11" s="76">
        <v>6.5</v>
      </c>
      <c r="M11" s="76">
        <v>6.4</v>
      </c>
      <c r="N11" s="76">
        <v>6.2</v>
      </c>
      <c r="O11" s="76">
        <v>3.8</v>
      </c>
      <c r="P11" s="76"/>
      <c r="Q11" s="310"/>
      <c r="R11" s="77">
        <f>'16'!Z13</f>
        <v>1150</v>
      </c>
      <c r="S11" s="76">
        <f>'16'!AB13</f>
        <v>67.05509961</v>
      </c>
      <c r="T11" s="77">
        <f>'16'!Y13</f>
        <v>3168</v>
      </c>
      <c r="U11" s="73" t="str">
        <f>IF('16'!AA13=1,'16'!AR6,'16'!AR7)</f>
        <v>S.A.L</v>
      </c>
      <c r="V11" s="16"/>
      <c r="W11" s="18"/>
      <c r="X11" s="54">
        <v>0.25</v>
      </c>
      <c r="Y11" s="308">
        <v>2388.0</v>
      </c>
      <c r="Z11" s="308">
        <v>920.0</v>
      </c>
      <c r="AA11" s="56">
        <v>1.0</v>
      </c>
      <c r="AB11" s="58">
        <f>IF('16'!AA11=1,(('16'!Z11*'16'!$AS$6*'16'!$AT$6)/('16'!Y11*0.0036)),IF('16'!AA11=2,(('16'!Z11*'16'!$AS$7*'16'!$AT$7)/('16'!Y11*0.0036))))</f>
        <v>71.16601526</v>
      </c>
      <c r="AC11" s="58"/>
      <c r="AD11" s="59">
        <f>(('16'!AC11*'16'!$O$9*1000000))/('16'!Y11*3600)</f>
        <v>0</v>
      </c>
      <c r="AE11" s="60"/>
      <c r="AF11" s="61">
        <f>('16'!AE11/24)*0.454</f>
        <v>0</v>
      </c>
      <c r="AG11" s="60"/>
      <c r="AH11" s="61">
        <f>('16'!AG11/24)*0.454</f>
        <v>0</v>
      </c>
      <c r="AI11" s="405">
        <v>4000.0</v>
      </c>
      <c r="AJ11" s="61">
        <f>('16'!AI11/24)*0.454</f>
        <v>75.66666667</v>
      </c>
      <c r="AK11" s="62"/>
      <c r="AL11" s="63">
        <f>('16'!AK11/24)*0.454</f>
        <v>0</v>
      </c>
      <c r="AM11" s="62"/>
      <c r="AN11" s="63">
        <f>('16'!AM11/24)*0.454</f>
        <v>0</v>
      </c>
      <c r="AO11" s="62"/>
      <c r="AP11" s="63">
        <f>('16'!AO11/24)*0.454</f>
        <v>0</v>
      </c>
    </row>
    <row r="12" ht="15.0" customHeight="1">
      <c r="A12" s="69">
        <v>0.416666666666667</v>
      </c>
      <c r="B12" s="76">
        <v>110.0</v>
      </c>
      <c r="C12" s="76">
        <v>16.0</v>
      </c>
      <c r="D12" s="76">
        <v>16.0</v>
      </c>
      <c r="E12" s="76">
        <v>9.0</v>
      </c>
      <c r="F12" s="76">
        <v>11.0</v>
      </c>
      <c r="G12" s="76">
        <v>1.0</v>
      </c>
      <c r="H12" s="76">
        <v>0.9</v>
      </c>
      <c r="I12" s="76">
        <v>0.5</v>
      </c>
      <c r="J12" s="76">
        <v>0.4</v>
      </c>
      <c r="K12" s="76">
        <v>6.9</v>
      </c>
      <c r="L12" s="76">
        <v>6.5</v>
      </c>
      <c r="M12" s="76">
        <v>6.4</v>
      </c>
      <c r="N12" s="76">
        <v>6.2</v>
      </c>
      <c r="O12" s="76">
        <v>3.8</v>
      </c>
      <c r="P12" s="76"/>
      <c r="Q12" s="310"/>
      <c r="R12" s="77">
        <f>'16'!Z15</f>
        <v>1150</v>
      </c>
      <c r="S12" s="76">
        <f>'16'!AB15</f>
        <v>65.72727585</v>
      </c>
      <c r="T12" s="77">
        <f>'16'!Y15</f>
        <v>3232</v>
      </c>
      <c r="U12" s="73" t="str">
        <f>IF('16'!AA15=1,'16'!AR6,'16'!AR7)</f>
        <v>S.A.L</v>
      </c>
      <c r="V12" s="88" t="str">
        <f>ESCALA!$B$18</f>
        <v/>
      </c>
      <c r="W12" s="89"/>
      <c r="X12" s="54">
        <v>0.291666666666667</v>
      </c>
      <c r="Y12" s="308">
        <v>2916.0</v>
      </c>
      <c r="Z12" s="308">
        <v>1050.0</v>
      </c>
      <c r="AA12" s="56">
        <v>1.0</v>
      </c>
      <c r="AB12" s="58">
        <f>IF('16'!AA12=1,(('16'!Z12*'16'!$AS$6*'16'!$AT$6)/('16'!Y12*0.0036)),IF('16'!AA12=2,(('16'!Z12*'16'!$AS$7*'16'!$AT$7)/('16'!Y12*0.0036))))</f>
        <v>66.51520348</v>
      </c>
      <c r="AC12" s="58"/>
      <c r="AD12" s="59">
        <f>(('16'!AC12*'16'!$O$9*1000000))/('16'!Y12*3600)</f>
        <v>0</v>
      </c>
      <c r="AE12" s="60"/>
      <c r="AF12" s="61">
        <f>('16'!AE12/24)*0.454</f>
        <v>0</v>
      </c>
      <c r="AG12" s="60"/>
      <c r="AH12" s="61">
        <f>('16'!AG12/24)*0.454</f>
        <v>0</v>
      </c>
      <c r="AI12" s="405">
        <v>4000.0</v>
      </c>
      <c r="AJ12" s="61">
        <f>('16'!AI12/24)*0.454</f>
        <v>75.66666667</v>
      </c>
      <c r="AK12" s="62"/>
      <c r="AL12" s="63">
        <f>('16'!AK12/24)*0.454</f>
        <v>0</v>
      </c>
      <c r="AM12" s="62"/>
      <c r="AN12" s="63">
        <f>('16'!AM12/24)*0.454</f>
        <v>0</v>
      </c>
      <c r="AO12" s="62"/>
      <c r="AP12" s="63">
        <f>('16'!AO12/24)*0.454</f>
        <v>0</v>
      </c>
    </row>
    <row r="13" ht="15.0" customHeight="1">
      <c r="A13" s="69">
        <v>0.5</v>
      </c>
      <c r="B13" s="76">
        <v>108.0</v>
      </c>
      <c r="C13" s="76">
        <v>16.0</v>
      </c>
      <c r="D13" s="76">
        <v>16.0</v>
      </c>
      <c r="E13" s="76">
        <v>9.0</v>
      </c>
      <c r="F13" s="76">
        <v>10.0</v>
      </c>
      <c r="G13" s="76">
        <v>1.1</v>
      </c>
      <c r="H13" s="76">
        <v>0.9</v>
      </c>
      <c r="I13" s="76">
        <v>0.5</v>
      </c>
      <c r="J13" s="76">
        <v>0.4</v>
      </c>
      <c r="K13" s="76">
        <v>6.9</v>
      </c>
      <c r="L13" s="76">
        <v>6.5</v>
      </c>
      <c r="M13" s="76">
        <v>6.4</v>
      </c>
      <c r="N13" s="76">
        <v>6.2</v>
      </c>
      <c r="O13" s="76">
        <v>3.8</v>
      </c>
      <c r="P13" s="76"/>
      <c r="Q13" s="310"/>
      <c r="R13" s="77">
        <f>'16'!Z17</f>
        <v>1220</v>
      </c>
      <c r="S13" s="76">
        <f>'16'!AB17</f>
        <v>66.45859956</v>
      </c>
      <c r="T13" s="77">
        <f>'16'!Y17</f>
        <v>3391</v>
      </c>
      <c r="U13" s="73" t="str">
        <f>IF('16'!AA17=1,'16'!AR6,'16'!AR7)</f>
        <v>S.A.L</v>
      </c>
      <c r="V13" s="43"/>
      <c r="W13" s="27"/>
      <c r="X13" s="54">
        <v>0.333333333333333</v>
      </c>
      <c r="Y13" s="308">
        <v>3168.0</v>
      </c>
      <c r="Z13" s="308">
        <v>1150.0</v>
      </c>
      <c r="AA13" s="56">
        <v>1.0</v>
      </c>
      <c r="AB13" s="58">
        <f>IF('16'!AA13=1,(('16'!Z13*'16'!$AS$6*'16'!$AT$6)/('16'!Y13*0.0036)),IF('16'!AA13=2,(('16'!Z13*'16'!$AS$7*'16'!$AT$7)/('16'!Y13*0.0036))))</f>
        <v>67.05509961</v>
      </c>
      <c r="AC13" s="58"/>
      <c r="AD13" s="59">
        <f>(('16'!AC13*'16'!$O$9*1000000))/('16'!Y13*3600)</f>
        <v>0</v>
      </c>
      <c r="AE13" s="60"/>
      <c r="AF13" s="61">
        <f>('16'!AE13/24)*0.454</f>
        <v>0</v>
      </c>
      <c r="AG13" s="60"/>
      <c r="AH13" s="61">
        <f>('16'!AG13/24)*0.454</f>
        <v>0</v>
      </c>
      <c r="AI13" s="405">
        <v>4000.0</v>
      </c>
      <c r="AJ13" s="61">
        <f>('16'!AI13/24)*0.454</f>
        <v>75.66666667</v>
      </c>
      <c r="AK13" s="62"/>
      <c r="AL13" s="63">
        <f>('16'!AK13/24)*0.454</f>
        <v>0</v>
      </c>
      <c r="AM13" s="62"/>
      <c r="AN13" s="63">
        <f>('16'!AM13/24)*0.454</f>
        <v>0</v>
      </c>
      <c r="AO13" s="62"/>
      <c r="AP13" s="63">
        <f>('16'!AO13/24)*0.454</f>
        <v>0</v>
      </c>
    </row>
    <row r="14" ht="15.0" customHeight="1">
      <c r="A14" s="69">
        <v>0.583333333333333</v>
      </c>
      <c r="B14" s="76">
        <v>116.0</v>
      </c>
      <c r="C14" s="76">
        <v>20.0</v>
      </c>
      <c r="D14" s="76">
        <v>16.0</v>
      </c>
      <c r="E14" s="76">
        <v>10.0</v>
      </c>
      <c r="F14" s="76">
        <v>15.0</v>
      </c>
      <c r="G14" s="76">
        <v>1.5</v>
      </c>
      <c r="H14" s="76">
        <v>1.3</v>
      </c>
      <c r="I14" s="76">
        <v>0.5</v>
      </c>
      <c r="J14" s="76">
        <v>0.4</v>
      </c>
      <c r="K14" s="76">
        <v>6.9</v>
      </c>
      <c r="L14" s="76">
        <v>6.5</v>
      </c>
      <c r="M14" s="76">
        <v>6.4</v>
      </c>
      <c r="N14" s="76">
        <v>6.2</v>
      </c>
      <c r="O14" s="76">
        <v>3.8</v>
      </c>
      <c r="P14" s="76"/>
      <c r="Q14" s="310"/>
      <c r="R14" s="77">
        <f>'16'!Z19</f>
        <v>1220</v>
      </c>
      <c r="S14" s="76">
        <f>'16'!AB19</f>
        <v>66.3216925</v>
      </c>
      <c r="T14" s="77">
        <f>'16'!Y19</f>
        <v>3398</v>
      </c>
      <c r="U14" s="73" t="str">
        <f>IF('16'!AA19=1,'16'!AR6,'16'!AR7)</f>
        <v>S.A.L</v>
      </c>
      <c r="V14" s="43"/>
      <c r="W14" s="27"/>
      <c r="X14" s="54">
        <v>0.375</v>
      </c>
      <c r="Y14" s="308">
        <v>3174.0</v>
      </c>
      <c r="Z14" s="308">
        <v>1150.0</v>
      </c>
      <c r="AA14" s="56">
        <v>1.0</v>
      </c>
      <c r="AB14" s="58">
        <f>IF('16'!AA14=1,(('16'!Z14*'16'!$AS$6*'16'!$AT$6)/('16'!Y14*0.0036)),IF('16'!AA14=2,(('16'!Z14*'16'!$AS$7*'16'!$AT$7)/('16'!Y14*0.0036))))</f>
        <v>66.92834138</v>
      </c>
      <c r="AC14" s="58"/>
      <c r="AD14" s="59">
        <f>(('16'!AC14*'16'!$O$9*1000000))/('16'!Y14*3600)</f>
        <v>0</v>
      </c>
      <c r="AE14" s="60"/>
      <c r="AF14" s="61">
        <f>('16'!AE14/24)*0.454</f>
        <v>0</v>
      </c>
      <c r="AG14" s="60"/>
      <c r="AH14" s="61">
        <f>('16'!AG14/24)*0.454</f>
        <v>0</v>
      </c>
      <c r="AI14" s="405">
        <v>4000.0</v>
      </c>
      <c r="AJ14" s="61">
        <f>('16'!AI14/24)*0.454</f>
        <v>75.66666667</v>
      </c>
      <c r="AK14" s="62"/>
      <c r="AL14" s="63">
        <f>('16'!AK14/24)*0.454</f>
        <v>0</v>
      </c>
      <c r="AM14" s="62"/>
      <c r="AN14" s="63">
        <f>('16'!AM14/24)*0.454</f>
        <v>0</v>
      </c>
      <c r="AO14" s="62"/>
      <c r="AP14" s="63">
        <f>('16'!AO14/24)*0.454</f>
        <v>0</v>
      </c>
    </row>
    <row r="15" ht="15.0" customHeight="1">
      <c r="A15" s="69">
        <v>0.666666666666667</v>
      </c>
      <c r="B15" s="76">
        <v>102.0</v>
      </c>
      <c r="C15" s="76">
        <v>18.0</v>
      </c>
      <c r="D15" s="76">
        <v>15.0</v>
      </c>
      <c r="E15" s="76">
        <v>9.0</v>
      </c>
      <c r="F15" s="76">
        <v>14.0</v>
      </c>
      <c r="G15" s="76">
        <v>1.5</v>
      </c>
      <c r="H15" s="76">
        <v>1.2</v>
      </c>
      <c r="I15" s="76">
        <v>0.6</v>
      </c>
      <c r="J15" s="76">
        <v>0.5</v>
      </c>
      <c r="K15" s="76">
        <v>6.9</v>
      </c>
      <c r="L15" s="76">
        <v>6.5</v>
      </c>
      <c r="M15" s="76">
        <v>6.4</v>
      </c>
      <c r="N15" s="76">
        <v>6.2</v>
      </c>
      <c r="O15" s="76">
        <v>3.8</v>
      </c>
      <c r="P15" s="76"/>
      <c r="Q15" s="310"/>
      <c r="R15" s="77">
        <f>'16'!Z21</f>
        <v>1220</v>
      </c>
      <c r="S15" s="76">
        <f>'16'!AB21</f>
        <v>66.06892733</v>
      </c>
      <c r="T15" s="77">
        <f>'16'!Y21</f>
        <v>3411</v>
      </c>
      <c r="U15" s="73" t="str">
        <f>IF('16'!AA21=1,'16'!AR6,'16'!AR7)</f>
        <v>S.A.L</v>
      </c>
      <c r="V15" s="43"/>
      <c r="W15" s="27"/>
      <c r="X15" s="54">
        <v>0.416666666666667</v>
      </c>
      <c r="Y15" s="308">
        <v>3232.0</v>
      </c>
      <c r="Z15" s="308">
        <v>1150.0</v>
      </c>
      <c r="AA15" s="56">
        <v>1.0</v>
      </c>
      <c r="AB15" s="58">
        <f>IF('16'!AA15=1,(('16'!Z15*'16'!$AS$6*'16'!$AT$6)/('16'!Y15*0.0036)),IF('16'!AA15=2,(('16'!Z15*'16'!$AS$7*'16'!$AT$7)/('16'!Y15*0.0036))))</f>
        <v>65.72727585</v>
      </c>
      <c r="AC15" s="58"/>
      <c r="AD15" s="59">
        <f>(('16'!AC15*'16'!$O$9*1000000))/('16'!Y15*3600)</f>
        <v>0</v>
      </c>
      <c r="AE15" s="60"/>
      <c r="AF15" s="61">
        <f>('16'!AE15/24)*0.454</f>
        <v>0</v>
      </c>
      <c r="AG15" s="60"/>
      <c r="AH15" s="61">
        <f>('16'!AG15/24)*0.454</f>
        <v>0</v>
      </c>
      <c r="AI15" s="405">
        <v>4000.0</v>
      </c>
      <c r="AJ15" s="61">
        <f>('16'!AI15/24)*0.454</f>
        <v>75.66666667</v>
      </c>
      <c r="AK15" s="62"/>
      <c r="AL15" s="63">
        <f>('16'!AK15/24)*0.454</f>
        <v>0</v>
      </c>
      <c r="AM15" s="62"/>
      <c r="AN15" s="63">
        <f>('16'!AM15/24)*0.454</f>
        <v>0</v>
      </c>
      <c r="AO15" s="62"/>
      <c r="AP15" s="63">
        <f>('16'!AO15/24)*0.454</f>
        <v>0</v>
      </c>
    </row>
    <row r="16" ht="15.0" customHeight="1">
      <c r="A16" s="69">
        <v>0.75</v>
      </c>
      <c r="B16" s="76">
        <v>84.0</v>
      </c>
      <c r="C16" s="76">
        <v>15.0</v>
      </c>
      <c r="D16" s="76">
        <v>14.0</v>
      </c>
      <c r="E16" s="76">
        <v>8.0</v>
      </c>
      <c r="F16" s="76">
        <v>12.0</v>
      </c>
      <c r="G16" s="76">
        <v>1.5</v>
      </c>
      <c r="H16" s="76">
        <v>1.1</v>
      </c>
      <c r="I16" s="76">
        <v>0.7</v>
      </c>
      <c r="J16" s="76">
        <v>0.6</v>
      </c>
      <c r="K16" s="76">
        <v>6.9</v>
      </c>
      <c r="L16" s="76">
        <v>6.5</v>
      </c>
      <c r="M16" s="76">
        <v>6.4</v>
      </c>
      <c r="N16" s="76">
        <v>6.2</v>
      </c>
      <c r="O16" s="76">
        <v>3.8</v>
      </c>
      <c r="P16" s="76"/>
      <c r="Q16" s="310"/>
      <c r="R16" s="77">
        <f>'16'!Z23</f>
        <v>1180</v>
      </c>
      <c r="S16" s="76">
        <f>'16'!AB23</f>
        <v>67.6722205</v>
      </c>
      <c r="T16" s="77">
        <f>'16'!Y23</f>
        <v>3221</v>
      </c>
      <c r="U16" s="73" t="str">
        <f>IF('16'!AA23=1,'16'!AR6,'16'!AR7)</f>
        <v>S.A.L</v>
      </c>
      <c r="V16" s="16"/>
      <c r="W16" s="18"/>
      <c r="X16" s="54">
        <v>0.458333333333333</v>
      </c>
      <c r="Y16" s="308">
        <v>3368.0</v>
      </c>
      <c r="Z16" s="308">
        <v>1220.0</v>
      </c>
      <c r="AA16" s="56">
        <v>1.0</v>
      </c>
      <c r="AB16" s="58">
        <f>IF('16'!AA16=1,(('16'!Z16*'16'!$AS$6*'16'!$AT$6)/('16'!Y16*0.0036)),IF('16'!AA16=2,(('16'!Z16*'16'!$AS$7*'16'!$AT$7)/('16'!Y16*0.0036))))</f>
        <v>66.91244392</v>
      </c>
      <c r="AC16" s="58"/>
      <c r="AD16" s="59">
        <f>(('16'!AC16*'16'!$O$9*1000000))/('16'!Y16*3600)</f>
        <v>0</v>
      </c>
      <c r="AE16" s="60"/>
      <c r="AF16" s="61">
        <f>('16'!AE16/24)*0.454</f>
        <v>0</v>
      </c>
      <c r="AG16" s="60"/>
      <c r="AH16" s="61">
        <f>('16'!AG16/24)*0.454</f>
        <v>0</v>
      </c>
      <c r="AI16" s="405">
        <v>4000.0</v>
      </c>
      <c r="AJ16" s="61">
        <f>('16'!AI16/24)*0.454</f>
        <v>75.66666667</v>
      </c>
      <c r="AK16" s="62"/>
      <c r="AL16" s="63">
        <f>('16'!AK16/24)*0.454</f>
        <v>0</v>
      </c>
      <c r="AM16" s="62"/>
      <c r="AN16" s="63">
        <f>('16'!AM16/24)*0.454</f>
        <v>0</v>
      </c>
      <c r="AO16" s="62"/>
      <c r="AP16" s="63">
        <f>('16'!AO16/24)*0.454</f>
        <v>0</v>
      </c>
    </row>
    <row r="17" ht="15.0" customHeight="1">
      <c r="A17" s="69">
        <v>0.833333333333333</v>
      </c>
      <c r="B17" s="76">
        <v>83.0</v>
      </c>
      <c r="C17" s="76">
        <v>15.0</v>
      </c>
      <c r="D17" s="76">
        <v>14.0</v>
      </c>
      <c r="E17" s="76">
        <v>8.0</v>
      </c>
      <c r="F17" s="76">
        <v>12.0</v>
      </c>
      <c r="G17" s="76">
        <v>1.5</v>
      </c>
      <c r="H17" s="76">
        <v>1.1</v>
      </c>
      <c r="I17" s="76">
        <v>0.7</v>
      </c>
      <c r="J17" s="76">
        <v>0.6</v>
      </c>
      <c r="K17" s="76">
        <v>6.9</v>
      </c>
      <c r="L17" s="76">
        <v>6.5</v>
      </c>
      <c r="M17" s="76">
        <v>6.4</v>
      </c>
      <c r="N17" s="76">
        <v>6.2</v>
      </c>
      <c r="O17" s="76">
        <v>3.5</v>
      </c>
      <c r="P17" s="76"/>
      <c r="Q17" s="310"/>
      <c r="R17" s="77">
        <f>'16'!Z25</f>
        <v>1200</v>
      </c>
      <c r="S17" s="76">
        <f>'16'!AB25</f>
        <v>66.24825662</v>
      </c>
      <c r="T17" s="77">
        <f>'16'!Y25</f>
        <v>3346</v>
      </c>
      <c r="U17" s="73" t="str">
        <f>IF('16'!AA25=1,'16'!AR6,'16'!AR7)</f>
        <v>S.A.L</v>
      </c>
      <c r="V17" s="90" t="str">
        <f>ESCALA!$C$18</f>
        <v/>
      </c>
      <c r="W17" s="89"/>
      <c r="X17" s="54">
        <v>0.5</v>
      </c>
      <c r="Y17" s="308">
        <v>3391.0</v>
      </c>
      <c r="Z17" s="308">
        <v>1220.0</v>
      </c>
      <c r="AA17" s="56">
        <v>1.0</v>
      </c>
      <c r="AB17" s="58">
        <f>IF('16'!AA17=1,(('16'!Z17*'16'!$AS$6*'16'!$AT$6)/('16'!Y17*0.0036)),IF('16'!AA17=2,(('16'!Z17*'16'!$AS$7*'16'!$AT$7)/('16'!Y17*0.0036))))</f>
        <v>66.45859956</v>
      </c>
      <c r="AC17" s="58"/>
      <c r="AD17" s="59">
        <f>(('16'!AC17*'16'!$O$9*1000000))/('16'!Y17*3600)</f>
        <v>0</v>
      </c>
      <c r="AE17" s="60"/>
      <c r="AF17" s="61">
        <f>('16'!AE17/24)*0.454</f>
        <v>0</v>
      </c>
      <c r="AG17" s="60"/>
      <c r="AH17" s="61">
        <f>('16'!AG17/24)*0.454</f>
        <v>0</v>
      </c>
      <c r="AI17" s="405">
        <v>4000.0</v>
      </c>
      <c r="AJ17" s="61">
        <f>('16'!AI17/24)*0.454</f>
        <v>75.66666667</v>
      </c>
      <c r="AK17" s="62"/>
      <c r="AL17" s="63">
        <f>('16'!AK17/24)*0.454</f>
        <v>0</v>
      </c>
      <c r="AM17" s="62"/>
      <c r="AN17" s="63">
        <f>('16'!AM17/24)*0.454</f>
        <v>0</v>
      </c>
      <c r="AO17" s="62"/>
      <c r="AP17" s="63">
        <f>('16'!AO17/24)*0.454</f>
        <v>0</v>
      </c>
    </row>
    <row r="18" ht="19.5" customHeight="1">
      <c r="A18" s="69">
        <v>0.916666666666667</v>
      </c>
      <c r="B18" s="76">
        <v>80.0</v>
      </c>
      <c r="C18" s="76">
        <v>15.0</v>
      </c>
      <c r="D18" s="76">
        <v>14.0</v>
      </c>
      <c r="E18" s="76">
        <v>8.0</v>
      </c>
      <c r="F18" s="76">
        <v>11.0</v>
      </c>
      <c r="G18" s="76">
        <v>1.4</v>
      </c>
      <c r="H18" s="76">
        <v>1.0</v>
      </c>
      <c r="I18" s="76">
        <v>0.7</v>
      </c>
      <c r="J18" s="76">
        <v>0.6</v>
      </c>
      <c r="K18" s="76">
        <v>6.9</v>
      </c>
      <c r="L18" s="76">
        <v>6.5</v>
      </c>
      <c r="M18" s="76">
        <v>6.4</v>
      </c>
      <c r="N18" s="76">
        <v>6.2</v>
      </c>
      <c r="O18" s="76">
        <v>3.5</v>
      </c>
      <c r="P18" s="76"/>
      <c r="Q18" s="310"/>
      <c r="R18" s="77">
        <f>'16'!Z27</f>
        <v>1200</v>
      </c>
      <c r="S18" s="76">
        <f>'16'!AB27</f>
        <v>66.50665067</v>
      </c>
      <c r="T18" s="77">
        <f>'16'!Y27</f>
        <v>3333</v>
      </c>
      <c r="U18" s="73" t="str">
        <f>IF('16'!AA27=1,'16'!AR6,'16'!AR7)</f>
        <v>S.A.L</v>
      </c>
      <c r="V18" s="16"/>
      <c r="W18" s="18"/>
      <c r="X18" s="54">
        <v>0.541666666666667</v>
      </c>
      <c r="Y18" s="308">
        <v>3417.0</v>
      </c>
      <c r="Z18" s="308">
        <v>1220.0</v>
      </c>
      <c r="AA18" s="56">
        <v>1.0</v>
      </c>
      <c r="AB18" s="58">
        <f>IF('16'!AA18=1,(('16'!Z18*'16'!$AS$6*'16'!$AT$6)/('16'!Y18*0.0036)),IF('16'!AA18=2,(('16'!Z18*'16'!$AS$7*'16'!$AT$7)/('16'!Y18*0.0036))))</f>
        <v>65.95291516</v>
      </c>
      <c r="AC18" s="58"/>
      <c r="AD18" s="59">
        <f>(('16'!AC18*'16'!$O$9*1000000))/('16'!Y18*3600)</f>
        <v>0</v>
      </c>
      <c r="AE18" s="60"/>
      <c r="AF18" s="61">
        <f>('16'!AE18/24)*0.454</f>
        <v>0</v>
      </c>
      <c r="AG18" s="60"/>
      <c r="AH18" s="61">
        <f>('16'!AG18/24)*0.454</f>
        <v>0</v>
      </c>
      <c r="AI18" s="405">
        <v>4000.0</v>
      </c>
      <c r="AJ18" s="61">
        <f>('16'!AI18/24)*0.454</f>
        <v>75.66666667</v>
      </c>
      <c r="AK18" s="62"/>
      <c r="AL18" s="63">
        <f>('16'!AK18/24)*0.454</f>
        <v>0</v>
      </c>
      <c r="AM18" s="62"/>
      <c r="AN18" s="63">
        <f>('16'!AM18/24)*0.454</f>
        <v>0</v>
      </c>
      <c r="AO18" s="62"/>
      <c r="AP18" s="63">
        <f>('16'!AO18/24)*0.454</f>
        <v>0</v>
      </c>
    </row>
    <row r="19" ht="18.75" customHeight="1">
      <c r="A19" s="51" t="s">
        <v>52</v>
      </c>
      <c r="B19" s="91">
        <f t="array" ref="B19">IF('16'!B7:B18&gt;0.01,AVERAGE('16'!B7:B18),"")</f>
        <v>88</v>
      </c>
      <c r="C19" s="92">
        <f t="array" ref="C19">IF('16'!C7:C18&gt;0.01,AVERAGE('16'!C7:C18),"")</f>
        <v>16.25</v>
      </c>
      <c r="D19" s="92">
        <f t="array" ref="D19">IF('16'!D7:D18&gt;0.01,AVERAGE('16'!D7:D18),"")</f>
        <v>15.08333333</v>
      </c>
      <c r="E19" s="92">
        <f t="array" ref="E19">IF('16'!E7:E18&gt;0.01,AVERAGE('16'!E7:E18),"")</f>
        <v>7.333333333</v>
      </c>
      <c r="F19" s="91">
        <f t="array" ref="F19">IF('16'!F7:F18&gt;0.01,AVERAGE('16'!F7:F18),"")</f>
        <v>10.66666667</v>
      </c>
      <c r="G19" s="92">
        <f t="array" ref="G19">IF('16'!G7:G18&gt;0.01,AVERAGE('16'!G7:G18),"")</f>
        <v>1.216666667</v>
      </c>
      <c r="H19" s="92">
        <f t="array" ref="H19">IF('16'!H7:H18&gt;0.01,AVERAGE('16'!H7:H18),"")</f>
        <v>1</v>
      </c>
      <c r="I19" s="92">
        <f t="array" ref="I19">IF('16'!I7:I18&gt;0.01,AVERAGE('16'!I7:I18),"")</f>
        <v>0.5416666667</v>
      </c>
      <c r="J19" s="92">
        <f t="array" ref="J19">IF('16'!J7:J18&gt;0.01,AVERAGE('16'!J7:J18),"")</f>
        <v>0.475</v>
      </c>
      <c r="K19" s="92">
        <f t="array" ref="K19">IF('16'!K7:K18&gt;0.01,AVERAGE('16'!K7:K18),"")</f>
        <v>6.9</v>
      </c>
      <c r="L19" s="92">
        <f t="array" ref="L19">IF('16'!L7:L18&gt;0.01,AVERAGE('16'!L7:L18),"")</f>
        <v>6.5</v>
      </c>
      <c r="M19" s="92">
        <f t="array" ref="M19">IF('16'!M7:M18&gt;0.01,AVERAGE('16'!M7:M18),"")</f>
        <v>6.433333333</v>
      </c>
      <c r="N19" s="92">
        <f t="array" ref="N19">IF('16'!N7:N18&gt;0.01,AVERAGE('16'!N7:N18),"")</f>
        <v>6.183333333</v>
      </c>
      <c r="O19" s="92">
        <f t="array" ref="O19">IF('16'!O7:O18&gt;0.01,AVERAGE('16'!O7:O18),"")</f>
        <v>3.716666667</v>
      </c>
      <c r="P19" s="93" t="str">
        <f t="array" ref="P19">IF('16'!P7:P18&gt;0.01,AVERAGE('16'!P7:P18),"")</f>
        <v/>
      </c>
      <c r="Q19" s="94" t="str">
        <f t="array" ref="Q19">IF('16'!Q7:Q18&gt;0.01,AVERAGE('16'!Q7:Q18),"")</f>
        <v/>
      </c>
      <c r="R19" s="94">
        <f t="array" ref="R19">IF('16'!R7:R18&gt;0.01,AVERAGE('16'!R7:R18),"")</f>
        <v>1125.833333</v>
      </c>
      <c r="S19" s="94">
        <f t="array" ref="S19">IF('16'!S7:S18&gt;0.01,AVERAGE('16'!S7:S18),"")</f>
        <v>67.31188178</v>
      </c>
      <c r="T19" s="95"/>
      <c r="U19" s="96"/>
      <c r="V19" s="97"/>
      <c r="W19" s="97"/>
      <c r="X19" s="54">
        <v>0.583333333333333</v>
      </c>
      <c r="Y19" s="308">
        <v>3398.0</v>
      </c>
      <c r="Z19" s="308">
        <v>1220.0</v>
      </c>
      <c r="AA19" s="56">
        <v>1.0</v>
      </c>
      <c r="AB19" s="58">
        <f>IF('16'!AA19=1,(('16'!Z19*'16'!$AS$6*'16'!$AT$6)/('16'!Y19*0.0036)),IF('16'!AA19=2,(('16'!Z19*'16'!$AS$7*'16'!$AT$7)/('16'!Y19*0.0036))))</f>
        <v>66.3216925</v>
      </c>
      <c r="AC19" s="58"/>
      <c r="AD19" s="59">
        <f>(('16'!AC19*'16'!$O$9*1000000))/('16'!Y19*3600)</f>
        <v>0</v>
      </c>
      <c r="AE19" s="60"/>
      <c r="AF19" s="61">
        <f>('16'!AE19/24)*0.454</f>
        <v>0</v>
      </c>
      <c r="AG19" s="60"/>
      <c r="AH19" s="61">
        <f>('16'!AG19/24)*0.454</f>
        <v>0</v>
      </c>
      <c r="AI19" s="405">
        <v>4000.0</v>
      </c>
      <c r="AJ19" s="61">
        <f>('16'!AI19/24)*0.454</f>
        <v>75.66666667</v>
      </c>
      <c r="AK19" s="62"/>
      <c r="AL19" s="63">
        <f>('16'!AK19/24)*0.454</f>
        <v>0</v>
      </c>
      <c r="AM19" s="62"/>
      <c r="AN19" s="63">
        <f>('16'!AM19/24)*0.454</f>
        <v>0</v>
      </c>
      <c r="AO19" s="62"/>
      <c r="AP19" s="63">
        <f>('16'!AO19/24)*0.454</f>
        <v>0</v>
      </c>
    </row>
    <row r="20" ht="18.75" customHeight="1">
      <c r="A20" s="51" t="s">
        <v>53</v>
      </c>
      <c r="B20" s="91">
        <f>MAX('16'!B7:B18)</f>
        <v>116</v>
      </c>
      <c r="C20" s="91">
        <f>MAX('16'!C7:C18)</f>
        <v>20</v>
      </c>
      <c r="D20" s="92">
        <f>MAX('16'!D7:D18)</f>
        <v>17</v>
      </c>
      <c r="E20" s="92">
        <f>MAX('16'!E7:E18)</f>
        <v>11</v>
      </c>
      <c r="F20" s="92">
        <f>MAX('16'!F7:F18)</f>
        <v>15</v>
      </c>
      <c r="G20" s="92">
        <f>MAX('16'!G7:G18)</f>
        <v>1.5</v>
      </c>
      <c r="H20" s="92">
        <f>MAX('16'!H7:H18)</f>
        <v>1.3</v>
      </c>
      <c r="I20" s="92">
        <f>MAX('16'!I7:I18)</f>
        <v>0.7</v>
      </c>
      <c r="J20" s="92">
        <f>MAX('16'!J7:J18)</f>
        <v>0.6</v>
      </c>
      <c r="K20" s="92">
        <f>MAX('16'!K7:K18)</f>
        <v>6.9</v>
      </c>
      <c r="L20" s="92">
        <f>MAX('16'!L7:L18)</f>
        <v>6.5</v>
      </c>
      <c r="M20" s="92">
        <f>MAX('16'!M7:M18)</f>
        <v>6.5</v>
      </c>
      <c r="N20" s="92">
        <f>MAX('16'!N7:N18)</f>
        <v>6.2</v>
      </c>
      <c r="O20" s="98">
        <f>MAX('16'!O7:O18)</f>
        <v>3.8</v>
      </c>
      <c r="P20" s="98">
        <f>MAX('16'!P7:P18)</f>
        <v>0</v>
      </c>
      <c r="Q20" s="98">
        <f>MAX('16'!Q7:Q18)</f>
        <v>0</v>
      </c>
      <c r="R20" s="98">
        <f>MAX('16'!R7:R18)</f>
        <v>1220</v>
      </c>
      <c r="S20" s="98">
        <f>MAX('16'!S7:S18)</f>
        <v>80.57458143</v>
      </c>
      <c r="T20" s="99"/>
      <c r="U20" s="21"/>
      <c r="X20" s="54">
        <v>0.625</v>
      </c>
      <c r="Y20" s="308">
        <v>3438.0</v>
      </c>
      <c r="Z20" s="308">
        <v>1220.0</v>
      </c>
      <c r="AA20" s="56">
        <v>1.0</v>
      </c>
      <c r="AB20" s="58">
        <f>IF('16'!AA20=1,(('16'!Z20*'16'!$AS$6*'16'!$AT$6)/('16'!Y20*0.0036)),IF('16'!AA20=2,(('16'!Z20*'16'!$AS$7*'16'!$AT$7)/('16'!Y20*0.0036))))</f>
        <v>65.55006141</v>
      </c>
      <c r="AC20" s="58"/>
      <c r="AD20" s="59">
        <f>(('16'!AC20*'16'!$O$9*1000000))/('16'!Y20*3600)</f>
        <v>0</v>
      </c>
      <c r="AE20" s="60"/>
      <c r="AF20" s="61">
        <f>('16'!AE20/24)*0.454</f>
        <v>0</v>
      </c>
      <c r="AG20" s="60"/>
      <c r="AH20" s="61">
        <f>('16'!AG20/24)*0.454</f>
        <v>0</v>
      </c>
      <c r="AI20" s="405">
        <v>4000.0</v>
      </c>
      <c r="AJ20" s="61">
        <f>('16'!AI20/24)*0.454</f>
        <v>75.66666667</v>
      </c>
      <c r="AK20" s="62"/>
      <c r="AL20" s="63">
        <f>('16'!AK20/24)*0.454</f>
        <v>0</v>
      </c>
      <c r="AM20" s="62"/>
      <c r="AN20" s="63">
        <f>('16'!AM20/24)*0.454</f>
        <v>0</v>
      </c>
      <c r="AO20" s="62"/>
      <c r="AP20" s="63">
        <f>('16'!AO20/24)*0.454</f>
        <v>0</v>
      </c>
    </row>
    <row r="21" ht="19.5" customHeight="1">
      <c r="A21" s="51" t="s">
        <v>54</v>
      </c>
      <c r="B21" s="91">
        <f>MIN('16'!B7:B18)</f>
        <v>60</v>
      </c>
      <c r="C21" s="92">
        <f>MIN('16'!C7:C18)</f>
        <v>15</v>
      </c>
      <c r="D21" s="92">
        <f>MIN('16'!D7:D18)</f>
        <v>14</v>
      </c>
      <c r="E21" s="92">
        <f>MIN('16'!E7:E18)</f>
        <v>4</v>
      </c>
      <c r="F21" s="92">
        <f>MIN('16'!F7:F18)</f>
        <v>5</v>
      </c>
      <c r="G21" s="100">
        <f>MIN('16'!G7:G18)</f>
        <v>0.8</v>
      </c>
      <c r="H21" s="100">
        <f>MIN('16'!H7:H18)</f>
        <v>0.7</v>
      </c>
      <c r="I21" s="100">
        <f>MIN('16'!I7:I18)</f>
        <v>0.4</v>
      </c>
      <c r="J21" s="100">
        <f>MIN('16'!J7:J18)</f>
        <v>0.4</v>
      </c>
      <c r="K21" s="100">
        <f>MIN('16'!K7:K18)</f>
        <v>6.9</v>
      </c>
      <c r="L21" s="100">
        <f>MIN('16'!L7:L18)</f>
        <v>6.5</v>
      </c>
      <c r="M21" s="100">
        <f>MIN('16'!M7:M18)</f>
        <v>6.4</v>
      </c>
      <c r="N21" s="100">
        <f>MIN('16'!N7:N18)</f>
        <v>6.1</v>
      </c>
      <c r="O21" s="101">
        <f>MIN('16'!O7:O18)</f>
        <v>3.5</v>
      </c>
      <c r="P21" s="101">
        <f>MIN('16'!P7:P18)</f>
        <v>0</v>
      </c>
      <c r="Q21" s="101">
        <f>MIN('16'!Q7:Q18)</f>
        <v>0</v>
      </c>
      <c r="R21" s="101">
        <f>MIN('16'!R7:R18)</f>
        <v>920</v>
      </c>
      <c r="S21" s="101">
        <f>MIN('16'!S7:S18)</f>
        <v>60.97755452</v>
      </c>
      <c r="T21" s="99"/>
      <c r="U21" s="21"/>
      <c r="X21" s="54">
        <v>0.666666666666667</v>
      </c>
      <c r="Y21" s="308">
        <v>3411.0</v>
      </c>
      <c r="Z21" s="308">
        <v>1220.0</v>
      </c>
      <c r="AA21" s="56">
        <v>1.0</v>
      </c>
      <c r="AB21" s="58">
        <f>IF('16'!AA21=1,(('16'!Z21*'16'!$AS$6*'16'!$AT$6)/('16'!Y21*0.0036)),IF('16'!AA21=2,(('16'!Z21*'16'!$AS$7*'16'!$AT$7)/('16'!Y21*0.0036))))</f>
        <v>66.06892733</v>
      </c>
      <c r="AC21" s="58"/>
      <c r="AD21" s="59">
        <f>(('16'!AC21*'16'!$O$9*1000000))/('16'!Y21*3600)</f>
        <v>0</v>
      </c>
      <c r="AE21" s="60"/>
      <c r="AF21" s="61">
        <f>('16'!AE21/24)*0.454</f>
        <v>0</v>
      </c>
      <c r="AG21" s="60"/>
      <c r="AH21" s="61">
        <f>('16'!AG21/24)*0.454</f>
        <v>0</v>
      </c>
      <c r="AI21" s="405">
        <v>4000.0</v>
      </c>
      <c r="AJ21" s="61">
        <f>('16'!AI21/24)*0.454</f>
        <v>75.66666667</v>
      </c>
      <c r="AK21" s="62"/>
      <c r="AL21" s="63">
        <f>('16'!AK21/24)*0.454</f>
        <v>0</v>
      </c>
      <c r="AM21" s="62"/>
      <c r="AN21" s="63">
        <f>('16'!AM21/24)*0.454</f>
        <v>0</v>
      </c>
      <c r="AO21" s="62"/>
      <c r="AP21" s="63">
        <f>('16'!AO21/24)*0.454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308">
        <v>3411.0</v>
      </c>
      <c r="Z22" s="308">
        <v>1220.0</v>
      </c>
      <c r="AA22" s="56">
        <v>1.0</v>
      </c>
      <c r="AB22" s="58">
        <f>IF('16'!AA22=1,(('16'!Z22*'16'!$AS$6*'16'!$AT$6)/('16'!Y22*0.0036)),IF('16'!AA22=2,(('16'!Z22*'16'!$AS$7*'16'!$AT$7)/('16'!Y22*0.0036))))</f>
        <v>66.06892733</v>
      </c>
      <c r="AC22" s="58"/>
      <c r="AD22" s="59">
        <f>(('16'!AC22*'16'!$O$9*1000000))/('16'!Y22*3600)</f>
        <v>0</v>
      </c>
      <c r="AE22" s="60"/>
      <c r="AF22" s="61">
        <f>('16'!AE22/24)*0.454</f>
        <v>0</v>
      </c>
      <c r="AG22" s="60"/>
      <c r="AH22" s="61">
        <f>('16'!AG22/24)*0.454</f>
        <v>0</v>
      </c>
      <c r="AI22" s="405">
        <v>4000.0</v>
      </c>
      <c r="AJ22" s="61">
        <f>('16'!AI22/24)*0.454</f>
        <v>75.66666667</v>
      </c>
      <c r="AK22" s="62"/>
      <c r="AL22" s="63">
        <f>('16'!AK22/24)*0.454</f>
        <v>0</v>
      </c>
      <c r="AM22" s="62"/>
      <c r="AN22" s="63">
        <f>('16'!AM22/24)*0.454</f>
        <v>0</v>
      </c>
      <c r="AO22" s="62"/>
      <c r="AP22" s="63">
        <f>('16'!AO22/24)*0.454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308">
        <v>3221.0</v>
      </c>
      <c r="Z23" s="308">
        <v>1180.0</v>
      </c>
      <c r="AA23" s="56">
        <v>1.0</v>
      </c>
      <c r="AB23" s="58">
        <f>IF('16'!AA23=1,(('16'!Z23*'16'!$AS$6*'16'!$AT$6)/('16'!Y23*0.0036)),IF('16'!AA23=2,(('16'!Z23*'16'!$AS$7*'16'!$AT$7)/('16'!Y23*0.0036))))</f>
        <v>67.6722205</v>
      </c>
      <c r="AC23" s="58"/>
      <c r="AD23" s="59">
        <f>(('16'!AC23*'16'!$O$9*1000000))/('16'!Y23*3600)</f>
        <v>0</v>
      </c>
      <c r="AE23" s="60"/>
      <c r="AF23" s="61">
        <f>('16'!AE23/24)*0.454</f>
        <v>0</v>
      </c>
      <c r="AG23" s="60"/>
      <c r="AH23" s="61">
        <f>('16'!AG23/24)*0.454</f>
        <v>0</v>
      </c>
      <c r="AI23" s="405">
        <v>4000.0</v>
      </c>
      <c r="AJ23" s="61">
        <f>('16'!AI23/24)*0.454</f>
        <v>75.66666667</v>
      </c>
      <c r="AK23" s="62"/>
      <c r="AL23" s="63">
        <f>('16'!AK23/24)*0.454</f>
        <v>0</v>
      </c>
      <c r="AM23" s="62"/>
      <c r="AN23" s="63">
        <f>('16'!AM23/24)*0.454</f>
        <v>0</v>
      </c>
      <c r="AO23" s="62"/>
      <c r="AP23" s="63">
        <f>('16'!AO23/24)*0.454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308">
        <v>3292.0</v>
      </c>
      <c r="Z24" s="308">
        <v>1180.0</v>
      </c>
      <c r="AA24" s="56">
        <v>1.0</v>
      </c>
      <c r="AB24" s="57">
        <f>IF('16'!AA24=1,(('16'!Z24*'16'!$AS$6*'16'!$AT$6)/('16'!Y24*0.0036)),IF('16'!AA24=2,(('16'!Z24*'16'!$AS$7*'16'!$AT$7)/('16'!Y24*0.0036))))</f>
        <v>66.2127042</v>
      </c>
      <c r="AC24" s="57"/>
      <c r="AD24" s="154">
        <f>(('16'!AC24*'16'!$O$9*1000000))/('16'!Y24*3600)</f>
        <v>0</v>
      </c>
      <c r="AE24" s="60"/>
      <c r="AF24" s="311">
        <f>('16'!AE24/24)*0.454</f>
        <v>0</v>
      </c>
      <c r="AG24" s="125"/>
      <c r="AH24" s="311">
        <f>('16'!AG24/24)*0.454</f>
        <v>0</v>
      </c>
      <c r="AI24" s="405">
        <v>4000.0</v>
      </c>
      <c r="AJ24" s="61">
        <f>('16'!AI24/24)*0.454</f>
        <v>75.66666667</v>
      </c>
      <c r="AK24" s="62"/>
      <c r="AL24" s="110">
        <f>('16'!AK24/24)*0.454</f>
        <v>0</v>
      </c>
      <c r="AM24" s="312"/>
      <c r="AN24" s="110">
        <f>('16'!AM24/24)*0.454</f>
        <v>0</v>
      </c>
      <c r="AO24" s="62"/>
      <c r="AP24" s="110">
        <f>('16'!AO24/24)*0.454</f>
        <v>0</v>
      </c>
    </row>
    <row r="25" ht="19.5" customHeight="1">
      <c r="A25" s="111">
        <v>0.416666666666667</v>
      </c>
      <c r="B25" s="108">
        <v>0.37</v>
      </c>
      <c r="C25" s="108">
        <v>0.44</v>
      </c>
      <c r="D25" s="108">
        <v>0.45</v>
      </c>
      <c r="E25" s="313">
        <v>0.43</v>
      </c>
      <c r="F25" s="313">
        <v>0.48</v>
      </c>
      <c r="G25" s="313"/>
      <c r="H25" s="313">
        <v>0.39</v>
      </c>
      <c r="I25" s="313">
        <v>0.43</v>
      </c>
      <c r="J25" s="313"/>
      <c r="K25" s="313">
        <v>0.46</v>
      </c>
      <c r="L25" s="313">
        <v>0.36</v>
      </c>
      <c r="M25" s="313">
        <v>0.4</v>
      </c>
      <c r="N25" s="313">
        <v>0.39</v>
      </c>
      <c r="O25" s="313">
        <v>0.4</v>
      </c>
      <c r="P25" s="313">
        <v>0.37</v>
      </c>
      <c r="Q25" s="313"/>
      <c r="R25" s="112" t="str">
        <f t="shared" ref="R25:R26" si="1">#DIV/0!</f>
        <v>#DIV/0!</v>
      </c>
      <c r="S25" s="113"/>
      <c r="T25" s="348" t="s">
        <v>0</v>
      </c>
      <c r="U25" s="361">
        <f>ESCALA!$A$18</f>
        <v>43937</v>
      </c>
      <c r="X25" s="54">
        <v>0.833333333333333</v>
      </c>
      <c r="Y25" s="308">
        <v>3346.0</v>
      </c>
      <c r="Z25" s="308">
        <v>1200.0</v>
      </c>
      <c r="AA25" s="56">
        <v>1.0</v>
      </c>
      <c r="AB25" s="58">
        <f>IF('16'!AA25=1,(('16'!Z25*'16'!$AS$6*'16'!$AT$6)/('16'!Y25*0.0036)),IF('16'!AA25=2,(('16'!Z25*'16'!$AS$7*'16'!$AT$7)/('16'!Y25*0.0036))))</f>
        <v>66.24825662</v>
      </c>
      <c r="AC25" s="58"/>
      <c r="AD25" s="59">
        <f>(('16'!AC25*'16'!$O$9*1000000))/('16'!Y25*3600)</f>
        <v>0</v>
      </c>
      <c r="AE25" s="60"/>
      <c r="AF25" s="61">
        <f>('16'!AE25/24)*0.454</f>
        <v>0</v>
      </c>
      <c r="AG25" s="60"/>
      <c r="AH25" s="61">
        <f>('16'!AG25/24)*0.454</f>
        <v>0</v>
      </c>
      <c r="AI25" s="405">
        <v>4000.0</v>
      </c>
      <c r="AJ25" s="61">
        <f>('16'!AI25/24)*0.454</f>
        <v>75.66666667</v>
      </c>
      <c r="AK25" s="62"/>
      <c r="AL25" s="63">
        <f>('16'!AK25/24)*0.454</f>
        <v>0</v>
      </c>
      <c r="AM25" s="62"/>
      <c r="AN25" s="63">
        <f>('16'!AM25/24)*0.454</f>
        <v>0</v>
      </c>
      <c r="AO25" s="62"/>
      <c r="AP25" s="63">
        <f>('16'!AO25/24)*0.454</f>
        <v>0</v>
      </c>
    </row>
    <row r="26" ht="19.5" customHeight="1">
      <c r="A26" s="111">
        <v>0.666666666666667</v>
      </c>
      <c r="B26" s="108"/>
      <c r="C26" s="108"/>
      <c r="D26" s="10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308">
        <v>3334.0</v>
      </c>
      <c r="Z26" s="308">
        <v>1200.0</v>
      </c>
      <c r="AA26" s="56">
        <v>1.0</v>
      </c>
      <c r="AB26" s="58">
        <f>IF('16'!AA26=1,(('16'!Z26*'16'!$AS$6*'16'!$AT$6)/('16'!Y26*0.0036)),IF('16'!AA26=2,(('16'!Z26*'16'!$AS$7*'16'!$AT$7)/('16'!Y26*0.0036))))</f>
        <v>66.48670266</v>
      </c>
      <c r="AC26" s="58"/>
      <c r="AD26" s="59">
        <f>(('16'!AC26*'16'!$O$9*1000000))/('16'!Y26*3600)</f>
        <v>0</v>
      </c>
      <c r="AE26" s="60"/>
      <c r="AF26" s="61">
        <f>('16'!AE26/24)*0.454</f>
        <v>0</v>
      </c>
      <c r="AG26" s="60"/>
      <c r="AH26" s="61">
        <f>('16'!AG26/24)*0.454</f>
        <v>0</v>
      </c>
      <c r="AI26" s="405">
        <v>4000.0</v>
      </c>
      <c r="AJ26" s="61">
        <f>('16'!AI26/24)*0.454</f>
        <v>75.66666667</v>
      </c>
      <c r="AK26" s="62"/>
      <c r="AL26" s="63">
        <f>('16'!AK26/24)*0.454</f>
        <v>0</v>
      </c>
      <c r="AM26" s="62"/>
      <c r="AN26" s="63">
        <f>('16'!AM26/24)*0.454</f>
        <v>0</v>
      </c>
      <c r="AO26" s="62"/>
      <c r="AP26" s="63">
        <f>('16'!AO26/24)*0.454</f>
        <v>0</v>
      </c>
    </row>
    <row r="27" ht="19.5" customHeight="1">
      <c r="A27" s="119" t="s">
        <v>52</v>
      </c>
      <c r="B27" s="120" t="str">
        <f t="shared" ref="B27:E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>#NAME?</f>
        <v>#NAME?</v>
      </c>
      <c r="G27" s="92" t="str">
        <f t="shared" ref="G27:Q27" si="3">#DIV/0!</f>
        <v>#DIV/0!</v>
      </c>
      <c r="H27" s="92" t="str">
        <f t="shared" si="3"/>
        <v>#DIV/0!</v>
      </c>
      <c r="I27" s="92" t="str">
        <f t="shared" si="3"/>
        <v>#DIV/0!</v>
      </c>
      <c r="J27" s="92" t="str">
        <f t="shared" si="3"/>
        <v>#DIV/0!</v>
      </c>
      <c r="K27" s="92" t="str">
        <f t="shared" si="3"/>
        <v>#DIV/0!</v>
      </c>
      <c r="L27" s="92" t="str">
        <f t="shared" si="3"/>
        <v>#DIV/0!</v>
      </c>
      <c r="M27" s="92" t="str">
        <f t="shared" si="3"/>
        <v>#DIV/0!</v>
      </c>
      <c r="N27" s="92" t="str">
        <f t="shared" si="3"/>
        <v>#DIV/0!</v>
      </c>
      <c r="O27" s="92" t="str">
        <f t="shared" si="3"/>
        <v>#DIV/0!</v>
      </c>
      <c r="P27" s="92" t="str">
        <f t="shared" si="3"/>
        <v>#DIV/0!</v>
      </c>
      <c r="Q27" s="98" t="str">
        <f t="shared" si="3"/>
        <v>#DIV/0!</v>
      </c>
      <c r="R27" s="316"/>
      <c r="S27" s="127"/>
      <c r="T27" s="128"/>
      <c r="U27" s="124"/>
      <c r="X27" s="54">
        <v>0.916666666666667</v>
      </c>
      <c r="Y27" s="308">
        <v>3333.0</v>
      </c>
      <c r="Z27" s="308">
        <v>1200.0</v>
      </c>
      <c r="AA27" s="56">
        <v>1.0</v>
      </c>
      <c r="AB27" s="58">
        <f>IF('16'!AA27=1,(('16'!Z27*'16'!$AS$6*'16'!$AT$6)/('16'!Y27*0.0036)),IF('16'!AA27=2,(('16'!Z27*'16'!$AS$7*'16'!$AT$7)/('16'!Y27*0.0036))))</f>
        <v>66.50665067</v>
      </c>
      <c r="AC27" s="58"/>
      <c r="AD27" s="59">
        <f>(('16'!AC27*'16'!$O$9*1000000))/('16'!Y27*3600)</f>
        <v>0</v>
      </c>
      <c r="AE27" s="60"/>
      <c r="AF27" s="61">
        <f>('16'!AE27/24)*0.454</f>
        <v>0</v>
      </c>
      <c r="AG27" s="60"/>
      <c r="AH27" s="61">
        <f>('16'!AG27/24)*0.454</f>
        <v>0</v>
      </c>
      <c r="AI27" s="405">
        <v>4000.0</v>
      </c>
      <c r="AJ27" s="61">
        <f>('16'!AI27/24)*0.454</f>
        <v>75.66666667</v>
      </c>
      <c r="AK27" s="62"/>
      <c r="AL27" s="63">
        <f>('16'!AK27/24)*0.454</f>
        <v>0</v>
      </c>
      <c r="AM27" s="62"/>
      <c r="AN27" s="63">
        <f>('16'!AM27/24)*0.454</f>
        <v>0</v>
      </c>
      <c r="AO27" s="62"/>
      <c r="AP27" s="63">
        <f>('16'!AO27/24)*0.454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308">
        <v>3260.0</v>
      </c>
      <c r="Z28" s="308">
        <v>1200.0</v>
      </c>
      <c r="AA28" s="56">
        <v>1.0</v>
      </c>
      <c r="AB28" s="58">
        <f>IF('16'!AA28=1,(('16'!Z28*'16'!$AS$6*'16'!$AT$6)/('16'!Y28*0.0036)),IF('16'!AA28=2,(('16'!Z28*'16'!$AS$7*'16'!$AT$7)/('16'!Y28*0.0036))))</f>
        <v>67.99591002</v>
      </c>
      <c r="AC28" s="58"/>
      <c r="AD28" s="59">
        <f>(('16'!AC28*'16'!$O$9*1000000))/('16'!Y28*3600)</f>
        <v>0</v>
      </c>
      <c r="AE28" s="60"/>
      <c r="AF28" s="61">
        <f>('16'!AE28/24)*0.454</f>
        <v>0</v>
      </c>
      <c r="AG28" s="60"/>
      <c r="AH28" s="61">
        <f>('16'!AG28/24)*0.454</f>
        <v>0</v>
      </c>
      <c r="AI28" s="405">
        <v>4000.0</v>
      </c>
      <c r="AJ28" s="61">
        <f>('16'!AI28/24)*0.454</f>
        <v>75.66666667</v>
      </c>
      <c r="AK28" s="62"/>
      <c r="AL28" s="63">
        <f>('16'!AK28/24)*0.454</f>
        <v>0</v>
      </c>
      <c r="AM28" s="62"/>
      <c r="AN28" s="63">
        <f>('16'!AM28/24)*0.454</f>
        <v>0</v>
      </c>
      <c r="AO28" s="62"/>
      <c r="AP28" s="63">
        <f>('16'!AO28/24)*0.454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308">
        <v>3334.0</v>
      </c>
      <c r="Z29" s="308">
        <v>1200.0</v>
      </c>
      <c r="AA29" s="56">
        <v>1.0</v>
      </c>
      <c r="AB29" s="58">
        <f>IF('16'!AA29=1,(('16'!Z29*'16'!$AS$6*'16'!$AT$6)/('16'!Y29*0.0036)),IF('16'!AA29=2,(('16'!Z29*'16'!$AS$7*'16'!$AT$7)/('16'!Y29*0.0036))))</f>
        <v>66.48670266</v>
      </c>
      <c r="AC29" s="58"/>
      <c r="AD29" s="59">
        <f>(('16'!AC29*'16'!$O$9*1000000))/('16'!Y29*3600)</f>
        <v>0</v>
      </c>
      <c r="AE29" s="60"/>
      <c r="AF29" s="61">
        <f>('16'!AE29/24)*0.454</f>
        <v>0</v>
      </c>
      <c r="AG29" s="60"/>
      <c r="AH29" s="61">
        <f>('16'!AG29/24)*0.454</f>
        <v>0</v>
      </c>
      <c r="AI29" s="405">
        <v>4000.0</v>
      </c>
      <c r="AJ29" s="61">
        <f>('16'!AI29/24)*0.454</f>
        <v>75.66666667</v>
      </c>
      <c r="AK29" s="62"/>
      <c r="AL29" s="63">
        <f>('16'!AK29/24)*0.454</f>
        <v>0</v>
      </c>
      <c r="AM29" s="62"/>
      <c r="AN29" s="63">
        <f>('16'!AM29/24)*0.454</f>
        <v>0</v>
      </c>
      <c r="AO29" s="62"/>
      <c r="AP29" s="63">
        <f>('16'!AO29/24)*0.454</f>
        <v>0</v>
      </c>
    </row>
    <row r="30" ht="18.75" customHeight="1">
      <c r="A30" s="43"/>
      <c r="U30" s="27"/>
      <c r="X30" s="130" t="s">
        <v>55</v>
      </c>
      <c r="Y30" s="131">
        <f>SUM('16'!Y6:Y29)*3.6</f>
        <v>271393.2</v>
      </c>
      <c r="Z30" s="132">
        <f>SUM('16'!Z6:Z29)</f>
        <v>26920</v>
      </c>
      <c r="AA30" s="133"/>
      <c r="AB30" s="132"/>
      <c r="AC30" s="133"/>
      <c r="AD30" s="132"/>
      <c r="AE30" s="60"/>
      <c r="AF30" s="61">
        <f>SUM('16'!AF6:AF29)</f>
        <v>0</v>
      </c>
      <c r="AG30" s="60"/>
      <c r="AH30" s="61">
        <f>SUM('16'!AH6:AH29)</f>
        <v>0</v>
      </c>
      <c r="AI30" s="60"/>
      <c r="AJ30" s="61">
        <f>SUM('16'!AJ6:AJ29)</f>
        <v>1816</v>
      </c>
      <c r="AK30" s="62"/>
      <c r="AL30" s="63">
        <f>SUM('16'!AL6:AL29)</f>
        <v>0</v>
      </c>
      <c r="AM30" s="62"/>
      <c r="AN30" s="63">
        <f>SUM('16'!AN6:AN29)</f>
        <v>0</v>
      </c>
      <c r="AO30" s="62"/>
      <c r="AP30" s="63">
        <f>SUM('16'!AP6:AP29)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SUMIF('16'!AA6:AA29,"=1",'16'!Z6:Z29)</f>
        <v>26920</v>
      </c>
      <c r="AA32" s="132">
        <f>'16'!Z32*'16'!AS6</f>
        <v>35803.6</v>
      </c>
      <c r="AB32" s="139">
        <f>SUMIF('16'!$AA$6:$AA$29,"=1",'16'!$AB$6:$AB$29)/COUNTIF('16'!$AA$6:$AA$29,"=1")</f>
        <v>65.91080461</v>
      </c>
      <c r="AC32" s="140">
        <f>SUMIF('16'!AA6:AA29,"=1",'16'!AC6:AC29)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SUMIF('16'!AA6:AA29,"=2",'16'!Z6:Z29)</f>
        <v>0</v>
      </c>
      <c r="AA33" s="132">
        <f>'16'!Z33*'16'!AS7</f>
        <v>0</v>
      </c>
      <c r="AB33" s="139" t="str">
        <f>SUMIF('16'!$AA$6:$AA$29,"=2",'16'!$AB$6:$AB$29)/COUNTIF('16'!$AA$6:$AA$29,"=2")</f>
        <v>#DIV/0!</v>
      </c>
      <c r="AC33" s="145">
        <f>SUMIF('16'!AA6:AA29,"=2",'16'!AC6:AC29)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AVERAGE('16'!Y6:Y29)</f>
        <v>3141.125</v>
      </c>
      <c r="Z34" s="56">
        <v>3081.0</v>
      </c>
      <c r="AA34" s="152"/>
      <c r="AB34" s="152"/>
      <c r="AC34" s="153" t="str">
        <f>SUM('16'!AC6:AC29)/COUNTIF('16'!AC6:AC29,"&lt;&gt;0")</f>
        <v>#DIV/0!</v>
      </c>
      <c r="AD34" s="154" t="str">
        <f>SUM('16'!AD6:AD29)/COUNTIF('16'!AD6:AD29,"&lt;&gt;0")</f>
        <v>#DIV/0!</v>
      </c>
      <c r="AE34" s="133"/>
      <c r="AF34" s="153">
        <f>AVERAGE('16'!AF6:AF29)</f>
        <v>0</v>
      </c>
      <c r="AG34" s="153"/>
      <c r="AH34" s="153">
        <f>AVERAGE('16'!AH6:AH29)</f>
        <v>0</v>
      </c>
      <c r="AI34" s="153"/>
      <c r="AJ34" s="153">
        <f>'16'!AJ30/24</f>
        <v>75.66666667</v>
      </c>
      <c r="AK34" s="153"/>
      <c r="AL34" s="153">
        <f>AVERAGE('16'!AL6:AL29)</f>
        <v>0</v>
      </c>
      <c r="AM34" s="153"/>
      <c r="AN34" s="153">
        <f>AVERAGE('16'!AN6:AN29)</f>
        <v>0</v>
      </c>
      <c r="AO34" s="153"/>
      <c r="AP34" s="153">
        <f>AVERAGE('16'!AP6:AP29)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>
        <v>0.0</v>
      </c>
      <c r="Z36" s="164"/>
      <c r="AA36" s="165" t="s">
        <v>74</v>
      </c>
      <c r="AB36" s="163">
        <v>6.0</v>
      </c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60.2</v>
      </c>
      <c r="D37" s="76">
        <v>34.1</v>
      </c>
      <c r="E37" s="76">
        <v>26.1</v>
      </c>
      <c r="F37" s="76">
        <v>0.8</v>
      </c>
      <c r="G37" s="60">
        <v>0.1</v>
      </c>
      <c r="H37" s="60">
        <v>0.1</v>
      </c>
      <c r="I37" s="60">
        <v>0.15</v>
      </c>
      <c r="J37" s="60">
        <v>0.15</v>
      </c>
      <c r="K37" s="60">
        <v>0.0</v>
      </c>
      <c r="L37" s="52">
        <v>0.15</v>
      </c>
      <c r="M37" s="106"/>
      <c r="N37" s="157"/>
      <c r="O37" s="51"/>
      <c r="P37" s="51"/>
      <c r="Q37" s="51"/>
      <c r="R37" s="51"/>
      <c r="S37" s="51"/>
      <c r="T37" s="51"/>
      <c r="U37" s="440" t="str">
        <f>'16'!V12</f>
        <v/>
      </c>
      <c r="X37" s="169" t="s">
        <v>75</v>
      </c>
      <c r="Y37" s="128"/>
      <c r="Z37" s="170">
        <f>COUNTA('16'!Z6:Z29)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SUM('16'!AF30+'16'!AH30)</f>
        <v>0</v>
      </c>
      <c r="AL38" s="178" t="s">
        <v>78</v>
      </c>
      <c r="AM38" s="179">
        <f>SUM('16'!AL30+'16'!AN30)</f>
        <v>0</v>
      </c>
      <c r="AO38" s="178" t="s">
        <v>78</v>
      </c>
      <c r="AP38" s="180">
        <f>'16'!AJ30</f>
        <v>1816</v>
      </c>
      <c r="AQ38" s="178" t="s">
        <v>78</v>
      </c>
      <c r="AR38" s="441">
        <f>'16'!AP30</f>
        <v>0</v>
      </c>
    </row>
    <row r="39" ht="16.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>
        <v>3053.0</v>
      </c>
      <c r="AA39" s="171"/>
      <c r="AB39" s="171"/>
      <c r="AJ39" s="325" t="s">
        <v>86</v>
      </c>
      <c r="AK39" s="326">
        <f>('16'!AK38/'16'!Y30)*1000</f>
        <v>0</v>
      </c>
      <c r="AL39" s="327" t="s">
        <v>86</v>
      </c>
      <c r="AM39" s="328">
        <f>('16'!AM38/'16'!Y30)*1000</f>
        <v>0</v>
      </c>
      <c r="AO39" s="325" t="s">
        <v>86</v>
      </c>
      <c r="AP39" s="326">
        <f>('16'!AP38/'16'!Y30)*1000</f>
        <v>6.691398311</v>
      </c>
      <c r="AQ39" s="327" t="s">
        <v>86</v>
      </c>
      <c r="AR39" s="328">
        <f>('16'!AR38/'16'!Y30)*1000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SUM('16'!AK38,'16'!AM38)</f>
        <v>0</v>
      </c>
      <c r="AM40" s="128"/>
      <c r="AO40" s="210" t="s">
        <v>90</v>
      </c>
      <c r="AP40" s="128"/>
      <c r="AQ40" s="211">
        <f>SUM('16'!AP38,'16'!AR38)</f>
        <v>1816</v>
      </c>
      <c r="AR40" s="128"/>
    </row>
    <row r="41" ht="16.5" customHeight="1">
      <c r="A41" s="212">
        <f>COUNTA('16'!E7:E18)</f>
        <v>12</v>
      </c>
      <c r="B41" s="213">
        <f>COUNTA('16'!I7:I18)</f>
        <v>12</v>
      </c>
      <c r="C41" s="214">
        <f>COUNTA('16'!J7:J18)</f>
        <v>12</v>
      </c>
      <c r="D41" s="80"/>
      <c r="E41" s="214">
        <f>COUNTIF('16'!E7:E18,"&gt;15")</f>
        <v>0</v>
      </c>
      <c r="F41" s="80"/>
      <c r="G41" s="214">
        <f>COUNTIF('16'!J7:J18,"&gt;1")</f>
        <v>0</v>
      </c>
      <c r="H41" s="80"/>
      <c r="I41" s="215"/>
      <c r="J41" s="214">
        <f>'16'!A41-'16'!E41</f>
        <v>12</v>
      </c>
      <c r="K41" s="80"/>
      <c r="L41" s="214">
        <f>'16'!C41-'16'!G41</f>
        <v>12</v>
      </c>
      <c r="M41" s="80"/>
      <c r="N41" s="215"/>
      <c r="O41" s="216">
        <f>COUNTIF('16'!J7:J18,"&lt;=0,5")</f>
        <v>9</v>
      </c>
      <c r="P41" s="217"/>
      <c r="Q41" s="218"/>
      <c r="R41" s="219"/>
      <c r="S41" s="220">
        <f>COUNTIF('16'!J7:J18,"&lt;=1,0")</f>
        <v>12</v>
      </c>
      <c r="T41" s="221"/>
      <c r="U41" s="97"/>
      <c r="V41" s="97"/>
      <c r="X41" s="222">
        <v>3081.0</v>
      </c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SUM(('16'!AK38+'16'!AM38)/'16'!Y30)*1000</f>
        <v>0</v>
      </c>
      <c r="AM41" s="128"/>
      <c r="AO41" s="210" t="s">
        <v>91</v>
      </c>
      <c r="AP41" s="128"/>
      <c r="AQ41" s="223">
        <f>SUM(('16'!AP38+'16'!AR38)/'16'!Y30)*1000</f>
        <v>6.691398311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>
        <v>64.0</v>
      </c>
      <c r="Z44" s="68" t="s">
        <v>101</v>
      </c>
      <c r="AA44" s="241">
        <v>0.0</v>
      </c>
      <c r="AB44" s="68" t="s">
        <v>101</v>
      </c>
      <c r="AC44" s="241">
        <v>144.0</v>
      </c>
      <c r="AD44" s="242"/>
      <c r="AE44" s="243"/>
      <c r="AF44" s="244" t="s">
        <v>102</v>
      </c>
      <c r="AG44" s="245">
        <f>SUM('16'!Y45,'16'!AA45,'16'!AC45,'16'!AE45)</f>
        <v>167608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COUNTIF('16'!I7:I18,"&lt;=5,0")</f>
        <v>12</v>
      </c>
      <c r="I45" s="127"/>
      <c r="J45" s="128"/>
      <c r="K45" s="215"/>
      <c r="L45" s="208">
        <f>COUNTA('16'!L37)</f>
        <v>1</v>
      </c>
      <c r="M45" s="128"/>
      <c r="O45" s="248"/>
      <c r="P45" s="249"/>
      <c r="Q45" s="250">
        <f>'16'!S41-'16'!O41</f>
        <v>3</v>
      </c>
      <c r="R45" s="251"/>
      <c r="S45" s="252"/>
      <c r="T45" s="253"/>
      <c r="X45" s="133" t="s">
        <v>104</v>
      </c>
      <c r="Y45" s="254">
        <f>'16'!Y44*275.3</f>
        <v>17619.2</v>
      </c>
      <c r="Z45" s="133" t="s">
        <v>104</v>
      </c>
      <c r="AA45" s="254">
        <f>262.4*'16'!AA44</f>
        <v>0</v>
      </c>
      <c r="AB45" s="133" t="s">
        <v>104</v>
      </c>
      <c r="AC45" s="254">
        <f>'16'!AC44*277.7</f>
        <v>39988.8</v>
      </c>
      <c r="AD45" s="133" t="s">
        <v>104</v>
      </c>
      <c r="AE45" s="255">
        <v>110000.0</v>
      </c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75" customHeight="1">
      <c r="F46" s="257"/>
      <c r="X46" s="196" t="s">
        <v>105</v>
      </c>
      <c r="Y46" s="258">
        <f>'16'!AS6</f>
        <v>1.33</v>
      </c>
      <c r="Z46" s="196" t="s">
        <v>105</v>
      </c>
      <c r="AA46" s="258">
        <f>'16'!Y46</f>
        <v>1.33</v>
      </c>
      <c r="AB46" s="196" t="s">
        <v>105</v>
      </c>
      <c r="AC46" s="258">
        <f>'16'!Y46</f>
        <v>1.33</v>
      </c>
      <c r="AD46" s="196" t="s">
        <v>105</v>
      </c>
      <c r="AE46" s="259">
        <f>'16'!Y46</f>
        <v>1.33</v>
      </c>
      <c r="AF46" s="260" t="s">
        <v>106</v>
      </c>
      <c r="AG46" s="261">
        <f>SUM('16'!Y47,'16'!AA47,'16'!AC47,'16'!AE47)</f>
        <v>222918.64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'16'!Y45*'16'!Y46</f>
        <v>23433.536</v>
      </c>
      <c r="Z47" s="133" t="s">
        <v>108</v>
      </c>
      <c r="AA47" s="254">
        <f>'16'!AA45*'16'!AA46</f>
        <v>0</v>
      </c>
      <c r="AB47" s="133" t="s">
        <v>108</v>
      </c>
      <c r="AC47" s="254">
        <f>'16'!AC45*'16'!AC46</f>
        <v>53185.104</v>
      </c>
      <c r="AD47" s="133" t="s">
        <v>108</v>
      </c>
      <c r="AE47" s="254">
        <f>'16'!AE45*'16'!AE46</f>
        <v>146300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COUNTA('16'!O7:O18)</f>
        <v>12</v>
      </c>
      <c r="P51" s="128"/>
      <c r="R51" s="247">
        <f>COUNTIF('16'!O7:O18,"&gt;=0,5")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SUM('16'!Y53,'16'!AA53,'16'!AC53,'16'!AE53)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'16'!Y52*275.3</f>
        <v>0</v>
      </c>
      <c r="Z53" s="133" t="s">
        <v>104</v>
      </c>
      <c r="AA53" s="254">
        <f>262.4*'16'!AA52</f>
        <v>0</v>
      </c>
      <c r="AB53" s="133" t="s">
        <v>104</v>
      </c>
      <c r="AC53" s="276">
        <f>'16'!AC52*277.7</f>
        <v>0</v>
      </c>
      <c r="AD53" s="133" t="s">
        <v>104</v>
      </c>
      <c r="AE53" s="352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'16'!AS7</f>
        <v>1.377</v>
      </c>
      <c r="Z54" s="196" t="s">
        <v>105</v>
      </c>
      <c r="AA54" s="258">
        <f>'16'!Y54</f>
        <v>1.377</v>
      </c>
      <c r="AB54" s="196" t="s">
        <v>105</v>
      </c>
      <c r="AC54" s="258">
        <f>'16'!Y54</f>
        <v>1.377</v>
      </c>
      <c r="AD54" s="196" t="s">
        <v>105</v>
      </c>
      <c r="AE54" s="259">
        <f>'16'!Y54</f>
        <v>1.377</v>
      </c>
      <c r="AF54" s="260" t="s">
        <v>106</v>
      </c>
      <c r="AG54" s="261">
        <f>SUM('16'!Y55,'16'!AA55,'16'!AC55,'16'!AE55)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262.4*'10'!AL53</f>
        <v>0</v>
      </c>
      <c r="AM54" s="133" t="s">
        <v>104</v>
      </c>
      <c r="AN54" s="276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'16'!Y53*'16'!Y54</f>
        <v>0</v>
      </c>
      <c r="Z55" s="133" t="s">
        <v>108</v>
      </c>
      <c r="AA55" s="254">
        <f>'16'!AA53*'16'!AA54</f>
        <v>0</v>
      </c>
      <c r="AB55" s="133" t="s">
        <v>108</v>
      </c>
      <c r="AC55" s="254">
        <f>'16'!AC53*'16'!AC54</f>
        <v>0</v>
      </c>
      <c r="AD55" s="133" t="s">
        <v>108</v>
      </c>
      <c r="AE55" s="254">
        <f>'16'!AE53*'16'!AE54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>
        <f>AJ55</f>
        <v>1.377</v>
      </c>
      <c r="AM55" s="196" t="s">
        <v>105</v>
      </c>
      <c r="AN55" s="258">
        <f>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'10'!AL54*'10'!AL55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COUNTA('16'!N7:N18)</f>
        <v>12</v>
      </c>
      <c r="P57" s="128"/>
      <c r="R57" s="277">
        <f>COUNTIF('16'!N7:N18,"&gt;=6")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35803.6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-35803.6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'15'!$Y$68</f>
        <v>-18141.08333</v>
      </c>
      <c r="Z65" s="43"/>
      <c r="AA65" s="27"/>
      <c r="AB65" s="299" t="s">
        <v>126</v>
      </c>
      <c r="AC65" s="330">
        <f>'15'!$AC$68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SUM('16'!AK38,'16'!AP38)</f>
        <v>1816</v>
      </c>
      <c r="Z67" s="43"/>
      <c r="AA67" s="27"/>
      <c r="AB67" s="296" t="s">
        <v>124</v>
      </c>
      <c r="AC67" s="254">
        <f>SUM('16'!AM38,'16'!AR38)</f>
        <v>0</v>
      </c>
    </row>
    <row r="68" ht="15.75" customHeight="1">
      <c r="X68" s="294" t="s">
        <v>128</v>
      </c>
      <c r="Y68" s="301">
        <f>SUM('16'!Y63,'16'!Y65)-'16'!Y67</f>
        <v>-19957.08333</v>
      </c>
      <c r="Z68" s="16"/>
      <c r="AA68" s="18"/>
      <c r="AB68" s="296" t="s">
        <v>128</v>
      </c>
      <c r="AC68" s="302">
        <f>SUM('16'!AC63,'16'!AC65)-'16'!AC67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14"/>
    <col customWidth="1" min="2" max="19" width="8.57"/>
    <col customWidth="1" min="20" max="21" width="8.71"/>
    <col customWidth="1" min="22" max="22" width="8.57"/>
    <col customWidth="1" min="23" max="23" width="8.14"/>
    <col customWidth="1" min="24" max="24" width="8.57"/>
    <col customWidth="1" min="25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47" t="s">
        <v>13</v>
      </c>
      <c r="U4" s="442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3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3313.0</v>
      </c>
      <c r="Z6" s="308">
        <v>1200.0</v>
      </c>
      <c r="AA6" s="56">
        <v>1.0</v>
      </c>
      <c r="AB6" s="58">
        <f>IF('17'!AA6=1,(('17'!Z6*'17'!$AS$6*'17'!$AT$6)/('17'!Y6*0.0036)),IF('17'!AA6=2,(('17'!Z6*'17'!$AS$7*'17'!$AT$7)/('17'!Y6*0.0036))))</f>
        <v>66.90813965</v>
      </c>
      <c r="AC6" s="58"/>
      <c r="AD6" s="59">
        <f>(('17'!AC6*'17'!$Q$10*1000000))/('17'!Y6*3600)</f>
        <v>0</v>
      </c>
      <c r="AE6" s="60"/>
      <c r="AF6" s="61">
        <f>('17'!AE6/24)*0.454</f>
        <v>0</v>
      </c>
      <c r="AG6" s="60"/>
      <c r="AH6" s="61">
        <f>('17'!AG6/24)*0.454</f>
        <v>0</v>
      </c>
      <c r="AI6" s="60">
        <v>4000.0</v>
      </c>
      <c r="AJ6" s="61">
        <f>('17'!AI6/24)*0.454</f>
        <v>75.66666667</v>
      </c>
      <c r="AK6" s="62"/>
      <c r="AL6" s="63">
        <f>('17'!AK6/24)*0.454</f>
        <v>0</v>
      </c>
      <c r="AM6" s="62"/>
      <c r="AN6" s="63">
        <f>('17'!AM6/24)*0.454</f>
        <v>0</v>
      </c>
      <c r="AO6" s="62"/>
      <c r="AP6" s="63">
        <f>('17'!AO6/24)*0.454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5.0" customHeight="1">
      <c r="A7" s="69">
        <v>0.0</v>
      </c>
      <c r="B7" s="76">
        <v>79.0</v>
      </c>
      <c r="C7" s="76">
        <v>15.0</v>
      </c>
      <c r="D7" s="76">
        <v>13.0</v>
      </c>
      <c r="E7" s="76">
        <v>9.0</v>
      </c>
      <c r="F7" s="76">
        <v>11.0</v>
      </c>
      <c r="G7" s="76">
        <v>1.4</v>
      </c>
      <c r="H7" s="76">
        <v>1.0</v>
      </c>
      <c r="I7" s="76">
        <v>0.7</v>
      </c>
      <c r="J7" s="76">
        <v>0.6</v>
      </c>
      <c r="K7" s="76">
        <v>6.9</v>
      </c>
      <c r="L7" s="76">
        <v>6.5</v>
      </c>
      <c r="M7" s="76">
        <v>6.4</v>
      </c>
      <c r="N7" s="76">
        <v>6.2</v>
      </c>
      <c r="O7" s="76">
        <v>3.3</v>
      </c>
      <c r="P7" s="76"/>
      <c r="Q7" s="310"/>
      <c r="R7" s="77">
        <f>'16'!$Z$29</f>
        <v>1200</v>
      </c>
      <c r="S7" s="309">
        <f>'16'!$AB$29</f>
        <v>66.48670266</v>
      </c>
      <c r="T7" s="77">
        <f>'16'!$Y$29</f>
        <v>3334</v>
      </c>
      <c r="U7" s="73" t="str">
        <f>IF('17'!AA6=1,'17'!AR6,'17'!AR7)</f>
        <v>S.A.L</v>
      </c>
      <c r="V7" s="74" t="str">
        <f>ESCALA!$C$18</f>
        <v/>
      </c>
      <c r="W7" s="12"/>
      <c r="X7" s="54">
        <v>0.0833333333333333</v>
      </c>
      <c r="Y7" s="125">
        <v>3303.0</v>
      </c>
      <c r="Z7" s="308">
        <v>1200.0</v>
      </c>
      <c r="AA7" s="56">
        <v>1.0</v>
      </c>
      <c r="AB7" s="58">
        <f>IF('17'!AA7=1,(('17'!Z7*'17'!$AS$6*'17'!$AT$6)/('17'!Y7*0.0036)),IF('17'!AA7=2,(('17'!Z7*'17'!$AS$7*'17'!$AT$7)/('17'!Y7*0.0036))))</f>
        <v>67.11070744</v>
      </c>
      <c r="AC7" s="58"/>
      <c r="AD7" s="59">
        <f>(('17'!AC7*'17'!$Q$10*1000000))/('17'!Y7*3600)</f>
        <v>0</v>
      </c>
      <c r="AE7" s="60"/>
      <c r="AF7" s="61">
        <f>('17'!AE7/24)*0.454</f>
        <v>0</v>
      </c>
      <c r="AG7" s="60"/>
      <c r="AH7" s="61">
        <f>('17'!AG7/24)*0.454</f>
        <v>0</v>
      </c>
      <c r="AI7" s="60">
        <v>4000.0</v>
      </c>
      <c r="AJ7" s="61">
        <f>('17'!AI7/24)*0.454</f>
        <v>75.66666667</v>
      </c>
      <c r="AK7" s="62"/>
      <c r="AL7" s="63">
        <f>('17'!AK7/24)*0.454</f>
        <v>0</v>
      </c>
      <c r="AM7" s="62"/>
      <c r="AN7" s="63">
        <f>('17'!AM7/24)*0.454</f>
        <v>0</v>
      </c>
      <c r="AO7" s="62"/>
      <c r="AP7" s="63">
        <f>('17'!AO7/24)*0.454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5.0" customHeight="1">
      <c r="A8" s="69">
        <v>0.0833333333333333</v>
      </c>
      <c r="B8" s="76">
        <v>77.0</v>
      </c>
      <c r="C8" s="76">
        <v>14.0</v>
      </c>
      <c r="D8" s="76">
        <v>13.0</v>
      </c>
      <c r="E8" s="76">
        <v>9.0</v>
      </c>
      <c r="F8" s="76">
        <v>11.0</v>
      </c>
      <c r="G8" s="76">
        <v>1.4</v>
      </c>
      <c r="H8" s="76">
        <v>1.0</v>
      </c>
      <c r="I8" s="76">
        <v>0.7</v>
      </c>
      <c r="J8" s="76">
        <v>0.6</v>
      </c>
      <c r="K8" s="76">
        <v>6.9</v>
      </c>
      <c r="L8" s="76">
        <v>6.5</v>
      </c>
      <c r="M8" s="76">
        <v>6.4</v>
      </c>
      <c r="N8" s="76">
        <v>6.2</v>
      </c>
      <c r="O8" s="76">
        <v>3.3</v>
      </c>
      <c r="P8" s="76"/>
      <c r="Q8" s="310"/>
      <c r="R8" s="75">
        <f>'17'!Z7</f>
        <v>1200</v>
      </c>
      <c r="S8" s="76">
        <f>'17'!AB7</f>
        <v>67.11070744</v>
      </c>
      <c r="T8" s="77">
        <f>'17'!Y7</f>
        <v>3303</v>
      </c>
      <c r="U8" s="73" t="str">
        <f>IF('17'!AA7=1,'17'!AR6,'17'!AR7)</f>
        <v>S.A.L</v>
      </c>
      <c r="V8" s="43"/>
      <c r="W8" s="27"/>
      <c r="X8" s="54">
        <v>0.125</v>
      </c>
      <c r="Y8" s="125">
        <v>3343.0</v>
      </c>
      <c r="Z8" s="308">
        <v>1200.0</v>
      </c>
      <c r="AA8" s="56">
        <v>1.0</v>
      </c>
      <c r="AB8" s="58">
        <f>IF('17'!AA8=1,(('17'!Z8*'17'!$AS$6*'17'!$AT$6)/('17'!Y8*0.0036)),IF('17'!AA8=2,(('17'!Z8*'17'!$AS$7*'17'!$AT$7)/('17'!Y8*0.0036))))</f>
        <v>66.30770765</v>
      </c>
      <c r="AC8" s="58"/>
      <c r="AD8" s="59">
        <f>(('17'!AC8*'17'!$Q$10*1000000))/('17'!Y8*3600)</f>
        <v>0</v>
      </c>
      <c r="AE8" s="60"/>
      <c r="AF8" s="61">
        <f>('17'!AE8/24)*0.454</f>
        <v>0</v>
      </c>
      <c r="AG8" s="60"/>
      <c r="AH8" s="61">
        <f>('17'!AG8/24)*0.454</f>
        <v>0</v>
      </c>
      <c r="AI8" s="60">
        <v>4000.0</v>
      </c>
      <c r="AJ8" s="61">
        <f>('17'!AI8/24)*0.454</f>
        <v>75.66666667</v>
      </c>
      <c r="AK8" s="62"/>
      <c r="AL8" s="63">
        <f>('17'!AK8/24)*0.454</f>
        <v>0</v>
      </c>
      <c r="AM8" s="62"/>
      <c r="AN8" s="63">
        <f>('17'!AM8/24)*0.454</f>
        <v>0</v>
      </c>
      <c r="AO8" s="62"/>
      <c r="AP8" s="63">
        <f>('17'!AO8/24)*0.454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74.0</v>
      </c>
      <c r="C9" s="76">
        <v>14.0</v>
      </c>
      <c r="D9" s="76">
        <v>12.0</v>
      </c>
      <c r="E9" s="76">
        <v>9.0</v>
      </c>
      <c r="F9" s="76">
        <v>10.0</v>
      </c>
      <c r="G9" s="76">
        <v>1.3</v>
      </c>
      <c r="H9" s="76">
        <v>0.9</v>
      </c>
      <c r="I9" s="76">
        <v>0.7</v>
      </c>
      <c r="J9" s="76">
        <v>0.6</v>
      </c>
      <c r="K9" s="76">
        <v>6.9</v>
      </c>
      <c r="L9" s="76">
        <v>6.5</v>
      </c>
      <c r="M9" s="76">
        <v>6.4</v>
      </c>
      <c r="N9" s="76">
        <v>6.2</v>
      </c>
      <c r="O9" s="76">
        <v>3.0</v>
      </c>
      <c r="P9" s="76"/>
      <c r="Q9" s="310"/>
      <c r="R9" s="77">
        <f>'17'!Z9</f>
        <v>1200</v>
      </c>
      <c r="S9" s="76">
        <f>'17'!AB9</f>
        <v>65.97222222</v>
      </c>
      <c r="T9" s="77">
        <f>'17'!Y9</f>
        <v>3360</v>
      </c>
      <c r="U9" s="73" t="str">
        <f>IF('17'!AA9=1,'17'!AR6,'17'!AR7)</f>
        <v>S.A.L</v>
      </c>
      <c r="V9" s="43"/>
      <c r="W9" s="27"/>
      <c r="X9" s="54">
        <v>0.166666666666667</v>
      </c>
      <c r="Y9" s="125">
        <v>3360.0</v>
      </c>
      <c r="Z9" s="308">
        <v>1200.0</v>
      </c>
      <c r="AA9" s="56">
        <v>1.0</v>
      </c>
      <c r="AB9" s="58">
        <f>IF('17'!AA9=1,(('17'!Z9*'17'!$AS$6*'17'!$AT$6)/('17'!Y9*0.0036)),IF('17'!AA9=2,(('17'!Z9*'17'!$AS$7*'17'!$AT$7)/('17'!Y9*0.0036))))</f>
        <v>65.97222222</v>
      </c>
      <c r="AC9" s="58"/>
      <c r="AD9" s="59">
        <f>(('17'!AC9*'17'!$Q$10*1000000))/('17'!Y9*3600)</f>
        <v>0</v>
      </c>
      <c r="AE9" s="60"/>
      <c r="AF9" s="61">
        <f>('17'!AE9/24)*0.454</f>
        <v>0</v>
      </c>
      <c r="AG9" s="60"/>
      <c r="AH9" s="61">
        <f>('17'!AG9/24)*0.454</f>
        <v>0</v>
      </c>
      <c r="AI9" s="60">
        <v>4000.0</v>
      </c>
      <c r="AJ9" s="61">
        <f>('17'!AI9/24)*0.454</f>
        <v>75.66666667</v>
      </c>
      <c r="AK9" s="62"/>
      <c r="AL9" s="63">
        <f>('17'!AK9/24)*0.454</f>
        <v>0</v>
      </c>
      <c r="AM9" s="62"/>
      <c r="AN9" s="63">
        <f>('17'!AM9/24)*0.454</f>
        <v>0</v>
      </c>
      <c r="AO9" s="62"/>
      <c r="AP9" s="63">
        <f>('17'!AO9/24)*0.454</f>
        <v>0</v>
      </c>
      <c r="AQ9" s="81" t="s">
        <v>37</v>
      </c>
      <c r="AR9" s="79"/>
      <c r="AS9" s="80"/>
      <c r="AT9" s="82" t="s">
        <v>39</v>
      </c>
    </row>
    <row r="10" ht="15.0" customHeight="1">
      <c r="A10" s="69">
        <v>0.25</v>
      </c>
      <c r="B10" s="76">
        <v>73.0</v>
      </c>
      <c r="C10" s="76">
        <v>14.0</v>
      </c>
      <c r="D10" s="76">
        <v>12.0</v>
      </c>
      <c r="E10" s="76">
        <v>9.0</v>
      </c>
      <c r="F10" s="76">
        <v>10.0</v>
      </c>
      <c r="G10" s="76">
        <v>1.3</v>
      </c>
      <c r="H10" s="76">
        <v>0.9</v>
      </c>
      <c r="I10" s="76">
        <v>0.7</v>
      </c>
      <c r="J10" s="76">
        <v>0.6</v>
      </c>
      <c r="K10" s="76">
        <v>6.9</v>
      </c>
      <c r="L10" s="76">
        <v>6.5</v>
      </c>
      <c r="M10" s="76">
        <v>6.4</v>
      </c>
      <c r="N10" s="76">
        <v>6.2</v>
      </c>
      <c r="O10" s="76">
        <v>2.7</v>
      </c>
      <c r="P10" s="76"/>
      <c r="Q10" s="310"/>
      <c r="R10" s="77">
        <f>'17'!Z11</f>
        <v>1200</v>
      </c>
      <c r="S10" s="76">
        <f>'17'!AB11</f>
        <v>66.2284633</v>
      </c>
      <c r="T10" s="77">
        <f>'17'!Y11</f>
        <v>3347</v>
      </c>
      <c r="U10" s="73" t="str">
        <f>IF('17'!AA11=1,'17'!AR6,'17'!AR7)</f>
        <v>S.A.L</v>
      </c>
      <c r="V10" s="43"/>
      <c r="W10" s="27"/>
      <c r="X10" s="54">
        <v>0.208333333333333</v>
      </c>
      <c r="Y10" s="125">
        <v>3373.0</v>
      </c>
      <c r="Z10" s="308">
        <v>1200.0</v>
      </c>
      <c r="AA10" s="56">
        <v>1.0</v>
      </c>
      <c r="AB10" s="58">
        <f>IF('17'!AA10=1,(('17'!Z10*'17'!$AS$6*'17'!$AT$6)/('17'!Y10*0.0036)),IF('17'!AA10=2,(('17'!Z10*'17'!$AS$7*'17'!$AT$7)/('17'!Y10*0.0036))))</f>
        <v>65.71795632</v>
      </c>
      <c r="AC10" s="58"/>
      <c r="AD10" s="59">
        <f>(('17'!AC10*'17'!$Q$10*1000000))/('17'!Y10*3600)</f>
        <v>0</v>
      </c>
      <c r="AE10" s="60"/>
      <c r="AF10" s="61">
        <f>('17'!AE10/24)*0.454</f>
        <v>0</v>
      </c>
      <c r="AG10" s="60"/>
      <c r="AH10" s="61">
        <f>('17'!AG10/24)*0.454</f>
        <v>0</v>
      </c>
      <c r="AI10" s="60">
        <v>4000.0</v>
      </c>
      <c r="AJ10" s="61">
        <f>('17'!AI10/24)*0.454</f>
        <v>75.66666667</v>
      </c>
      <c r="AK10" s="62"/>
      <c r="AL10" s="63">
        <f>('17'!AK10/24)*0.454</f>
        <v>0</v>
      </c>
      <c r="AM10" s="62"/>
      <c r="AN10" s="63">
        <f>('17'!AM10/24)*0.454</f>
        <v>0</v>
      </c>
      <c r="AO10" s="62"/>
      <c r="AP10" s="63">
        <f>('17'!AO10/24)*0.454</f>
        <v>0</v>
      </c>
      <c r="AQ10" s="84" t="s">
        <v>51</v>
      </c>
      <c r="AR10" s="79"/>
      <c r="AS10" s="80"/>
      <c r="AT10" s="85">
        <v>0.002</v>
      </c>
    </row>
    <row r="11" ht="15.0" customHeight="1">
      <c r="A11" s="69">
        <v>0.333333333333333</v>
      </c>
      <c r="B11" s="76">
        <v>70.0</v>
      </c>
      <c r="C11" s="76">
        <v>16.0</v>
      </c>
      <c r="D11" s="76">
        <v>14.0</v>
      </c>
      <c r="E11" s="76">
        <v>6.0</v>
      </c>
      <c r="F11" s="76">
        <v>10.0</v>
      </c>
      <c r="G11" s="76">
        <v>1.3</v>
      </c>
      <c r="H11" s="76">
        <v>1.0</v>
      </c>
      <c r="I11" s="76">
        <v>0.7</v>
      </c>
      <c r="J11" s="76">
        <v>0.6</v>
      </c>
      <c r="K11" s="76">
        <v>6.9</v>
      </c>
      <c r="L11" s="76">
        <v>6.5</v>
      </c>
      <c r="M11" s="76">
        <v>6.4</v>
      </c>
      <c r="N11" s="76">
        <v>6.2</v>
      </c>
      <c r="O11" s="76">
        <v>2.5</v>
      </c>
      <c r="P11" s="76"/>
      <c r="Q11" s="310"/>
      <c r="R11" s="77">
        <f>'17'!Z13</f>
        <v>1200</v>
      </c>
      <c r="S11" s="76">
        <f>'17'!AB13</f>
        <v>64.64469719</v>
      </c>
      <c r="T11" s="77">
        <f>'17'!Y13</f>
        <v>3429</v>
      </c>
      <c r="U11" s="73" t="str">
        <f>IF('17'!AA13=1,'17'!AR6,'17'!AR7)</f>
        <v>S.A.L</v>
      </c>
      <c r="V11" s="16"/>
      <c r="W11" s="18"/>
      <c r="X11" s="54">
        <v>0.25</v>
      </c>
      <c r="Y11" s="125">
        <v>3347.0</v>
      </c>
      <c r="Z11" s="308">
        <v>1200.0</v>
      </c>
      <c r="AA11" s="56">
        <v>1.0</v>
      </c>
      <c r="AB11" s="58">
        <f>IF('17'!AA11=1,(('17'!Z11*'17'!$AS$6*'17'!$AT$6)/('17'!Y11*0.0036)),IF('17'!AA11=2,(('17'!Z11*'17'!$AS$7*'17'!$AT$7)/('17'!Y11*0.0036))))</f>
        <v>66.2284633</v>
      </c>
      <c r="AC11" s="58"/>
      <c r="AD11" s="59">
        <f>(('17'!AC11*'17'!$Q$10*1000000))/('17'!Y11*3600)</f>
        <v>0</v>
      </c>
      <c r="AE11" s="60"/>
      <c r="AF11" s="61">
        <f>('17'!AE11/24)*0.454</f>
        <v>0</v>
      </c>
      <c r="AG11" s="60"/>
      <c r="AH11" s="61">
        <f>('17'!AG11/24)*0.454</f>
        <v>0</v>
      </c>
      <c r="AI11" s="60">
        <v>4000.0</v>
      </c>
      <c r="AJ11" s="61">
        <f>('17'!AI11/24)*0.454</f>
        <v>75.66666667</v>
      </c>
      <c r="AK11" s="62"/>
      <c r="AL11" s="63">
        <f>('17'!AK11/24)*0.454</f>
        <v>0</v>
      </c>
      <c r="AM11" s="62"/>
      <c r="AN11" s="63">
        <f>('17'!AM11/24)*0.454</f>
        <v>0</v>
      </c>
      <c r="AO11" s="62"/>
      <c r="AP11" s="63">
        <f>('17'!AO11/24)*0.454</f>
        <v>0</v>
      </c>
    </row>
    <row r="12" ht="15.0" customHeight="1">
      <c r="A12" s="69">
        <v>0.416666666666667</v>
      </c>
      <c r="B12" s="76">
        <v>67.0</v>
      </c>
      <c r="C12" s="76">
        <v>16.0</v>
      </c>
      <c r="D12" s="76">
        <v>14.0</v>
      </c>
      <c r="E12" s="76">
        <v>5.0</v>
      </c>
      <c r="F12" s="76">
        <v>11.0</v>
      </c>
      <c r="G12" s="76">
        <v>1.5</v>
      </c>
      <c r="H12" s="76">
        <v>1.0</v>
      </c>
      <c r="I12" s="76">
        <v>0.7</v>
      </c>
      <c r="J12" s="76">
        <v>0.5</v>
      </c>
      <c r="K12" s="76">
        <v>6.9</v>
      </c>
      <c r="L12" s="76">
        <v>6.5</v>
      </c>
      <c r="M12" s="76">
        <v>6.4</v>
      </c>
      <c r="N12" s="76">
        <v>6.2</v>
      </c>
      <c r="O12" s="76">
        <v>2.5</v>
      </c>
      <c r="P12" s="76"/>
      <c r="Q12" s="310"/>
      <c r="R12" s="77">
        <f>'17'!Z15</f>
        <v>1200</v>
      </c>
      <c r="S12" s="76">
        <f>'17'!AB15</f>
        <v>65.02395619</v>
      </c>
      <c r="T12" s="77">
        <f>'17'!Y15</f>
        <v>3409</v>
      </c>
      <c r="U12" s="73" t="str">
        <f>IF('17'!AA15=1,'17'!AR6,'17'!AR7)</f>
        <v>S.A.L</v>
      </c>
      <c r="V12" s="88" t="str">
        <f>ESCALA!$B$19</f>
        <v/>
      </c>
      <c r="W12" s="89"/>
      <c r="X12" s="54">
        <v>0.291666666666667</v>
      </c>
      <c r="Y12" s="125">
        <v>3450.0</v>
      </c>
      <c r="Z12" s="308">
        <v>1200.0</v>
      </c>
      <c r="AA12" s="56">
        <v>1.0</v>
      </c>
      <c r="AB12" s="58">
        <f>IF('17'!AA12=1,(('17'!Z12*'17'!$AS$6*'17'!$AT$6)/('17'!Y12*0.0036)),IF('17'!AA12=2,(('17'!Z12*'17'!$AS$7*'17'!$AT$7)/('17'!Y12*0.0036))))</f>
        <v>64.25120773</v>
      </c>
      <c r="AC12" s="58"/>
      <c r="AD12" s="59">
        <f>(('17'!AC12*'17'!$Q$10*1000000))/('17'!Y12*3600)</f>
        <v>0</v>
      </c>
      <c r="AE12" s="60"/>
      <c r="AF12" s="61">
        <f>('17'!AE12/24)*0.454</f>
        <v>0</v>
      </c>
      <c r="AG12" s="60"/>
      <c r="AH12" s="61">
        <f>('17'!AG12/24)*0.454</f>
        <v>0</v>
      </c>
      <c r="AI12" s="60">
        <v>5000.0</v>
      </c>
      <c r="AJ12" s="61">
        <f>('17'!AI12/24)*0.454</f>
        <v>94.58333333</v>
      </c>
      <c r="AK12" s="62"/>
      <c r="AL12" s="63">
        <f>('17'!AK12/24)*0.454</f>
        <v>0</v>
      </c>
      <c r="AM12" s="62"/>
      <c r="AN12" s="63">
        <f>('17'!AM12/24)*0.454</f>
        <v>0</v>
      </c>
      <c r="AO12" s="62"/>
      <c r="AP12" s="63">
        <f>('17'!AO12/24)*0.454</f>
        <v>0</v>
      </c>
    </row>
    <row r="13" ht="15.0" customHeight="1">
      <c r="A13" s="69">
        <v>0.5</v>
      </c>
      <c r="B13" s="76">
        <v>73.0</v>
      </c>
      <c r="C13" s="76">
        <v>15.0</v>
      </c>
      <c r="D13" s="76">
        <v>12.0</v>
      </c>
      <c r="E13" s="76">
        <v>5.0</v>
      </c>
      <c r="F13" s="76">
        <v>12.0</v>
      </c>
      <c r="G13" s="76">
        <v>1.5</v>
      </c>
      <c r="H13" s="76">
        <v>0.9</v>
      </c>
      <c r="I13" s="76">
        <v>0.5</v>
      </c>
      <c r="J13" s="76">
        <v>0.5</v>
      </c>
      <c r="K13" s="76">
        <v>6.9</v>
      </c>
      <c r="L13" s="76">
        <v>6.5</v>
      </c>
      <c r="M13" s="76">
        <v>6.4</v>
      </c>
      <c r="N13" s="76">
        <v>6.2</v>
      </c>
      <c r="O13" s="76">
        <v>2.7</v>
      </c>
      <c r="P13" s="76"/>
      <c r="Q13" s="310"/>
      <c r="R13" s="77">
        <f>'17'!Z17</f>
        <v>1200</v>
      </c>
      <c r="S13" s="76">
        <f>'17'!AB17</f>
        <v>69.50977318</v>
      </c>
      <c r="T13" s="77">
        <f>'17'!Y17</f>
        <v>3189</v>
      </c>
      <c r="U13" s="73" t="str">
        <f>IF('17'!AA17=1,'17'!AR6,'17'!AR7)</f>
        <v>S.A.L</v>
      </c>
      <c r="V13" s="43"/>
      <c r="W13" s="27"/>
      <c r="X13" s="54">
        <v>0.333333333333333</v>
      </c>
      <c r="Y13" s="125">
        <v>3429.0</v>
      </c>
      <c r="Z13" s="308">
        <v>1200.0</v>
      </c>
      <c r="AA13" s="56">
        <v>1.0</v>
      </c>
      <c r="AB13" s="58">
        <f>IF('17'!AA13=1,(('17'!Z13*'17'!$AS$6*'17'!$AT$6)/('17'!Y13*0.0036)),IF('17'!AA13=2,(('17'!Z13*'17'!$AS$7*'17'!$AT$7)/('17'!Y13*0.0036))))</f>
        <v>64.64469719</v>
      </c>
      <c r="AC13" s="58"/>
      <c r="AD13" s="59">
        <f>(('17'!AC13*'17'!$Q$10*1000000))/('17'!Y13*3600)</f>
        <v>0</v>
      </c>
      <c r="AE13" s="60"/>
      <c r="AF13" s="61">
        <f>('17'!AE13/24)*0.454</f>
        <v>0</v>
      </c>
      <c r="AG13" s="60"/>
      <c r="AH13" s="61">
        <f>('17'!AG13/24)*0.454</f>
        <v>0</v>
      </c>
      <c r="AI13" s="60">
        <v>5000.0</v>
      </c>
      <c r="AJ13" s="61">
        <f>('17'!AI13/24)*0.454</f>
        <v>94.58333333</v>
      </c>
      <c r="AK13" s="62"/>
      <c r="AL13" s="63">
        <f>('17'!AK13/24)*0.454</f>
        <v>0</v>
      </c>
      <c r="AM13" s="62"/>
      <c r="AN13" s="63">
        <f>('17'!AM13/24)*0.454</f>
        <v>0</v>
      </c>
      <c r="AO13" s="62"/>
      <c r="AP13" s="63">
        <f>('17'!AO13/24)*0.454</f>
        <v>0</v>
      </c>
    </row>
    <row r="14" ht="15.0" customHeight="1">
      <c r="A14" s="69">
        <v>0.583333333333333</v>
      </c>
      <c r="B14" s="76">
        <v>82.0</v>
      </c>
      <c r="C14" s="76">
        <v>15.0</v>
      </c>
      <c r="D14" s="76">
        <v>13.0</v>
      </c>
      <c r="E14" s="76">
        <v>5.0</v>
      </c>
      <c r="F14" s="76">
        <v>13.0</v>
      </c>
      <c r="G14" s="76">
        <v>1.5</v>
      </c>
      <c r="H14" s="76">
        <v>1.1</v>
      </c>
      <c r="I14" s="76">
        <v>0.5</v>
      </c>
      <c r="J14" s="76">
        <v>0.5</v>
      </c>
      <c r="K14" s="76">
        <v>6.9</v>
      </c>
      <c r="L14" s="76">
        <v>6.5</v>
      </c>
      <c r="M14" s="76">
        <v>6.4</v>
      </c>
      <c r="N14" s="76">
        <v>6.2</v>
      </c>
      <c r="O14" s="76">
        <v>2.8</v>
      </c>
      <c r="P14" s="76"/>
      <c r="Q14" s="310"/>
      <c r="R14" s="77">
        <f>'17'!Z19</f>
        <v>1200</v>
      </c>
      <c r="S14" s="76">
        <f>'17'!AB19</f>
        <v>64.36314363</v>
      </c>
      <c r="T14" s="77">
        <f>'17'!Y19</f>
        <v>3444</v>
      </c>
      <c r="U14" s="73" t="str">
        <f>IF('17'!AA19=1,'17'!AR6,'17'!AR7)</f>
        <v>S.A.L</v>
      </c>
      <c r="V14" s="43"/>
      <c r="W14" s="27"/>
      <c r="X14" s="54">
        <v>0.375</v>
      </c>
      <c r="Y14" s="125">
        <v>3412.0</v>
      </c>
      <c r="Z14" s="308">
        <v>1200.0</v>
      </c>
      <c r="AA14" s="56">
        <v>1.0</v>
      </c>
      <c r="AB14" s="58">
        <f>IF('17'!AA14=1,(('17'!Z14*'17'!$AS$6*'17'!$AT$6)/('17'!Y14*0.0036)),IF('17'!AA14=2,(('17'!Z14*'17'!$AS$7*'17'!$AT$7)/('17'!Y14*0.0036))))</f>
        <v>64.9667839</v>
      </c>
      <c r="AC14" s="58"/>
      <c r="AD14" s="59">
        <f>(('17'!AC14*'17'!$Q$10*1000000))/('17'!Y14*3600)</f>
        <v>0</v>
      </c>
      <c r="AE14" s="60"/>
      <c r="AF14" s="61">
        <f>('17'!AE14/24)*0.454</f>
        <v>0</v>
      </c>
      <c r="AG14" s="60"/>
      <c r="AH14" s="61">
        <f>('17'!AG14/24)*0.454</f>
        <v>0</v>
      </c>
      <c r="AI14" s="60">
        <v>5000.0</v>
      </c>
      <c r="AJ14" s="61">
        <f>('17'!AI14/24)*0.454</f>
        <v>94.58333333</v>
      </c>
      <c r="AK14" s="62"/>
      <c r="AL14" s="63">
        <f>('17'!AK14/24)*0.454</f>
        <v>0</v>
      </c>
      <c r="AM14" s="62"/>
      <c r="AN14" s="63">
        <f>('17'!AM14/24)*0.454</f>
        <v>0</v>
      </c>
      <c r="AO14" s="62"/>
      <c r="AP14" s="63">
        <f>('17'!AO14/24)*0.454</f>
        <v>0</v>
      </c>
    </row>
    <row r="15" ht="15.0" customHeight="1">
      <c r="A15" s="69">
        <v>0.666666666666667</v>
      </c>
      <c r="B15" s="76">
        <v>84.0</v>
      </c>
      <c r="C15" s="76">
        <v>15.0</v>
      </c>
      <c r="D15" s="76">
        <v>13.0</v>
      </c>
      <c r="E15" s="76">
        <v>5.0</v>
      </c>
      <c r="F15" s="76">
        <v>12.0</v>
      </c>
      <c r="G15" s="76">
        <v>1.4</v>
      </c>
      <c r="H15" s="76">
        <v>1.0</v>
      </c>
      <c r="I15" s="76">
        <v>0.5</v>
      </c>
      <c r="J15" s="76">
        <v>0.6</v>
      </c>
      <c r="K15" s="76">
        <v>6.9</v>
      </c>
      <c r="L15" s="76">
        <v>6.5</v>
      </c>
      <c r="M15" s="76">
        <v>6.4</v>
      </c>
      <c r="N15" s="76">
        <v>6.2</v>
      </c>
      <c r="O15" s="76">
        <v>2.8</v>
      </c>
      <c r="P15" s="76"/>
      <c r="Q15" s="310"/>
      <c r="R15" s="77">
        <f>'17'!Z21</f>
        <v>1200</v>
      </c>
      <c r="S15" s="76">
        <f>'17'!AB21</f>
        <v>64.30712697</v>
      </c>
      <c r="T15" s="77">
        <f>'17'!Y21</f>
        <v>3447</v>
      </c>
      <c r="U15" s="73" t="str">
        <f>IF('17'!AA21=1,'17'!AR6,'17'!AR7)</f>
        <v>S.A.L</v>
      </c>
      <c r="V15" s="43"/>
      <c r="W15" s="27"/>
      <c r="X15" s="54">
        <v>0.416666666666667</v>
      </c>
      <c r="Y15" s="125">
        <v>3409.0</v>
      </c>
      <c r="Z15" s="308">
        <v>1200.0</v>
      </c>
      <c r="AA15" s="56">
        <v>1.0</v>
      </c>
      <c r="AB15" s="58">
        <f>IF('17'!AA15=1,(('17'!Z15*'17'!$AS$6*'17'!$AT$6)/('17'!Y15*0.0036)),IF('17'!AA15=2,(('17'!Z15*'17'!$AS$7*'17'!$AT$7)/('17'!Y15*0.0036))))</f>
        <v>65.02395619</v>
      </c>
      <c r="AC15" s="58"/>
      <c r="AD15" s="59">
        <f>(('17'!AC15*'17'!$Q$10*1000000))/('17'!Y15*3600)</f>
        <v>0</v>
      </c>
      <c r="AE15" s="60"/>
      <c r="AF15" s="61">
        <f>('17'!AE15/24)*0.454</f>
        <v>0</v>
      </c>
      <c r="AG15" s="60"/>
      <c r="AH15" s="61">
        <f>('17'!AG15/24)*0.454</f>
        <v>0</v>
      </c>
      <c r="AI15" s="60">
        <v>5000.0</v>
      </c>
      <c r="AJ15" s="61">
        <f>('17'!AI15/24)*0.454</f>
        <v>94.58333333</v>
      </c>
      <c r="AK15" s="62"/>
      <c r="AL15" s="63">
        <f>('17'!AK15/24)*0.454</f>
        <v>0</v>
      </c>
      <c r="AM15" s="62"/>
      <c r="AN15" s="63">
        <f>('17'!AM15/24)*0.454</f>
        <v>0</v>
      </c>
      <c r="AO15" s="62"/>
      <c r="AP15" s="63">
        <f>('17'!AO15/24)*0.454</f>
        <v>0</v>
      </c>
    </row>
    <row r="16" ht="15.0" customHeight="1">
      <c r="A16" s="69">
        <v>0.75</v>
      </c>
      <c r="B16" s="76">
        <v>88.0</v>
      </c>
      <c r="C16" s="76">
        <v>17.0</v>
      </c>
      <c r="D16" s="76">
        <v>14.0</v>
      </c>
      <c r="E16" s="76">
        <v>6.0</v>
      </c>
      <c r="F16" s="76">
        <v>13.0</v>
      </c>
      <c r="G16" s="76">
        <v>1.4</v>
      </c>
      <c r="H16" s="76">
        <v>2.2</v>
      </c>
      <c r="I16" s="76">
        <v>0.8</v>
      </c>
      <c r="J16" s="76">
        <v>0.8</v>
      </c>
      <c r="K16" s="76">
        <v>6.9</v>
      </c>
      <c r="L16" s="76">
        <v>6.5</v>
      </c>
      <c r="M16" s="76">
        <v>6.4</v>
      </c>
      <c r="N16" s="76">
        <v>6.2</v>
      </c>
      <c r="O16" s="76">
        <v>2.8</v>
      </c>
      <c r="P16" s="76"/>
      <c r="Q16" s="310"/>
      <c r="R16" s="77">
        <f>'17'!Z23</f>
        <v>1200</v>
      </c>
      <c r="S16" s="76">
        <f>'17'!AB23</f>
        <v>64.30712697</v>
      </c>
      <c r="T16" s="77">
        <f>'17'!Y23</f>
        <v>3447</v>
      </c>
      <c r="U16" s="73" t="str">
        <f>IF('17'!AA23=1,'17'!AR6,'17'!AR7)</f>
        <v>S.A.L</v>
      </c>
      <c r="V16" s="16"/>
      <c r="W16" s="18"/>
      <c r="X16" s="54">
        <v>0.458333333333333</v>
      </c>
      <c r="Y16" s="125">
        <v>3407.0</v>
      </c>
      <c r="Z16" s="308">
        <v>1200.0</v>
      </c>
      <c r="AA16" s="56">
        <v>1.0</v>
      </c>
      <c r="AB16" s="58">
        <f>IF('17'!AA16=1,(('17'!Z16*'17'!$AS$6*'17'!$AT$6)/('17'!Y16*0.0036)),IF('17'!AA16=2,(('17'!Z16*'17'!$AS$7*'17'!$AT$7)/('17'!Y16*0.0036))))</f>
        <v>65.06212699</v>
      </c>
      <c r="AC16" s="58"/>
      <c r="AD16" s="59">
        <f>(('17'!AC16*'17'!$Q$10*1000000))/('17'!Y16*3600)</f>
        <v>0</v>
      </c>
      <c r="AE16" s="60"/>
      <c r="AF16" s="61">
        <f>('17'!AE16/24)*0.454</f>
        <v>0</v>
      </c>
      <c r="AG16" s="60"/>
      <c r="AH16" s="61">
        <f>('17'!AG16/24)*0.454</f>
        <v>0</v>
      </c>
      <c r="AI16" s="60">
        <v>5000.0</v>
      </c>
      <c r="AJ16" s="61">
        <f>('17'!AI16/24)*0.454</f>
        <v>94.58333333</v>
      </c>
      <c r="AK16" s="62"/>
      <c r="AL16" s="63">
        <f>('17'!AK16/24)*0.454</f>
        <v>0</v>
      </c>
      <c r="AM16" s="62"/>
      <c r="AN16" s="63">
        <f>('17'!AM16/24)*0.454</f>
        <v>0</v>
      </c>
      <c r="AO16" s="62"/>
      <c r="AP16" s="63">
        <f>('17'!AO16/24)*0.454</f>
        <v>0</v>
      </c>
    </row>
    <row r="17" ht="15.0" customHeight="1">
      <c r="A17" s="69">
        <v>0.833333333333333</v>
      </c>
      <c r="B17" s="76">
        <v>91.0</v>
      </c>
      <c r="C17" s="76">
        <v>17.0</v>
      </c>
      <c r="D17" s="76">
        <v>14.0</v>
      </c>
      <c r="E17" s="76">
        <v>7.0</v>
      </c>
      <c r="F17" s="76">
        <v>15.0</v>
      </c>
      <c r="G17" s="76">
        <v>1.9</v>
      </c>
      <c r="H17" s="76">
        <v>1.7</v>
      </c>
      <c r="I17" s="76">
        <v>0.9</v>
      </c>
      <c r="J17" s="76">
        <v>1.2</v>
      </c>
      <c r="K17" s="76">
        <v>6.9</v>
      </c>
      <c r="L17" s="76">
        <v>6.5</v>
      </c>
      <c r="M17" s="76">
        <v>6.4</v>
      </c>
      <c r="N17" s="76">
        <v>6.2</v>
      </c>
      <c r="O17" s="76">
        <v>3.0</v>
      </c>
      <c r="P17" s="76"/>
      <c r="Q17" s="310"/>
      <c r="R17" s="77">
        <f>'17'!Z25</f>
        <v>1200</v>
      </c>
      <c r="S17" s="76">
        <f>'17'!AB25</f>
        <v>64.38183754</v>
      </c>
      <c r="T17" s="77">
        <f>'17'!Y25</f>
        <v>3443</v>
      </c>
      <c r="U17" s="73" t="str">
        <f>IF('17'!AA25=1,'17'!AR6,'17'!AR7)</f>
        <v>S.A.L</v>
      </c>
      <c r="V17" s="90" t="str">
        <f>ESCALA!$C$19</f>
        <v/>
      </c>
      <c r="W17" s="89"/>
      <c r="X17" s="54">
        <v>0.5</v>
      </c>
      <c r="Y17" s="125">
        <v>3189.0</v>
      </c>
      <c r="Z17" s="308">
        <v>1200.0</v>
      </c>
      <c r="AA17" s="56">
        <v>1.0</v>
      </c>
      <c r="AB17" s="58">
        <f>IF('17'!AA17=1,(('17'!Z17*'17'!$AS$6*'17'!$AT$6)/('17'!Y17*0.0036)),IF('17'!AA17=2,(('17'!Z17*'17'!$AS$7*'17'!$AT$7)/('17'!Y17*0.0036))))</f>
        <v>69.50977318</v>
      </c>
      <c r="AC17" s="58"/>
      <c r="AD17" s="59">
        <f>(('17'!AC17*'17'!$Q$10*1000000))/('17'!Y17*3600)</f>
        <v>0</v>
      </c>
      <c r="AE17" s="60"/>
      <c r="AF17" s="61">
        <f>('17'!AE17/24)*0.454</f>
        <v>0</v>
      </c>
      <c r="AG17" s="60"/>
      <c r="AH17" s="61">
        <f>('17'!AG17/24)*0.454</f>
        <v>0</v>
      </c>
      <c r="AI17" s="60">
        <v>5000.0</v>
      </c>
      <c r="AJ17" s="61">
        <f>('17'!AI17/24)*0.454</f>
        <v>94.58333333</v>
      </c>
      <c r="AK17" s="62"/>
      <c r="AL17" s="63">
        <f>('17'!AK17/24)*0.454</f>
        <v>0</v>
      </c>
      <c r="AM17" s="62"/>
      <c r="AN17" s="63">
        <f>('17'!AM17/24)*0.454</f>
        <v>0</v>
      </c>
      <c r="AO17" s="62"/>
      <c r="AP17" s="63">
        <f>('17'!AO17/24)*0.454</f>
        <v>0</v>
      </c>
    </row>
    <row r="18" ht="15.0" customHeight="1">
      <c r="A18" s="69">
        <v>0.916666666666667</v>
      </c>
      <c r="B18" s="76">
        <v>94.0</v>
      </c>
      <c r="C18" s="76">
        <v>17.0</v>
      </c>
      <c r="D18" s="76">
        <v>14.0</v>
      </c>
      <c r="E18" s="76">
        <v>7.0</v>
      </c>
      <c r="F18" s="76">
        <v>17.0</v>
      </c>
      <c r="G18" s="76">
        <v>2.1</v>
      </c>
      <c r="H18" s="76">
        <v>1.4</v>
      </c>
      <c r="I18" s="76">
        <v>0.9</v>
      </c>
      <c r="J18" s="76">
        <v>1.1</v>
      </c>
      <c r="K18" s="76">
        <v>6.9</v>
      </c>
      <c r="L18" s="76">
        <v>6.5</v>
      </c>
      <c r="M18" s="76">
        <v>6.4</v>
      </c>
      <c r="N18" s="76">
        <v>6.2</v>
      </c>
      <c r="O18" s="76">
        <v>3.2</v>
      </c>
      <c r="P18" s="76"/>
      <c r="Q18" s="310"/>
      <c r="R18" s="77">
        <f>'17'!Z27</f>
        <v>1200</v>
      </c>
      <c r="S18" s="76">
        <f>'17'!AB27</f>
        <v>64.40054232</v>
      </c>
      <c r="T18" s="77">
        <f>'17'!Y27</f>
        <v>3442</v>
      </c>
      <c r="U18" s="73" t="str">
        <f>IF('17'!AA27=1,'17'!AR6,'17'!AR7)</f>
        <v>S.A.L</v>
      </c>
      <c r="V18" s="16"/>
      <c r="W18" s="18"/>
      <c r="X18" s="54">
        <v>0.541666666666667</v>
      </c>
      <c r="Y18" s="125">
        <v>3385.0</v>
      </c>
      <c r="Z18" s="308">
        <v>1200.0</v>
      </c>
      <c r="AA18" s="56">
        <v>1.0</v>
      </c>
      <c r="AB18" s="58">
        <f>IF('17'!AA18=1,(('17'!Z18*'17'!$AS$6*'17'!$AT$6)/('17'!Y18*0.0036)),IF('17'!AA18=2,(('17'!Z18*'17'!$AS$7*'17'!$AT$7)/('17'!Y18*0.0036))))</f>
        <v>65.48498277</v>
      </c>
      <c r="AC18" s="58"/>
      <c r="AD18" s="59">
        <f>(('17'!AC18*'17'!$Q$10*1000000))/('17'!Y18*3600)</f>
        <v>0</v>
      </c>
      <c r="AE18" s="60"/>
      <c r="AF18" s="61">
        <f>('17'!AE18/24)*0.454</f>
        <v>0</v>
      </c>
      <c r="AG18" s="60"/>
      <c r="AH18" s="61">
        <f>('17'!AG18/24)*0.454</f>
        <v>0</v>
      </c>
      <c r="AI18" s="60">
        <v>5000.0</v>
      </c>
      <c r="AJ18" s="61">
        <f>('17'!AI18/24)*0.454</f>
        <v>94.58333333</v>
      </c>
      <c r="AK18" s="62"/>
      <c r="AL18" s="63">
        <f>('17'!AK18/24)*0.454</f>
        <v>0</v>
      </c>
      <c r="AM18" s="62"/>
      <c r="AN18" s="63">
        <f>('17'!AM18/24)*0.454</f>
        <v>0</v>
      </c>
      <c r="AO18" s="62"/>
      <c r="AP18" s="63">
        <f>('17'!AO18/24)*0.454</f>
        <v>0</v>
      </c>
    </row>
    <row r="19" ht="14.25" customHeight="1">
      <c r="A19" s="51" t="s">
        <v>52</v>
      </c>
      <c r="B19" s="91">
        <f>AVERAGE('17'!B7:B18)</f>
        <v>79.33333333</v>
      </c>
      <c r="C19" s="92">
        <f>AVERAGE('17'!C7:C18)</f>
        <v>15.41666667</v>
      </c>
      <c r="D19" s="92">
        <f>AVERAGE('17'!D7:D18)</f>
        <v>13.16666667</v>
      </c>
      <c r="E19" s="92">
        <f>AVERAGE('17'!E7:E18)</f>
        <v>6.833333333</v>
      </c>
      <c r="F19" s="92">
        <f>AVERAGE('17'!F7:F18)</f>
        <v>12.08333333</v>
      </c>
      <c r="G19" s="92">
        <f>AVERAGE('17'!G8:G18)</f>
        <v>1.509090909</v>
      </c>
      <c r="H19" s="92">
        <f>AVERAGE('17'!H7:H18)</f>
        <v>1.175</v>
      </c>
      <c r="I19" s="92">
        <f>AVERAGE('17'!I7:I18)</f>
        <v>0.6916666667</v>
      </c>
      <c r="J19" s="92">
        <f>AVERAGE('17'!J7:J18)</f>
        <v>0.6833333333</v>
      </c>
      <c r="K19" s="92">
        <f>AVERAGE('17'!K7:K18)</f>
        <v>6.9</v>
      </c>
      <c r="L19" s="92">
        <f>AVERAGE('17'!L7:L18)</f>
        <v>6.5</v>
      </c>
      <c r="M19" s="92">
        <f>AVERAGE('17'!M7:M18)</f>
        <v>6.4</v>
      </c>
      <c r="N19" s="92">
        <f>AVERAGE('17'!N7:N18)</f>
        <v>6.2</v>
      </c>
      <c r="O19" s="92">
        <f>AVERAGE('17'!O7:O18)</f>
        <v>2.883333333</v>
      </c>
      <c r="P19" s="93" t="str">
        <f>AVERAGE('17'!P7:P18)</f>
        <v>#DIV/0!</v>
      </c>
      <c r="Q19" s="94" t="str">
        <f>AVERAGE('17'!Q7:Q18)</f>
        <v>#DIV/0!</v>
      </c>
      <c r="R19" s="94">
        <f>AVERAGE('17'!R7:R18)</f>
        <v>1200</v>
      </c>
      <c r="S19" s="94">
        <f>AVERAGE('17'!S7:S18)</f>
        <v>65.5613583</v>
      </c>
      <c r="T19" s="95"/>
      <c r="U19" s="96"/>
      <c r="V19" s="97"/>
      <c r="W19" s="97"/>
      <c r="X19" s="54">
        <v>0.583333333333333</v>
      </c>
      <c r="Y19" s="125">
        <v>3444.0</v>
      </c>
      <c r="Z19" s="308">
        <v>1200.0</v>
      </c>
      <c r="AA19" s="56">
        <v>1.0</v>
      </c>
      <c r="AB19" s="58">
        <f>IF('17'!AA19=1,(('17'!Z19*'17'!$AS$6*'17'!$AT$6)/('17'!Y19*0.0036)),IF('17'!AA19=2,(('17'!Z19*'17'!$AS$7*'17'!$AT$7)/('17'!Y19*0.0036))))</f>
        <v>64.36314363</v>
      </c>
      <c r="AC19" s="58"/>
      <c r="AD19" s="59">
        <f>(('17'!AC19*'17'!$Q$10*1000000))/('17'!Y19*3600)</f>
        <v>0</v>
      </c>
      <c r="AE19" s="60"/>
      <c r="AF19" s="61">
        <f>('17'!AE19/24)*0.454</f>
        <v>0</v>
      </c>
      <c r="AG19" s="60"/>
      <c r="AH19" s="61">
        <f>('17'!AG19/24)*0.454</f>
        <v>0</v>
      </c>
      <c r="AI19" s="60">
        <v>5000.0</v>
      </c>
      <c r="AJ19" s="61">
        <f>('17'!AI19/24)*0.454</f>
        <v>94.58333333</v>
      </c>
      <c r="AK19" s="62"/>
      <c r="AL19" s="63">
        <f>('17'!AK19/24)*0.454</f>
        <v>0</v>
      </c>
      <c r="AM19" s="62"/>
      <c r="AN19" s="63">
        <f>('17'!AM19/24)*0.454</f>
        <v>0</v>
      </c>
      <c r="AO19" s="62"/>
      <c r="AP19" s="63">
        <f>('17'!AO19/24)*0.454</f>
        <v>0</v>
      </c>
    </row>
    <row r="20" ht="14.25" customHeight="1">
      <c r="A20" s="51" t="s">
        <v>53</v>
      </c>
      <c r="B20" s="91">
        <f>MAX('17'!B7:B18)</f>
        <v>94</v>
      </c>
      <c r="C20" s="92">
        <f>MAX('17'!C7:C18)</f>
        <v>17</v>
      </c>
      <c r="D20" s="92">
        <f>MAX('17'!D7:D18)</f>
        <v>14</v>
      </c>
      <c r="E20" s="92">
        <f>MAX('17'!E7:E18)</f>
        <v>9</v>
      </c>
      <c r="F20" s="92">
        <f>MAX('17'!F7:F18)</f>
        <v>17</v>
      </c>
      <c r="G20" s="92">
        <f>MAX('17'!G8:G18)</f>
        <v>2.1</v>
      </c>
      <c r="H20" s="92">
        <f>MAX('17'!H7:H18)</f>
        <v>2.2</v>
      </c>
      <c r="I20" s="92">
        <f>MAX('17'!I7:I18)</f>
        <v>0.9</v>
      </c>
      <c r="J20" s="92">
        <f>MAX('17'!J7:J18)</f>
        <v>1.2</v>
      </c>
      <c r="K20" s="92">
        <f>MAX('17'!K7:K18)</f>
        <v>6.9</v>
      </c>
      <c r="L20" s="92">
        <f>MAX('17'!L7:L18)</f>
        <v>6.5</v>
      </c>
      <c r="M20" s="92">
        <f>MAX('17'!M7:M18)</f>
        <v>6.4</v>
      </c>
      <c r="N20" s="92">
        <f>MAX('17'!N7:N18)</f>
        <v>6.2</v>
      </c>
      <c r="O20" s="98">
        <f>MAX('17'!O7:O18)</f>
        <v>3.3</v>
      </c>
      <c r="P20" s="98">
        <f>MAX('17'!P7:P18)</f>
        <v>0</v>
      </c>
      <c r="Q20" s="98">
        <f>MAX('17'!Q7:Q18)</f>
        <v>0</v>
      </c>
      <c r="R20" s="98">
        <f>MAX('17'!R7:R18)</f>
        <v>1200</v>
      </c>
      <c r="S20" s="98">
        <f>MAX('17'!S7:S18)</f>
        <v>69.50977318</v>
      </c>
      <c r="T20" s="99"/>
      <c r="U20" s="21"/>
      <c r="X20" s="54">
        <v>0.625</v>
      </c>
      <c r="Y20" s="125">
        <v>3451.0</v>
      </c>
      <c r="Z20" s="308">
        <v>1200.0</v>
      </c>
      <c r="AA20" s="56">
        <v>1.0</v>
      </c>
      <c r="AB20" s="58">
        <f>IF('17'!AA20=1,(('17'!Z20*'17'!$AS$6*'17'!$AT$6)/('17'!Y20*0.0036)),IF('17'!AA20=2,(('17'!Z20*'17'!$AS$7*'17'!$AT$7)/('17'!Y20*0.0036))))</f>
        <v>64.23258959</v>
      </c>
      <c r="AC20" s="58"/>
      <c r="AD20" s="59">
        <f>(('17'!AC20*'17'!$Q$10*1000000))/('17'!Y20*3600)</f>
        <v>0</v>
      </c>
      <c r="AE20" s="60"/>
      <c r="AF20" s="61">
        <f>('17'!AE20/24)*0.454</f>
        <v>0</v>
      </c>
      <c r="AG20" s="60"/>
      <c r="AH20" s="61">
        <f>('17'!AG20/24)*0.454</f>
        <v>0</v>
      </c>
      <c r="AI20" s="60">
        <v>5000.0</v>
      </c>
      <c r="AJ20" s="61">
        <f>('17'!AI20/24)*0.454</f>
        <v>94.58333333</v>
      </c>
      <c r="AK20" s="62"/>
      <c r="AL20" s="63">
        <f>('17'!AK20/24)*0.454</f>
        <v>0</v>
      </c>
      <c r="AM20" s="62"/>
      <c r="AN20" s="63">
        <f>('17'!AM20/24)*0.454</f>
        <v>0</v>
      </c>
      <c r="AO20" s="62"/>
      <c r="AP20" s="63">
        <f>('17'!AO20/24)*0.454</f>
        <v>0</v>
      </c>
    </row>
    <row r="21" ht="14.25" customHeight="1">
      <c r="A21" s="51" t="s">
        <v>54</v>
      </c>
      <c r="B21" s="91">
        <f>MIN('17'!B7:B18)</f>
        <v>67</v>
      </c>
      <c r="C21" s="92">
        <f>MIN('17'!C7:C18)</f>
        <v>14</v>
      </c>
      <c r="D21" s="92">
        <f>MIN('17'!D7:D18)</f>
        <v>12</v>
      </c>
      <c r="E21" s="92">
        <f>MIN('17'!E7:E18)</f>
        <v>5</v>
      </c>
      <c r="F21" s="92">
        <f>MIN('17'!F7:F18)</f>
        <v>10</v>
      </c>
      <c r="G21" s="100">
        <f>MIN('17'!G8:G18)</f>
        <v>1.3</v>
      </c>
      <c r="H21" s="100">
        <f>MIN('17'!H7:H18)</f>
        <v>0.9</v>
      </c>
      <c r="I21" s="100">
        <f>MIN('17'!I7:I18)</f>
        <v>0.5</v>
      </c>
      <c r="J21" s="100">
        <f>MIN('17'!J7:J18)</f>
        <v>0.5</v>
      </c>
      <c r="K21" s="100">
        <f>MIN('17'!K7:K18)</f>
        <v>6.9</v>
      </c>
      <c r="L21" s="100">
        <f>MIN('17'!L7:L18)</f>
        <v>6.5</v>
      </c>
      <c r="M21" s="100">
        <f>MIN('17'!M7:M18)</f>
        <v>6.4</v>
      </c>
      <c r="N21" s="100">
        <f>MIN('17'!N7:N18)</f>
        <v>6.2</v>
      </c>
      <c r="O21" s="101">
        <f>MIN('17'!O7:O18)</f>
        <v>2.5</v>
      </c>
      <c r="P21" s="101">
        <f>MIN('17'!P7:P18)</f>
        <v>0</v>
      </c>
      <c r="Q21" s="101">
        <f>MIN('17'!Q7:Q18)</f>
        <v>0</v>
      </c>
      <c r="R21" s="101">
        <f>MIN('17'!R7:R18)</f>
        <v>1200</v>
      </c>
      <c r="S21" s="101">
        <f>MIN('17'!S7:S18)</f>
        <v>64.30712697</v>
      </c>
      <c r="T21" s="99"/>
      <c r="U21" s="21"/>
      <c r="X21" s="54">
        <v>0.666666666666667</v>
      </c>
      <c r="Y21" s="125">
        <v>3447.0</v>
      </c>
      <c r="Z21" s="308">
        <v>1200.0</v>
      </c>
      <c r="AA21" s="56">
        <v>1.0</v>
      </c>
      <c r="AB21" s="58">
        <f>IF('17'!AA21=1,(('17'!Z21*'17'!$AS$6*'17'!$AT$6)/('17'!Y21*0.0036)),IF('17'!AA21=2,(('17'!Z21*'17'!$AS$7*'17'!$AT$7)/('17'!Y21*0.0036))))</f>
        <v>64.30712697</v>
      </c>
      <c r="AC21" s="58"/>
      <c r="AD21" s="59">
        <f>(('17'!AC21*'17'!$Q$10*1000000))/('17'!Y21*3600)</f>
        <v>0</v>
      </c>
      <c r="AE21" s="60"/>
      <c r="AF21" s="61">
        <f>('17'!AE21/24)*0.454</f>
        <v>0</v>
      </c>
      <c r="AG21" s="60"/>
      <c r="AH21" s="61">
        <f>('17'!AG21/24)*0.454</f>
        <v>0</v>
      </c>
      <c r="AI21" s="60">
        <v>5000.0</v>
      </c>
      <c r="AJ21" s="61">
        <f>('17'!AI21/24)*0.454</f>
        <v>94.58333333</v>
      </c>
      <c r="AK21" s="62"/>
      <c r="AL21" s="63">
        <f>('17'!AK21/24)*0.454</f>
        <v>0</v>
      </c>
      <c r="AM21" s="62"/>
      <c r="AN21" s="63">
        <f>('17'!AM21/24)*0.454</f>
        <v>0</v>
      </c>
      <c r="AO21" s="62"/>
      <c r="AP21" s="63">
        <f>('17'!AO21/24)*0.454</f>
        <v>0</v>
      </c>
    </row>
    <row r="22" ht="13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3439.0</v>
      </c>
      <c r="Z22" s="308">
        <v>1200.0</v>
      </c>
      <c r="AA22" s="56">
        <v>1.0</v>
      </c>
      <c r="AB22" s="58">
        <f>IF('17'!AA22=1,(('17'!Z22*'17'!$AS$6*'17'!$AT$6)/('17'!Y22*0.0036)),IF('17'!AA22=2,(('17'!Z22*'17'!$AS$7*'17'!$AT$7)/('17'!Y22*0.0036))))</f>
        <v>64.45672192</v>
      </c>
      <c r="AC22" s="58"/>
      <c r="AD22" s="59">
        <f>(('17'!AC22*'17'!$Q$10*1000000))/('17'!Y22*3600)</f>
        <v>0</v>
      </c>
      <c r="AE22" s="60"/>
      <c r="AF22" s="61">
        <f>('17'!AE22/24)*0.454</f>
        <v>0</v>
      </c>
      <c r="AG22" s="60"/>
      <c r="AH22" s="61">
        <f>('17'!AG22/24)*0.454</f>
        <v>0</v>
      </c>
      <c r="AI22" s="60">
        <v>5000.0</v>
      </c>
      <c r="AJ22" s="61">
        <f>('17'!AI22/24)*0.454</f>
        <v>94.58333333</v>
      </c>
      <c r="AK22" s="62"/>
      <c r="AL22" s="63">
        <f>('17'!AK22/24)*0.454</f>
        <v>0</v>
      </c>
      <c r="AM22" s="62"/>
      <c r="AN22" s="63">
        <f>('17'!AM22/24)*0.454</f>
        <v>0</v>
      </c>
      <c r="AO22" s="62"/>
      <c r="AP22" s="63">
        <f>('17'!AO22/24)*0.454</f>
        <v>0</v>
      </c>
    </row>
    <row r="23" ht="13.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3447.0</v>
      </c>
      <c r="Z23" s="308">
        <v>1200.0</v>
      </c>
      <c r="AA23" s="56">
        <v>1.0</v>
      </c>
      <c r="AB23" s="58">
        <f>IF('17'!AA23=1,(('17'!Z23*'17'!$AS$6*'17'!$AT$6)/('17'!Y23*0.0036)),IF('17'!AA23=2,(('17'!Z23*'17'!$AS$7*'17'!$AT$7)/('17'!Y23*0.0036))))</f>
        <v>64.30712697</v>
      </c>
      <c r="AC23" s="58"/>
      <c r="AD23" s="59">
        <f>(('17'!AC23*'17'!$Q$10*1000000))/('17'!Y23*3600)</f>
        <v>0</v>
      </c>
      <c r="AE23" s="60"/>
      <c r="AF23" s="61">
        <f>('17'!AE23/24)*0.454</f>
        <v>0</v>
      </c>
      <c r="AG23" s="60"/>
      <c r="AH23" s="61">
        <f>('17'!AG23/24)*0.454</f>
        <v>0</v>
      </c>
      <c r="AI23" s="60">
        <v>5000.0</v>
      </c>
      <c r="AJ23" s="61">
        <f>('17'!AI23/24)*0.454</f>
        <v>94.58333333</v>
      </c>
      <c r="AK23" s="62"/>
      <c r="AL23" s="63">
        <f>('17'!AK23/24)*0.454</f>
        <v>0</v>
      </c>
      <c r="AM23" s="62"/>
      <c r="AN23" s="63">
        <f>('17'!AM23/24)*0.454</f>
        <v>0</v>
      </c>
      <c r="AO23" s="62"/>
      <c r="AP23" s="63">
        <f>('17'!AO23/24)*0.454</f>
        <v>0</v>
      </c>
    </row>
    <row r="24" ht="13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3428.0</v>
      </c>
      <c r="Z24" s="308">
        <v>1200.0</v>
      </c>
      <c r="AA24" s="56">
        <v>1.0</v>
      </c>
      <c r="AB24" s="57">
        <f>IF('17'!AA24=1,(('17'!Z24*'17'!$AS$6*'17'!$AT$6)/('17'!Y24*0.0036)),IF('17'!AA24=2,(('17'!Z24*'17'!$AS$7*'17'!$AT$7)/('17'!Y24*0.0036))))</f>
        <v>64.66355504</v>
      </c>
      <c r="AC24" s="57"/>
      <c r="AD24" s="154">
        <f>(('17'!AC24*'17'!$Q$10*1000000))/('17'!Y24*3600)</f>
        <v>0</v>
      </c>
      <c r="AE24" s="60"/>
      <c r="AF24" s="311">
        <f>('17'!AE24/24)*0.454</f>
        <v>0</v>
      </c>
      <c r="AG24" s="125"/>
      <c r="AH24" s="311">
        <f>('17'!AG24/24)*0.454</f>
        <v>0</v>
      </c>
      <c r="AI24" s="60">
        <v>5000.0</v>
      </c>
      <c r="AJ24" s="311">
        <f>('17'!AI24/24)*0.454</f>
        <v>94.58333333</v>
      </c>
      <c r="AK24" s="62"/>
      <c r="AL24" s="110">
        <f>('17'!AK24/24)*0.454</f>
        <v>0</v>
      </c>
      <c r="AM24" s="312"/>
      <c r="AN24" s="110">
        <f>('17'!AM24/24)*0.454</f>
        <v>0</v>
      </c>
      <c r="AO24" s="62"/>
      <c r="AP24" s="110">
        <f>('17'!AO24/24)*0.454</f>
        <v>0</v>
      </c>
    </row>
    <row r="25" ht="19.5" customHeight="1">
      <c r="A25" s="111">
        <v>0.416666666666667</v>
      </c>
      <c r="B25" s="108">
        <v>0.52</v>
      </c>
      <c r="C25" s="108">
        <v>0.49</v>
      </c>
      <c r="D25" s="108">
        <v>0.6</v>
      </c>
      <c r="E25" s="396">
        <v>0.55</v>
      </c>
      <c r="F25" s="396">
        <v>0.57</v>
      </c>
      <c r="G25" s="396" t="s">
        <v>132</v>
      </c>
      <c r="H25" s="396">
        <v>0.52</v>
      </c>
      <c r="I25" s="396">
        <v>0.48</v>
      </c>
      <c r="J25" s="396" t="s">
        <v>132</v>
      </c>
      <c r="K25" s="396">
        <v>0.39</v>
      </c>
      <c r="L25" s="396">
        <v>0.45</v>
      </c>
      <c r="M25" s="396">
        <v>0.41</v>
      </c>
      <c r="N25" s="396">
        <v>0.44</v>
      </c>
      <c r="O25" s="443">
        <v>0.42</v>
      </c>
      <c r="P25" s="443">
        <v>0.5</v>
      </c>
      <c r="Q25" s="443" t="s">
        <v>132</v>
      </c>
      <c r="R25" s="112" t="str">
        <f t="shared" ref="R25:R26" si="1">#DIV/0!</f>
        <v>#DIV/0!</v>
      </c>
      <c r="S25" s="113"/>
      <c r="T25" s="348" t="s">
        <v>0</v>
      </c>
      <c r="U25" s="361">
        <f>ESCALA!$A$19</f>
        <v>43938</v>
      </c>
      <c r="X25" s="54">
        <v>0.833333333333333</v>
      </c>
      <c r="Y25" s="125">
        <v>3443.0</v>
      </c>
      <c r="Z25" s="308">
        <v>1200.0</v>
      </c>
      <c r="AA25" s="56">
        <v>1.0</v>
      </c>
      <c r="AB25" s="58">
        <f>IF('17'!AA25=1,(('17'!Z25*'17'!$AS$6*'17'!$AT$6)/('17'!Y25*0.0036)),IF('17'!AA25=2,(('17'!Z25*'17'!$AS$7*'17'!$AT$7)/('17'!Y25*0.0036))))</f>
        <v>64.38183754</v>
      </c>
      <c r="AC25" s="58"/>
      <c r="AD25" s="59">
        <f>(('17'!AC25*'17'!$Q$10*1000000))/('17'!Y25*3600)</f>
        <v>0</v>
      </c>
      <c r="AE25" s="60"/>
      <c r="AF25" s="61">
        <f>('17'!AE25/24)*0.454</f>
        <v>0</v>
      </c>
      <c r="AG25" s="60"/>
      <c r="AH25" s="61">
        <f>('17'!AG25/24)*0.454</f>
        <v>0</v>
      </c>
      <c r="AI25" s="60">
        <v>5000.0</v>
      </c>
      <c r="AJ25" s="61">
        <f>('17'!AI25/24)*0.454</f>
        <v>94.58333333</v>
      </c>
      <c r="AK25" s="62"/>
      <c r="AL25" s="63">
        <f>('17'!AK25/24)*0.454</f>
        <v>0</v>
      </c>
      <c r="AM25" s="62"/>
      <c r="AN25" s="63">
        <f>('17'!AM25/24)*0.454</f>
        <v>0</v>
      </c>
      <c r="AO25" s="62"/>
      <c r="AP25" s="63">
        <f>('17'!AO25/24)*0.454</f>
        <v>0</v>
      </c>
    </row>
    <row r="26" ht="19.5" customHeight="1">
      <c r="A26" s="111">
        <v>0.666666666666667</v>
      </c>
      <c r="B26" s="108"/>
      <c r="C26" s="108"/>
      <c r="D26" s="10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125">
        <v>3444.0</v>
      </c>
      <c r="Z26" s="308">
        <v>1200.0</v>
      </c>
      <c r="AA26" s="56">
        <v>1.0</v>
      </c>
      <c r="AB26" s="58">
        <f>IF('17'!AA26=1,(('17'!Z26*'17'!$AS$6*'17'!$AT$6)/('17'!Y26*0.0036)),IF('17'!AA26=2,(('17'!Z26*'17'!$AS$7*'17'!$AT$7)/('17'!Y26*0.0036))))</f>
        <v>64.36314363</v>
      </c>
      <c r="AC26" s="58"/>
      <c r="AD26" s="59">
        <f>(('17'!AC26*'17'!$Q$10*1000000))/('17'!Y26*3600)</f>
        <v>0</v>
      </c>
      <c r="AE26" s="60"/>
      <c r="AF26" s="61">
        <f>('17'!AE26/24)*0.454</f>
        <v>0</v>
      </c>
      <c r="AG26" s="60"/>
      <c r="AH26" s="61">
        <f>('17'!AG26/24)*0.454</f>
        <v>0</v>
      </c>
      <c r="AI26" s="60">
        <v>5000.0</v>
      </c>
      <c r="AJ26" s="61">
        <f>('17'!AI26/24)*0.454</f>
        <v>94.58333333</v>
      </c>
      <c r="AK26" s="62"/>
      <c r="AL26" s="63">
        <f>('17'!AK26/24)*0.454</f>
        <v>0</v>
      </c>
      <c r="AM26" s="62"/>
      <c r="AN26" s="63">
        <f>('17'!AM26/24)*0.454</f>
        <v>0</v>
      </c>
      <c r="AO26" s="62"/>
      <c r="AP26" s="63">
        <f>('17'!AO26/24)*0.454</f>
        <v>0</v>
      </c>
    </row>
    <row r="27" ht="13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3442.0</v>
      </c>
      <c r="Z27" s="308">
        <v>1200.0</v>
      </c>
      <c r="AA27" s="56">
        <v>1.0</v>
      </c>
      <c r="AB27" s="58">
        <f>IF('17'!AA27=1,(('17'!Z27*'17'!$AS$6*'17'!$AT$6)/('17'!Y27*0.0036)),IF('17'!AA27=2,(('17'!Z27*'17'!$AS$7*'17'!$AT$7)/('17'!Y27*0.0036))))</f>
        <v>64.40054232</v>
      </c>
      <c r="AC27" s="58"/>
      <c r="AD27" s="59">
        <f>(('17'!AC27*'17'!$Q$10*1000000))/('17'!Y27*3600)</f>
        <v>0</v>
      </c>
      <c r="AE27" s="60"/>
      <c r="AF27" s="61">
        <f>('17'!AE27/24)*0.454</f>
        <v>0</v>
      </c>
      <c r="AG27" s="60"/>
      <c r="AH27" s="61">
        <f>('17'!AG27/24)*0.454</f>
        <v>0</v>
      </c>
      <c r="AI27" s="60">
        <v>5000.0</v>
      </c>
      <c r="AJ27" s="61">
        <f>('17'!AI27/24)*0.454</f>
        <v>94.58333333</v>
      </c>
      <c r="AK27" s="62"/>
      <c r="AL27" s="63">
        <f>('17'!AK27/24)*0.454</f>
        <v>0</v>
      </c>
      <c r="AM27" s="62"/>
      <c r="AN27" s="63">
        <f>('17'!AM27/24)*0.454</f>
        <v>0</v>
      </c>
      <c r="AO27" s="62"/>
      <c r="AP27" s="63">
        <f>('17'!AO27/24)*0.454</f>
        <v>0</v>
      </c>
    </row>
    <row r="28" ht="17.25" customHeight="1">
      <c r="A28" s="444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3501.0</v>
      </c>
      <c r="Z28" s="308">
        <v>1200.0</v>
      </c>
      <c r="AA28" s="56">
        <v>1.0</v>
      </c>
      <c r="AB28" s="58">
        <f>IF('17'!AA28=1,(('17'!Z28*'17'!$AS$6*'17'!$AT$6)/('17'!Y28*0.0036)),IF('17'!AA28=2,(('17'!Z28*'17'!$AS$7*'17'!$AT$7)/('17'!Y28*0.0036))))</f>
        <v>63.31524326</v>
      </c>
      <c r="AC28" s="58"/>
      <c r="AD28" s="59">
        <f>(('17'!AC28*'17'!$Q$10*1000000))/('17'!Y28*3600)</f>
        <v>0</v>
      </c>
      <c r="AE28" s="60"/>
      <c r="AF28" s="61">
        <f>('17'!AE28/24)*0.454</f>
        <v>0</v>
      </c>
      <c r="AG28" s="60"/>
      <c r="AH28" s="61">
        <f>('17'!AG28/24)*0.454</f>
        <v>0</v>
      </c>
      <c r="AI28" s="60">
        <v>5000.0</v>
      </c>
      <c r="AJ28" s="61">
        <f>('17'!AI28/24)*0.454</f>
        <v>94.58333333</v>
      </c>
      <c r="AK28" s="62"/>
      <c r="AL28" s="63">
        <f>('17'!AK28/24)*0.454</f>
        <v>0</v>
      </c>
      <c r="AM28" s="62"/>
      <c r="AN28" s="63">
        <f>('17'!AM28/24)*0.454</f>
        <v>0</v>
      </c>
      <c r="AO28" s="62"/>
      <c r="AP28" s="63">
        <f>('17'!AO28/24)*0.454</f>
        <v>0</v>
      </c>
    </row>
    <row r="29" ht="13.5" customHeight="1">
      <c r="A29" s="445" t="s">
        <v>148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3454.0</v>
      </c>
      <c r="Z29" s="308">
        <v>1200.0</v>
      </c>
      <c r="AA29" s="56">
        <v>1.0</v>
      </c>
      <c r="AB29" s="58">
        <f>IF('17'!AA29=1,(('17'!Z29*'17'!$AS$6*'17'!$AT$6)/('17'!Y29*0.0036)),IF('17'!AA29=2,(('17'!Z29*'17'!$AS$7*'17'!$AT$7)/('17'!Y29*0.0036))))</f>
        <v>64.17679985</v>
      </c>
      <c r="AC29" s="58"/>
      <c r="AD29" s="59">
        <f>(('17'!AC29*'17'!$Q$10*1000000))/('17'!Y29*3600)</f>
        <v>0</v>
      </c>
      <c r="AE29" s="60"/>
      <c r="AF29" s="61">
        <f>('17'!AE29/24)*0.454</f>
        <v>0</v>
      </c>
      <c r="AG29" s="60"/>
      <c r="AH29" s="61">
        <f>('17'!AG29/24)*0.454</f>
        <v>0</v>
      </c>
      <c r="AI29" s="60">
        <v>5000.0</v>
      </c>
      <c r="AJ29" s="61">
        <f>('17'!AI29/24)*0.454</f>
        <v>94.58333333</v>
      </c>
      <c r="AK29" s="62"/>
      <c r="AL29" s="63">
        <f>('17'!AK29/24)*0.454</f>
        <v>0</v>
      </c>
      <c r="AM29" s="62"/>
      <c r="AN29" s="63">
        <f>('17'!AM29/24)*0.454</f>
        <v>0</v>
      </c>
      <c r="AO29" s="62"/>
      <c r="AP29" s="63">
        <f>('17'!AO29/24)*0.454</f>
        <v>0</v>
      </c>
    </row>
    <row r="30" ht="13.5" customHeight="1">
      <c r="A30" s="43"/>
      <c r="U30" s="27"/>
      <c r="X30" s="130" t="s">
        <v>55</v>
      </c>
      <c r="Y30" s="131">
        <f>SUM('17'!Y6:Y29)*3.6</f>
        <v>293976</v>
      </c>
      <c r="Z30" s="132">
        <f>SUM('17'!Z6:Z29)</f>
        <v>28800</v>
      </c>
      <c r="AA30" s="133"/>
      <c r="AB30" s="132"/>
      <c r="AC30" s="133"/>
      <c r="AD30" s="132"/>
      <c r="AE30" s="60"/>
      <c r="AF30" s="61">
        <f>SUM('17'!AF6:AF29)</f>
        <v>0</v>
      </c>
      <c r="AG30" s="60"/>
      <c r="AH30" s="61">
        <f>SUM('17'!AH6:AH29)</f>
        <v>0</v>
      </c>
      <c r="AI30" s="60"/>
      <c r="AJ30" s="61">
        <f>SUM('17'!AJ6:AJ29)</f>
        <v>2156.5</v>
      </c>
      <c r="AK30" s="62"/>
      <c r="AL30" s="63">
        <f>SUM('17'!AL6:AL29)</f>
        <v>0</v>
      </c>
      <c r="AM30" s="62"/>
      <c r="AN30" s="63">
        <f>SUM('17'!AN6:AN29)</f>
        <v>0</v>
      </c>
      <c r="AO30" s="62"/>
      <c r="AP30" s="63">
        <f>SUM('17'!AP6:AP29)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SUMIF('17'!AA6:AA29,"=1",'17'!Z6:Z29)</f>
        <v>28800</v>
      </c>
      <c r="AA32" s="132">
        <f>'17'!Z32*'17'!AS6</f>
        <v>38304</v>
      </c>
      <c r="AB32" s="139">
        <f>SUMIF('17'!$AA$6:$AA$29,"=1",'17'!$AB$6:$AB$29)/COUNTIF('17'!$AA$6:$AA$29,"=1")</f>
        <v>65.1731898</v>
      </c>
      <c r="AC32" s="140">
        <f>SUMIF('17'!AA6:AA29,"=1",'17'!AC6:AC29)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SUMIF('17'!AA6:AA29,"=2",'17'!Z6:Z29)</f>
        <v>0</v>
      </c>
      <c r="AA33" s="132">
        <f>'17'!Z33*'17'!AS7</f>
        <v>0</v>
      </c>
      <c r="AB33" s="139" t="str">
        <f>SUMIF('17'!$AA$6:$AA$29,"=2",'17'!$AB$6:$AB$29)/COUNTIF('17'!$AA$6:$AA$29,"=2")</f>
        <v>#DIV/0!</v>
      </c>
      <c r="AC33" s="145">
        <f>SUMIF('17'!AA6:AA29,"=2",'17'!AC6:AC29)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AVERAGE('17'!Y6:Y29)</f>
        <v>3402.5</v>
      </c>
      <c r="Z34" s="56">
        <f>AVERAGE('17'!Z6:Z29)</f>
        <v>1200</v>
      </c>
      <c r="AA34" s="152"/>
      <c r="AB34" s="152"/>
      <c r="AC34" s="153" t="str">
        <f>SUM('17'!AC6:AC29)/COUNTIF('17'!AC6:AC29,"&lt;&gt;0")</f>
        <v>#DIV/0!</v>
      </c>
      <c r="AD34" s="154" t="str">
        <f>SUM('17'!AD6:AD29)/COUNTIF('17'!AD6:AD29,"&lt;&gt;0")</f>
        <v>#DIV/0!</v>
      </c>
      <c r="AE34" s="133"/>
      <c r="AF34" s="153">
        <f>AVERAGE('17'!AF6:AF29)</f>
        <v>0</v>
      </c>
      <c r="AG34" s="153"/>
      <c r="AH34" s="153">
        <f>AVERAGE('17'!AH6:AH29)</f>
        <v>0</v>
      </c>
      <c r="AI34" s="153"/>
      <c r="AJ34" s="153">
        <f>'17'!AJ30/24</f>
        <v>89.85416667</v>
      </c>
      <c r="AK34" s="153"/>
      <c r="AL34" s="153">
        <f>AVERAGE('17'!AL6:AL29)</f>
        <v>0</v>
      </c>
      <c r="AM34" s="153"/>
      <c r="AN34" s="153">
        <f>AVERAGE('17'!AN6:AN29)</f>
        <v>0</v>
      </c>
      <c r="AO34" s="153"/>
      <c r="AP34" s="153">
        <f>AVERAGE('17'!AP6:AP29)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E36" s="446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58.2</v>
      </c>
      <c r="D37" s="76">
        <v>34.1</v>
      </c>
      <c r="E37" s="76">
        <v>25.1</v>
      </c>
      <c r="F37" s="76">
        <v>1.0</v>
      </c>
      <c r="G37" s="76">
        <v>0.2</v>
      </c>
      <c r="H37" s="76">
        <v>0.1</v>
      </c>
      <c r="I37" s="60">
        <v>0.15</v>
      </c>
      <c r="J37" s="360">
        <v>0.1</v>
      </c>
      <c r="K37" s="360">
        <v>0.03</v>
      </c>
      <c r="L37" s="52"/>
      <c r="M37" s="106"/>
      <c r="N37" s="157"/>
      <c r="O37" s="51"/>
      <c r="P37" s="51"/>
      <c r="Q37" s="51"/>
      <c r="R37" s="51"/>
      <c r="S37" s="51"/>
      <c r="T37" s="51"/>
      <c r="U37" s="365" t="str">
        <f>'17'!V12</f>
        <v/>
      </c>
      <c r="X37" s="169" t="s">
        <v>75</v>
      </c>
      <c r="Y37" s="128"/>
      <c r="Z37" s="170">
        <f>COUNTA('17'!Z6:Z29)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SUM('17'!AF30+'17'!AH30)</f>
        <v>0</v>
      </c>
      <c r="AL38" s="178" t="s">
        <v>78</v>
      </c>
      <c r="AM38" s="179">
        <f>SUM('17'!AL30+'17'!AN30)</f>
        <v>0</v>
      </c>
      <c r="AO38" s="178" t="s">
        <v>78</v>
      </c>
      <c r="AP38" s="180">
        <f>'17'!AJ30</f>
        <v>2156.5</v>
      </c>
      <c r="AQ38" s="178" t="s">
        <v>78</v>
      </c>
      <c r="AR38" s="179">
        <f>'17'!AP30</f>
        <v>0</v>
      </c>
    </row>
    <row r="39" ht="16.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447"/>
      <c r="V39" s="97"/>
      <c r="X39" s="174"/>
      <c r="Y39" s="174"/>
      <c r="Z39" s="175"/>
      <c r="AA39" s="171"/>
      <c r="AB39" s="171"/>
      <c r="AJ39" s="325" t="s">
        <v>86</v>
      </c>
      <c r="AK39" s="326">
        <f>('17'!AK38/'17'!Y30)*1000</f>
        <v>0</v>
      </c>
      <c r="AL39" s="327" t="s">
        <v>86</v>
      </c>
      <c r="AM39" s="328">
        <f>('17'!AM38/'17'!Y30)*1000</f>
        <v>0</v>
      </c>
      <c r="AO39" s="325" t="s">
        <v>86</v>
      </c>
      <c r="AP39" s="326">
        <f>('17'!AP38/'17'!Y30)*1000</f>
        <v>7.335632841</v>
      </c>
      <c r="AQ39" s="327" t="s">
        <v>86</v>
      </c>
      <c r="AR39" s="328">
        <f>('17'!AR38/'17'!Y30)*1000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448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SUM('17'!AK38,'17'!AM38)</f>
        <v>0</v>
      </c>
      <c r="AM40" s="128"/>
      <c r="AO40" s="210" t="s">
        <v>90</v>
      </c>
      <c r="AP40" s="128"/>
      <c r="AQ40" s="211">
        <f>SUM('17'!AP38,'17'!AR38)</f>
        <v>2156.5</v>
      </c>
      <c r="AR40" s="128"/>
    </row>
    <row r="41" ht="16.5" customHeight="1">
      <c r="A41" s="212">
        <f>COUNTA('17'!E7:E18)</f>
        <v>12</v>
      </c>
      <c r="B41" s="213">
        <f>COUNTA('17'!I7:I18)</f>
        <v>12</v>
      </c>
      <c r="C41" s="214">
        <f>COUNTA('17'!J7:J18)</f>
        <v>12</v>
      </c>
      <c r="D41" s="80"/>
      <c r="E41" s="214">
        <f>COUNTIF('17'!E7:E18,"&gt;15")</f>
        <v>0</v>
      </c>
      <c r="F41" s="80"/>
      <c r="G41" s="214">
        <f>COUNTIF('17'!J7:J18,"&gt;1")</f>
        <v>2</v>
      </c>
      <c r="H41" s="80"/>
      <c r="I41" s="215"/>
      <c r="J41" s="214">
        <f>'17'!A41-'17'!E41</f>
        <v>12</v>
      </c>
      <c r="K41" s="80"/>
      <c r="L41" s="214">
        <f>'17'!C41-'17'!G41</f>
        <v>10</v>
      </c>
      <c r="M41" s="80"/>
      <c r="N41" s="215"/>
      <c r="O41" s="216">
        <f>COUNTIF('17'!J7:J18,"&lt;=0,5")</f>
        <v>3</v>
      </c>
      <c r="P41" s="217"/>
      <c r="Q41" s="218"/>
      <c r="R41" s="219"/>
      <c r="S41" s="220">
        <f>COUNTIF('17'!J7:J18,"&lt;=1,0")</f>
        <v>10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SUM(('17'!AK38+'17'!AM38)/'17'!Y30)*1000</f>
        <v>0</v>
      </c>
      <c r="AM41" s="128"/>
      <c r="AO41" s="210" t="s">
        <v>91</v>
      </c>
      <c r="AP41" s="128"/>
      <c r="AQ41" s="223">
        <f>SUM(('17'!AP38+'17'!AR38)/'17'!Y30)*1000</f>
        <v>7.335632841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SUM('17'!Y45,'17'!AA45,'17'!AC45,'17'!AE45)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COUNTIF('17'!I7:I18,"&lt;=5,0")</f>
        <v>12</v>
      </c>
      <c r="I45" s="127"/>
      <c r="J45" s="128"/>
      <c r="K45" s="215"/>
      <c r="L45" s="208">
        <f>COUNTA('17'!L37)</f>
        <v>0</v>
      </c>
      <c r="M45" s="128"/>
      <c r="O45" s="248"/>
      <c r="P45" s="249"/>
      <c r="Q45" s="250">
        <f>'17'!S41-'17'!O41</f>
        <v>7</v>
      </c>
      <c r="R45" s="251"/>
      <c r="S45" s="252"/>
      <c r="T45" s="253"/>
      <c r="X45" s="133" t="s">
        <v>104</v>
      </c>
      <c r="Y45" s="254">
        <f>'17'!Y44*275.3</f>
        <v>0</v>
      </c>
      <c r="Z45" s="133" t="s">
        <v>104</v>
      </c>
      <c r="AA45" s="254">
        <f>262.4*'17'!AA44</f>
        <v>0</v>
      </c>
      <c r="AB45" s="133" t="s">
        <v>104</v>
      </c>
      <c r="AC45" s="254">
        <f>'17'!AC44*277.7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343"/>
      <c r="AP45" s="233"/>
      <c r="AQ45" s="233"/>
      <c r="AR45" s="89"/>
    </row>
    <row r="46" ht="15.0" customHeight="1">
      <c r="F46" s="257"/>
      <c r="X46" s="196" t="s">
        <v>105</v>
      </c>
      <c r="Y46" s="258">
        <f>'17'!AS6</f>
        <v>1.33</v>
      </c>
      <c r="Z46" s="196" t="s">
        <v>105</v>
      </c>
      <c r="AA46" s="258">
        <f>'17'!Y46</f>
        <v>1.33</v>
      </c>
      <c r="AB46" s="196" t="s">
        <v>105</v>
      </c>
      <c r="AC46" s="258">
        <f>'17'!Y46</f>
        <v>1.33</v>
      </c>
      <c r="AD46" s="196" t="s">
        <v>105</v>
      </c>
      <c r="AE46" s="259">
        <f>'17'!Y46</f>
        <v>1.33</v>
      </c>
      <c r="AF46" s="260" t="s">
        <v>106</v>
      </c>
      <c r="AG46" s="261">
        <f>SUM('17'!Y47,'17'!AA47,'17'!AC47,'17'!AE47)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'17'!Y45*'17'!Y46</f>
        <v>0</v>
      </c>
      <c r="Z47" s="133" t="s">
        <v>108</v>
      </c>
      <c r="AA47" s="254">
        <f>'17'!AA45*'17'!AA46</f>
        <v>0</v>
      </c>
      <c r="AB47" s="133" t="s">
        <v>108</v>
      </c>
      <c r="AC47" s="254">
        <f>'17'!AC45*'17'!AC46</f>
        <v>0</v>
      </c>
      <c r="AD47" s="133" t="s">
        <v>108</v>
      </c>
      <c r="AE47" s="254">
        <f>'17'!AE45*'17'!AE46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262.4*'3'!AL46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'3'!AJ48</f>
        <v>1.33</v>
      </c>
      <c r="AM48" s="265" t="s">
        <v>105</v>
      </c>
      <c r="AN48" s="258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'3'!AL47*'3'!AL48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COUNTA('17'!O7:O18)</f>
        <v>12</v>
      </c>
      <c r="P51" s="128"/>
      <c r="R51" s="247">
        <f>COUNTIF('17'!O7:O18,"&gt;=0,5")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SUM('17'!Y53,'17'!AA53,'17'!AC53,'17'!AE53)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343" t="s">
        <v>102</v>
      </c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'17'!Y52*275.3</f>
        <v>0</v>
      </c>
      <c r="Z53" s="133" t="s">
        <v>104</v>
      </c>
      <c r="AA53" s="254">
        <f>262.4*'17'!AA52</f>
        <v>0</v>
      </c>
      <c r="AB53" s="133" t="s">
        <v>104</v>
      </c>
      <c r="AC53" s="276">
        <f>'17'!AC52*277.7</f>
        <v>0</v>
      </c>
      <c r="AD53" s="133" t="s">
        <v>104</v>
      </c>
      <c r="AE53" s="352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'17'!AS7</f>
        <v>1.377</v>
      </c>
      <c r="Z54" s="196" t="s">
        <v>105</v>
      </c>
      <c r="AA54" s="258">
        <f>'17'!Y54</f>
        <v>1.377</v>
      </c>
      <c r="AB54" s="196" t="s">
        <v>105</v>
      </c>
      <c r="AC54" s="258">
        <f>'17'!Y54</f>
        <v>1.377</v>
      </c>
      <c r="AD54" s="196" t="s">
        <v>105</v>
      </c>
      <c r="AE54" s="259">
        <f>'17'!Y54</f>
        <v>1.377</v>
      </c>
      <c r="AF54" s="260" t="s">
        <v>106</v>
      </c>
      <c r="AG54" s="261">
        <f>SUM('17'!Y55,'17'!AA55,'17'!AC55,'17'!AE55)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262.4*'3'!AL53</f>
        <v>0</v>
      </c>
      <c r="AM54" s="133" t="s">
        <v>104</v>
      </c>
      <c r="AN54" s="276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'17'!Y53*'17'!Y54</f>
        <v>0</v>
      </c>
      <c r="Z55" s="133" t="s">
        <v>108</v>
      </c>
      <c r="AA55" s="254">
        <f>'17'!AA53*'17'!AA54</f>
        <v>0</v>
      </c>
      <c r="AB55" s="133" t="s">
        <v>108</v>
      </c>
      <c r="AC55" s="254">
        <f>'17'!AC53*'17'!AC54</f>
        <v>0</v>
      </c>
      <c r="AD55" s="133" t="s">
        <v>108</v>
      </c>
      <c r="AE55" s="254">
        <f>'17'!AE53*'17'!AE54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>
        <f>AJ55</f>
        <v>1.377</v>
      </c>
      <c r="AM55" s="196" t="s">
        <v>105</v>
      </c>
      <c r="AN55" s="258">
        <f>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'3'!AL54*'3'!AL55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COUNTA('17'!N7:N18)</f>
        <v>12</v>
      </c>
      <c r="P57" s="128"/>
      <c r="R57" s="277">
        <f>COUNTIF('17'!N7:N18,"&gt;=6")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38304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-38304</v>
      </c>
      <c r="AR63" s="80"/>
    </row>
    <row r="64" ht="15.0" customHeight="1">
      <c r="X64" s="294"/>
      <c r="Y64" s="295"/>
      <c r="Z64" s="43"/>
      <c r="AA64" s="27"/>
      <c r="AB64" s="296" t="s">
        <v>135</v>
      </c>
      <c r="AC64" s="125"/>
    </row>
    <row r="65" ht="39.0" customHeight="1">
      <c r="X65" s="297" t="s">
        <v>126</v>
      </c>
      <c r="Y65" s="298">
        <f>'16'!$Y$68</f>
        <v>-19957.08333</v>
      </c>
      <c r="Z65" s="43"/>
      <c r="AA65" s="27"/>
      <c r="AB65" s="299" t="s">
        <v>126</v>
      </c>
      <c r="AC65" s="330">
        <f>'16'!$AC$68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SUM('17'!AK38,'17'!AP38)</f>
        <v>2156.5</v>
      </c>
      <c r="Z67" s="43"/>
      <c r="AA67" s="27"/>
      <c r="AB67" s="296" t="s">
        <v>124</v>
      </c>
      <c r="AC67" s="254">
        <f>SUM('17'!AM38,'17'!AR38)</f>
        <v>0</v>
      </c>
    </row>
    <row r="68" ht="15.75" customHeight="1">
      <c r="X68" s="294" t="s">
        <v>128</v>
      </c>
      <c r="Y68" s="301">
        <f>SUM('17'!Y63,'17'!Y65)-'17'!Y67</f>
        <v>-22113.58333</v>
      </c>
      <c r="Z68" s="16"/>
      <c r="AA68" s="18"/>
      <c r="AB68" s="296" t="s">
        <v>128</v>
      </c>
      <c r="AC68" s="302">
        <f>SUM('17'!AC63,'17'!AC65)-'17'!AC67-'17'!AC64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19: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8.57"/>
    <col customWidth="1" min="19" max="19" width="8.29"/>
    <col customWidth="1" min="20" max="20" width="8.71"/>
    <col customWidth="1" min="21" max="21" width="8.14"/>
    <col customWidth="1" min="22" max="22" width="8.57"/>
    <col customWidth="1" min="23" max="23" width="8.71"/>
    <col customWidth="1" min="24" max="24" width="8.57"/>
    <col customWidth="1" min="25" max="25" width="10.14"/>
    <col customWidth="1" min="26" max="26" width="8.71"/>
    <col customWidth="1" min="27" max="27" width="6.14"/>
    <col customWidth="1" min="28" max="47" width="8.57"/>
  </cols>
  <sheetData>
    <row r="1" ht="15.75" customHeight="1"/>
    <row r="2" ht="15.0" customHeight="1">
      <c r="A2" s="10"/>
      <c r="B2" s="11"/>
      <c r="C2" s="12"/>
      <c r="D2" s="1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449" t="s">
        <v>12</v>
      </c>
      <c r="S4" s="23"/>
      <c r="T4" s="450" t="s">
        <v>13</v>
      </c>
      <c r="U4" s="451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3468.0</v>
      </c>
      <c r="Z6" s="60">
        <v>1200.0</v>
      </c>
      <c r="AA6" s="125">
        <v>1.0</v>
      </c>
      <c r="AB6" s="58">
        <f>IF('18'!AA6=1,(('18'!Z6*'18'!$AS$6*'18'!$AT$6)/('18'!Y6*0.0036)),IF('18'!AA6=2,(('18'!Z6*'18'!$AS$7*'18'!$AT$7)/('18'!Y6*0.0036))))</f>
        <v>63.91772395</v>
      </c>
      <c r="AC6" s="58"/>
      <c r="AD6" s="59">
        <f>(('18'!AC6*'18'!$Q$10*1000000))/('18'!Y6*3600)</f>
        <v>0</v>
      </c>
      <c r="AE6" s="60"/>
      <c r="AF6" s="61">
        <f>('18'!AE6/24)*0.454</f>
        <v>0</v>
      </c>
      <c r="AG6" s="60"/>
      <c r="AH6" s="61">
        <f>('18'!AG6/24)*0.454</f>
        <v>0</v>
      </c>
      <c r="AI6" s="60">
        <v>5000.0</v>
      </c>
      <c r="AJ6" s="61">
        <f>('18'!AI6/24)*0.454</f>
        <v>94.58333333</v>
      </c>
      <c r="AK6" s="62"/>
      <c r="AL6" s="63">
        <f>('18'!AK6/24)*0.454</f>
        <v>0</v>
      </c>
      <c r="AM6" s="62"/>
      <c r="AN6" s="63">
        <f>('18'!AM6/24)*0.454</f>
        <v>0</v>
      </c>
      <c r="AO6" s="62"/>
      <c r="AP6" s="63">
        <f>('18'!AO6/24)*0.454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86.0</v>
      </c>
      <c r="C7" s="76">
        <v>16.0</v>
      </c>
      <c r="D7" s="76">
        <v>14.0</v>
      </c>
      <c r="E7" s="76">
        <v>7.0</v>
      </c>
      <c r="F7" s="76">
        <v>17.0</v>
      </c>
      <c r="G7" s="76">
        <v>1.6</v>
      </c>
      <c r="H7" s="76">
        <v>1.3</v>
      </c>
      <c r="I7" s="76">
        <v>0.9</v>
      </c>
      <c r="J7" s="76">
        <v>0.9</v>
      </c>
      <c r="K7" s="76">
        <v>6.9</v>
      </c>
      <c r="L7" s="76">
        <v>6.5</v>
      </c>
      <c r="M7" s="76">
        <v>6.5</v>
      </c>
      <c r="N7" s="76">
        <v>6.2</v>
      </c>
      <c r="O7" s="76">
        <v>3.0</v>
      </c>
      <c r="P7" s="76"/>
      <c r="Q7" s="310"/>
      <c r="R7" s="77">
        <f>'17'!$Z$29</f>
        <v>1200</v>
      </c>
      <c r="S7" s="309">
        <f>'17'!$AB$29</f>
        <v>64.17679985</v>
      </c>
      <c r="T7" s="77">
        <f>'17'!$Y$29</f>
        <v>3454</v>
      </c>
      <c r="U7" s="73" t="str">
        <f>IF('19'!AA6=1,'19'!AR6,'19'!AR7)</f>
        <v>S.A.L</v>
      </c>
      <c r="V7" s="452" t="str">
        <f>ESCALA!$C$19</f>
        <v/>
      </c>
      <c r="W7" s="12"/>
      <c r="X7" s="54">
        <v>0.0833333333333333</v>
      </c>
      <c r="Y7" s="125">
        <v>3509.0</v>
      </c>
      <c r="Z7" s="60">
        <v>1200.0</v>
      </c>
      <c r="AA7" s="125">
        <v>1.0</v>
      </c>
      <c r="AB7" s="58">
        <f>IF('18'!AA7=1,(('18'!Z7*'18'!$AS$6*'18'!$AT$6)/('18'!Y7*0.0036)),IF('18'!AA7=2,(('18'!Z7*'18'!$AS$7*'18'!$AT$7)/('18'!Y7*0.0036))))</f>
        <v>63.17089389</v>
      </c>
      <c r="AC7" s="58"/>
      <c r="AD7" s="59">
        <f>(('18'!AC7*'18'!$Q$10*1000000))/('18'!Y7*3600)</f>
        <v>0</v>
      </c>
      <c r="AE7" s="60"/>
      <c r="AF7" s="61">
        <f>('18'!AE7/24)*0.454</f>
        <v>0</v>
      </c>
      <c r="AG7" s="60"/>
      <c r="AH7" s="61">
        <f>('18'!AG7/24)*0.454</f>
        <v>0</v>
      </c>
      <c r="AI7" s="60">
        <v>5000.0</v>
      </c>
      <c r="AJ7" s="61">
        <f>('18'!AI7/24)*0.454</f>
        <v>94.58333333</v>
      </c>
      <c r="AK7" s="62"/>
      <c r="AL7" s="63">
        <f>('18'!AK7/24)*0.454</f>
        <v>0</v>
      </c>
      <c r="AM7" s="62"/>
      <c r="AN7" s="63">
        <f>('18'!AM7/24)*0.454</f>
        <v>0</v>
      </c>
      <c r="AO7" s="62"/>
      <c r="AP7" s="63">
        <f>('18'!AO7/24)*0.454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84.0</v>
      </c>
      <c r="C8" s="76">
        <v>15.0</v>
      </c>
      <c r="D8" s="76">
        <v>13.0</v>
      </c>
      <c r="E8" s="76">
        <v>7.0</v>
      </c>
      <c r="F8" s="76">
        <v>16.0</v>
      </c>
      <c r="G8" s="76">
        <v>1.5</v>
      </c>
      <c r="H8" s="76">
        <v>1.2</v>
      </c>
      <c r="I8" s="76">
        <v>0.8</v>
      </c>
      <c r="J8" s="76">
        <v>0.9</v>
      </c>
      <c r="K8" s="76">
        <v>6.9</v>
      </c>
      <c r="L8" s="76">
        <v>6.5</v>
      </c>
      <c r="M8" s="76">
        <v>6.5</v>
      </c>
      <c r="N8" s="76">
        <v>6.2</v>
      </c>
      <c r="O8" s="76">
        <v>3.0</v>
      </c>
      <c r="P8" s="76"/>
      <c r="Q8" s="310"/>
      <c r="R8" s="75">
        <f>'18'!Z7</f>
        <v>1200</v>
      </c>
      <c r="S8" s="76">
        <f>'18'!AB7</f>
        <v>63.17089389</v>
      </c>
      <c r="T8" s="77">
        <f>'18'!Y7</f>
        <v>3509</v>
      </c>
      <c r="U8" s="73" t="str">
        <f>IF('19'!AA7=1,'19'!AR6,'19'!AR7)</f>
        <v>S.A.L</v>
      </c>
      <c r="V8" s="43"/>
      <c r="W8" s="27"/>
      <c r="X8" s="54">
        <v>0.125</v>
      </c>
      <c r="Y8" s="125">
        <v>3441.0</v>
      </c>
      <c r="Z8" s="60">
        <v>1200.0</v>
      </c>
      <c r="AA8" s="125">
        <v>1.0</v>
      </c>
      <c r="AB8" s="58">
        <f>IF('18'!AA8=1,(('18'!Z8*'18'!$AS$6*'18'!$AT$6)/('18'!Y8*0.0036)),IF('18'!AA8=2,(('18'!Z8*'18'!$AS$7*'18'!$AT$7)/('18'!Y8*0.0036))))</f>
        <v>64.41925797</v>
      </c>
      <c r="AC8" s="58"/>
      <c r="AD8" s="59">
        <f>(('18'!AC8*'18'!$Q$10*1000000))/('18'!Y8*3600)</f>
        <v>0</v>
      </c>
      <c r="AE8" s="60"/>
      <c r="AF8" s="61">
        <f>('18'!AE8/24)*0.454</f>
        <v>0</v>
      </c>
      <c r="AG8" s="60"/>
      <c r="AH8" s="61">
        <f>('18'!AG8/24)*0.454</f>
        <v>0</v>
      </c>
      <c r="AI8" s="60">
        <v>5000.0</v>
      </c>
      <c r="AJ8" s="61">
        <f>('18'!AI8/24)*0.454</f>
        <v>94.58333333</v>
      </c>
      <c r="AK8" s="62"/>
      <c r="AL8" s="63">
        <f>('18'!AK8/24)*0.454</f>
        <v>0</v>
      </c>
      <c r="AM8" s="62"/>
      <c r="AN8" s="63">
        <f>('18'!AM8/24)*0.454</f>
        <v>0</v>
      </c>
      <c r="AO8" s="62"/>
      <c r="AP8" s="63">
        <f>('18'!AO8/24)*0.454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86.0</v>
      </c>
      <c r="C9" s="76">
        <v>15.0</v>
      </c>
      <c r="D9" s="76">
        <v>13.0</v>
      </c>
      <c r="E9" s="76">
        <v>7.0</v>
      </c>
      <c r="F9" s="76">
        <v>14.0</v>
      </c>
      <c r="G9" s="76">
        <v>1.6</v>
      </c>
      <c r="H9" s="76">
        <v>1.1</v>
      </c>
      <c r="I9" s="76">
        <v>0.8</v>
      </c>
      <c r="J9" s="76">
        <v>0.8</v>
      </c>
      <c r="K9" s="76">
        <v>6.9</v>
      </c>
      <c r="L9" s="76">
        <v>6.5</v>
      </c>
      <c r="M9" s="76">
        <v>6.5</v>
      </c>
      <c r="N9" s="76">
        <v>6.2</v>
      </c>
      <c r="O9" s="76">
        <v>3.2</v>
      </c>
      <c r="P9" s="76"/>
      <c r="Q9" s="310"/>
      <c r="R9" s="77">
        <f>'18'!Z9</f>
        <v>1200</v>
      </c>
      <c r="S9" s="76">
        <f>'18'!AB9</f>
        <v>63.97306397</v>
      </c>
      <c r="T9" s="77">
        <f>'18'!Y9</f>
        <v>3465</v>
      </c>
      <c r="U9" s="73" t="str">
        <f>IF('19'!AA9=1,'19'!AR6,'19'!AR7)</f>
        <v>S.A.L</v>
      </c>
      <c r="V9" s="43"/>
      <c r="W9" s="27"/>
      <c r="X9" s="54">
        <v>0.166666666666667</v>
      </c>
      <c r="Y9" s="125">
        <v>3465.0</v>
      </c>
      <c r="Z9" s="60">
        <v>1200.0</v>
      </c>
      <c r="AA9" s="125">
        <v>1.0</v>
      </c>
      <c r="AB9" s="58">
        <f>IF('18'!AA9=1,(('18'!Z9*'18'!$AS$6*'18'!$AT$6)/('18'!Y9*0.0036)),IF('18'!AA9=2,(('18'!Z9*'18'!$AS$7*'18'!$AT$7)/('18'!Y9*0.0036))))</f>
        <v>63.97306397</v>
      </c>
      <c r="AC9" s="58"/>
      <c r="AD9" s="59">
        <f>(('18'!AC9*'18'!$Q$10*1000000))/('18'!Y9*3600)</f>
        <v>0</v>
      </c>
      <c r="AE9" s="60"/>
      <c r="AF9" s="61">
        <f>('18'!AE9/24)*0.454</f>
        <v>0</v>
      </c>
      <c r="AG9" s="60"/>
      <c r="AH9" s="61">
        <f>('18'!AG9/24)*0.454</f>
        <v>0</v>
      </c>
      <c r="AI9" s="60">
        <v>5000.0</v>
      </c>
      <c r="AJ9" s="61">
        <f>('18'!AI9/24)*0.454</f>
        <v>94.58333333</v>
      </c>
      <c r="AK9" s="62"/>
      <c r="AL9" s="63">
        <f>('18'!AK9/24)*0.454</f>
        <v>0</v>
      </c>
      <c r="AM9" s="62"/>
      <c r="AN9" s="63">
        <f>('18'!AM9/24)*0.454</f>
        <v>0</v>
      </c>
      <c r="AO9" s="62"/>
      <c r="AP9" s="63">
        <f>('18'!AO9/24)*0.454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80.0</v>
      </c>
      <c r="C10" s="76">
        <v>16.0</v>
      </c>
      <c r="D10" s="76">
        <v>14.0</v>
      </c>
      <c r="E10" s="76">
        <v>7.0</v>
      </c>
      <c r="F10" s="76">
        <v>15.0</v>
      </c>
      <c r="G10" s="76">
        <v>1.6</v>
      </c>
      <c r="H10" s="76">
        <v>1.1</v>
      </c>
      <c r="I10" s="76">
        <v>0.8</v>
      </c>
      <c r="J10" s="76">
        <v>0.8</v>
      </c>
      <c r="K10" s="76">
        <v>6.9</v>
      </c>
      <c r="L10" s="76">
        <v>6.5</v>
      </c>
      <c r="M10" s="76">
        <v>6.5</v>
      </c>
      <c r="N10" s="76">
        <v>6.2</v>
      </c>
      <c r="O10" s="76">
        <v>3.2</v>
      </c>
      <c r="P10" s="76"/>
      <c r="Q10" s="310"/>
      <c r="R10" s="77">
        <f>'18'!Z11</f>
        <v>1200</v>
      </c>
      <c r="S10" s="76">
        <f>'18'!AB11</f>
        <v>63.31524326</v>
      </c>
      <c r="T10" s="77">
        <f>'18'!Y11</f>
        <v>3501</v>
      </c>
      <c r="U10" s="73" t="str">
        <f>IF('19'!AA11=1,'19'!AR6,'19'!AR7)</f>
        <v>S.A.L</v>
      </c>
      <c r="V10" s="43"/>
      <c r="W10" s="27"/>
      <c r="X10" s="54">
        <v>0.208333333333333</v>
      </c>
      <c r="Y10" s="125">
        <v>3446.0</v>
      </c>
      <c r="Z10" s="60">
        <v>1200.0</v>
      </c>
      <c r="AA10" s="125">
        <v>1.0</v>
      </c>
      <c r="AB10" s="58">
        <f>IF('18'!AA10=1,(('18'!Z10*'18'!$AS$6*'18'!$AT$6)/('18'!Y10*0.0036)),IF('18'!AA10=2,(('18'!Z10*'18'!$AS$7*'18'!$AT$7)/('18'!Y10*0.0036))))</f>
        <v>64.32578835</v>
      </c>
      <c r="AC10" s="58"/>
      <c r="AD10" s="59">
        <f>(('18'!AC10*'18'!$Q$10*1000000))/('18'!Y10*3600)</f>
        <v>0</v>
      </c>
      <c r="AE10" s="60"/>
      <c r="AF10" s="61">
        <f>('18'!AE10/24)*0.454</f>
        <v>0</v>
      </c>
      <c r="AG10" s="60"/>
      <c r="AH10" s="61">
        <f>('18'!AG10/24)*0.454</f>
        <v>0</v>
      </c>
      <c r="AI10" s="60">
        <v>5000.0</v>
      </c>
      <c r="AJ10" s="61">
        <f>('18'!AI10/24)*0.454</f>
        <v>94.58333333</v>
      </c>
      <c r="AK10" s="62"/>
      <c r="AL10" s="63">
        <f>('18'!AK10/24)*0.454</f>
        <v>0</v>
      </c>
      <c r="AM10" s="62"/>
      <c r="AN10" s="63">
        <f>('18'!AM10/24)*0.454</f>
        <v>0</v>
      </c>
      <c r="AO10" s="62"/>
      <c r="AP10" s="63">
        <f>('18'!AO10/24)*0.454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81.0</v>
      </c>
      <c r="C11" s="76">
        <v>16.0</v>
      </c>
      <c r="D11" s="76">
        <v>14.0</v>
      </c>
      <c r="E11" s="76">
        <v>6.0</v>
      </c>
      <c r="F11" s="76">
        <v>12.0</v>
      </c>
      <c r="G11" s="76">
        <v>1.5</v>
      </c>
      <c r="H11" s="76">
        <v>1.1</v>
      </c>
      <c r="I11" s="76">
        <v>0.6</v>
      </c>
      <c r="J11" s="76">
        <v>0.6</v>
      </c>
      <c r="K11" s="76">
        <v>7.0</v>
      </c>
      <c r="L11" s="76">
        <v>6.5</v>
      </c>
      <c r="M11" s="76">
        <v>6.5</v>
      </c>
      <c r="N11" s="76">
        <v>6.2</v>
      </c>
      <c r="O11" s="76">
        <v>3.0</v>
      </c>
      <c r="P11" s="76"/>
      <c r="Q11" s="310"/>
      <c r="R11" s="77">
        <f>'18'!Z13</f>
        <v>1200</v>
      </c>
      <c r="S11" s="76">
        <f>'18'!AB13</f>
        <v>65.62068285</v>
      </c>
      <c r="T11" s="77">
        <f>'18'!Y13</f>
        <v>3378</v>
      </c>
      <c r="U11" s="73" t="str">
        <f>IF('19'!AA13=1,'19'!AR6,'19'!AR7)</f>
        <v>S.A.L</v>
      </c>
      <c r="V11" s="16"/>
      <c r="W11" s="18"/>
      <c r="X11" s="54">
        <v>0.25</v>
      </c>
      <c r="Y11" s="125">
        <v>3501.0</v>
      </c>
      <c r="Z11" s="60">
        <v>1200.0</v>
      </c>
      <c r="AA11" s="125">
        <v>1.0</v>
      </c>
      <c r="AB11" s="58">
        <f>IF('18'!AA11=1,(('18'!Z11*'18'!$AS$6*'18'!$AT$6)/('18'!Y11*0.0036)),IF('18'!AA11=2,(('18'!Z11*'18'!$AS$7*'18'!$AT$7)/('18'!Y11*0.0036))))</f>
        <v>63.31524326</v>
      </c>
      <c r="AC11" s="58"/>
      <c r="AD11" s="59">
        <f>(('18'!AC11*'18'!$Q$10*1000000))/('18'!Y11*3600)</f>
        <v>0</v>
      </c>
      <c r="AE11" s="60"/>
      <c r="AF11" s="61">
        <f>('18'!AE11/24)*0.454</f>
        <v>0</v>
      </c>
      <c r="AG11" s="60"/>
      <c r="AH11" s="61">
        <f>('18'!AG11/24)*0.454</f>
        <v>0</v>
      </c>
      <c r="AI11" s="60">
        <v>5000.0</v>
      </c>
      <c r="AJ11" s="61">
        <f>('18'!AI11/24)*0.454</f>
        <v>94.58333333</v>
      </c>
      <c r="AK11" s="62"/>
      <c r="AL11" s="63">
        <f>('18'!AK11/24)*0.454</f>
        <v>0</v>
      </c>
      <c r="AM11" s="62"/>
      <c r="AN11" s="63">
        <f>('18'!AM11/24)*0.454</f>
        <v>0</v>
      </c>
      <c r="AO11" s="62"/>
      <c r="AP11" s="63">
        <f>('18'!AO11/24)*0.454</f>
        <v>0</v>
      </c>
    </row>
    <row r="12" ht="18.75" customHeight="1">
      <c r="A12" s="69">
        <v>0.416666666666667</v>
      </c>
      <c r="B12" s="76">
        <v>80.0</v>
      </c>
      <c r="C12" s="76">
        <v>16.0</v>
      </c>
      <c r="D12" s="76">
        <v>14.0</v>
      </c>
      <c r="E12" s="76">
        <v>6.0</v>
      </c>
      <c r="F12" s="76">
        <v>12.0</v>
      </c>
      <c r="G12" s="76">
        <v>1.5</v>
      </c>
      <c r="H12" s="76">
        <v>1.2</v>
      </c>
      <c r="I12" s="76">
        <v>0.6</v>
      </c>
      <c r="J12" s="76">
        <v>0.6</v>
      </c>
      <c r="K12" s="76">
        <v>7.0</v>
      </c>
      <c r="L12" s="76">
        <v>6.5</v>
      </c>
      <c r="M12" s="76">
        <v>6.5</v>
      </c>
      <c r="N12" s="76">
        <v>6.2</v>
      </c>
      <c r="O12" s="76">
        <v>2.8</v>
      </c>
      <c r="P12" s="76"/>
      <c r="Q12" s="310"/>
      <c r="R12" s="77">
        <f>'18'!Z15</f>
        <v>1200</v>
      </c>
      <c r="S12" s="76">
        <f>'18'!AB15</f>
        <v>65.54307116</v>
      </c>
      <c r="T12" s="77">
        <f>'18'!Y15</f>
        <v>3382</v>
      </c>
      <c r="U12" s="73" t="str">
        <f>IF('19'!AA15=1,'19'!AR6,'19'!AR7)</f>
        <v>S.A.L</v>
      </c>
      <c r="V12" s="453" t="str">
        <f>ESCALA!$B$20</f>
        <v/>
      </c>
      <c r="W12" s="89"/>
      <c r="X12" s="54">
        <v>0.291666666666667</v>
      </c>
      <c r="Y12" s="125">
        <v>3356.0</v>
      </c>
      <c r="Z12" s="60">
        <v>1200.0</v>
      </c>
      <c r="AA12" s="125">
        <v>1.0</v>
      </c>
      <c r="AB12" s="58">
        <f>IF('18'!AA12=1,(('18'!Z12*'18'!$AS$6*'18'!$AT$6)/('18'!Y12*0.0036)),IF('18'!AA12=2,(('18'!Z12*'18'!$AS$7*'18'!$AT$7)/('18'!Y12*0.0036))))</f>
        <v>66.05085419</v>
      </c>
      <c r="AC12" s="58"/>
      <c r="AD12" s="59">
        <f>(('18'!AC12*'18'!$Q$10*1000000))/('18'!Y12*3600)</f>
        <v>0</v>
      </c>
      <c r="AE12" s="60"/>
      <c r="AF12" s="61">
        <f>('18'!AE12/24)*0.454</f>
        <v>0</v>
      </c>
      <c r="AG12" s="60"/>
      <c r="AH12" s="61">
        <f>('18'!AG12/24)*0.454</f>
        <v>0</v>
      </c>
      <c r="AI12" s="60">
        <v>5000.0</v>
      </c>
      <c r="AJ12" s="61">
        <f>('18'!AI12/24)*0.454</f>
        <v>94.58333333</v>
      </c>
      <c r="AK12" s="62"/>
      <c r="AL12" s="63">
        <f>('18'!AK12/24)*0.454</f>
        <v>0</v>
      </c>
      <c r="AM12" s="62"/>
      <c r="AN12" s="63">
        <f>('18'!AM12/24)*0.454</f>
        <v>0</v>
      </c>
      <c r="AO12" s="62"/>
      <c r="AP12" s="63">
        <f>('18'!AO12/24)*0.454</f>
        <v>0</v>
      </c>
    </row>
    <row r="13" ht="18.75" customHeight="1">
      <c r="A13" s="69">
        <v>0.5</v>
      </c>
      <c r="B13" s="76">
        <v>82.0</v>
      </c>
      <c r="C13" s="76">
        <v>16.0</v>
      </c>
      <c r="D13" s="76">
        <v>14.0</v>
      </c>
      <c r="E13" s="76">
        <v>6.0</v>
      </c>
      <c r="F13" s="76">
        <v>13.0</v>
      </c>
      <c r="G13" s="76">
        <v>1.6</v>
      </c>
      <c r="H13" s="76">
        <v>1.2</v>
      </c>
      <c r="I13" s="76">
        <v>0.5</v>
      </c>
      <c r="J13" s="76">
        <v>0.6</v>
      </c>
      <c r="K13" s="76">
        <v>7.0</v>
      </c>
      <c r="L13" s="76">
        <v>6.5</v>
      </c>
      <c r="M13" s="76">
        <v>6.5</v>
      </c>
      <c r="N13" s="76">
        <v>6.2</v>
      </c>
      <c r="O13" s="76">
        <v>2.8</v>
      </c>
      <c r="P13" s="76"/>
      <c r="Q13" s="310"/>
      <c r="R13" s="77">
        <f>'18'!Z17</f>
        <v>1200</v>
      </c>
      <c r="S13" s="76">
        <f>'18'!AB17</f>
        <v>65.97222222</v>
      </c>
      <c r="T13" s="77">
        <f>'18'!Y17</f>
        <v>3360</v>
      </c>
      <c r="U13" s="73" t="str">
        <f>IF('19'!AA17=1,'19'!AR6,'19'!AR7)</f>
        <v>S.A.L</v>
      </c>
      <c r="V13" s="43"/>
      <c r="W13" s="27"/>
      <c r="X13" s="54">
        <v>0.333333333333333</v>
      </c>
      <c r="Y13" s="125">
        <v>3378.0</v>
      </c>
      <c r="Z13" s="60">
        <v>1200.0</v>
      </c>
      <c r="AA13" s="125">
        <v>1.0</v>
      </c>
      <c r="AB13" s="58">
        <f>IF('18'!AA13=1,(('18'!Z13*'18'!$AS$6*'18'!$AT$6)/('18'!Y13*0.0036)),IF('18'!AA13=2,(('18'!Z13*'18'!$AS$7*'18'!$AT$7)/('18'!Y13*0.0036))))</f>
        <v>65.62068285</v>
      </c>
      <c r="AC13" s="58"/>
      <c r="AD13" s="59">
        <f>(('18'!AC13*'18'!$Q$10*1000000))/('18'!Y13*3600)</f>
        <v>0</v>
      </c>
      <c r="AE13" s="60"/>
      <c r="AF13" s="61">
        <f>('18'!AE13/24)*0.454</f>
        <v>0</v>
      </c>
      <c r="AG13" s="60"/>
      <c r="AH13" s="61">
        <f>('18'!AG13/24)*0.454</f>
        <v>0</v>
      </c>
      <c r="AI13" s="60">
        <v>5000.0</v>
      </c>
      <c r="AJ13" s="61">
        <f>('18'!AI13/24)*0.454</f>
        <v>94.58333333</v>
      </c>
      <c r="AK13" s="62"/>
      <c r="AL13" s="63">
        <f>('18'!AK13/24)*0.454</f>
        <v>0</v>
      </c>
      <c r="AM13" s="62"/>
      <c r="AN13" s="63">
        <f>('18'!AM13/24)*0.454</f>
        <v>0</v>
      </c>
      <c r="AO13" s="62"/>
      <c r="AP13" s="63">
        <f>('18'!AO13/24)*0.454</f>
        <v>0</v>
      </c>
    </row>
    <row r="14" ht="18.75" customHeight="1">
      <c r="A14" s="69">
        <v>0.583333333333333</v>
      </c>
      <c r="B14" s="76">
        <v>84.0</v>
      </c>
      <c r="C14" s="76">
        <v>16.0</v>
      </c>
      <c r="D14" s="76">
        <v>14.0</v>
      </c>
      <c r="E14" s="76">
        <v>6.0</v>
      </c>
      <c r="F14" s="76">
        <v>13.0</v>
      </c>
      <c r="G14" s="76">
        <v>1.3</v>
      </c>
      <c r="H14" s="76">
        <v>1.1</v>
      </c>
      <c r="I14" s="76">
        <v>0.5</v>
      </c>
      <c r="J14" s="76">
        <v>0.6</v>
      </c>
      <c r="K14" s="76">
        <v>7.0</v>
      </c>
      <c r="L14" s="76">
        <v>6.5</v>
      </c>
      <c r="M14" s="76">
        <v>6.5</v>
      </c>
      <c r="N14" s="76">
        <v>6.2</v>
      </c>
      <c r="O14" s="76">
        <v>3.0</v>
      </c>
      <c r="P14" s="76"/>
      <c r="Q14" s="310"/>
      <c r="R14" s="77">
        <f>'18'!Z19</f>
        <v>1200</v>
      </c>
      <c r="S14" s="76">
        <f>'18'!AB19</f>
        <v>65.38839725</v>
      </c>
      <c r="T14" s="77">
        <f>'18'!Y19</f>
        <v>3390</v>
      </c>
      <c r="U14" s="73" t="str">
        <f>IF('19'!AA19=1,'19'!AR6,'19'!AR7)</f>
        <v>S.A.L</v>
      </c>
      <c r="V14" s="43"/>
      <c r="W14" s="27"/>
      <c r="X14" s="54">
        <v>0.375</v>
      </c>
      <c r="Y14" s="125">
        <v>3350.0</v>
      </c>
      <c r="Z14" s="60">
        <v>1200.0</v>
      </c>
      <c r="AA14" s="125">
        <v>1.0</v>
      </c>
      <c r="AB14" s="58">
        <f>IF('18'!AA14=1,(('18'!Z14*'18'!$AS$6*'18'!$AT$6)/('18'!Y14*0.0036)),IF('18'!AA14=2,(('18'!Z14*'18'!$AS$7*'18'!$AT$7)/('18'!Y14*0.0036))))</f>
        <v>66.16915423</v>
      </c>
      <c r="AC14" s="58"/>
      <c r="AD14" s="59">
        <f>(('18'!AC14*'18'!$Q$10*1000000))/('18'!Y14*3600)</f>
        <v>0</v>
      </c>
      <c r="AE14" s="60"/>
      <c r="AF14" s="61">
        <f>('18'!AE14/24)*0.454</f>
        <v>0</v>
      </c>
      <c r="AG14" s="60"/>
      <c r="AH14" s="61">
        <f>('18'!AG14/24)*0.454</f>
        <v>0</v>
      </c>
      <c r="AI14" s="60">
        <v>5000.0</v>
      </c>
      <c r="AJ14" s="61">
        <f>('18'!AI14/24)*0.454</f>
        <v>94.58333333</v>
      </c>
      <c r="AK14" s="62"/>
      <c r="AL14" s="63">
        <f>('18'!AK14/24)*0.454</f>
        <v>0</v>
      </c>
      <c r="AM14" s="62"/>
      <c r="AN14" s="63">
        <f>('18'!AM14/24)*0.454</f>
        <v>0</v>
      </c>
      <c r="AO14" s="62"/>
      <c r="AP14" s="63">
        <f>('18'!AO14/24)*0.454</f>
        <v>0</v>
      </c>
    </row>
    <row r="15" ht="18.75" customHeight="1">
      <c r="A15" s="69">
        <v>0.666666666666667</v>
      </c>
      <c r="B15" s="76">
        <v>85.0</v>
      </c>
      <c r="C15" s="76">
        <v>16.0</v>
      </c>
      <c r="D15" s="76">
        <v>14.0</v>
      </c>
      <c r="E15" s="76">
        <v>6.0</v>
      </c>
      <c r="F15" s="76">
        <v>15.0</v>
      </c>
      <c r="G15" s="76">
        <v>1.2</v>
      </c>
      <c r="H15" s="76">
        <v>1.1</v>
      </c>
      <c r="I15" s="76">
        <v>0.5</v>
      </c>
      <c r="J15" s="76">
        <v>0.6</v>
      </c>
      <c r="K15" s="76">
        <v>7.0</v>
      </c>
      <c r="L15" s="76">
        <v>6.5</v>
      </c>
      <c r="M15" s="76">
        <v>6.5</v>
      </c>
      <c r="N15" s="76">
        <v>6.2</v>
      </c>
      <c r="O15" s="76">
        <v>3.0</v>
      </c>
      <c r="P15" s="76"/>
      <c r="Q15" s="310"/>
      <c r="R15" s="77">
        <f>'18'!Z21</f>
        <v>1200</v>
      </c>
      <c r="S15" s="76">
        <f>'18'!AB21</f>
        <v>66.76706827</v>
      </c>
      <c r="T15" s="77">
        <f>'18'!Y21</f>
        <v>3320</v>
      </c>
      <c r="U15" s="73" t="str">
        <f>IF('19'!AA21=1,'19'!AR6,'19'!AR7)</f>
        <v>S.A.L</v>
      </c>
      <c r="V15" s="43"/>
      <c r="W15" s="27"/>
      <c r="X15" s="54">
        <v>0.416666666666667</v>
      </c>
      <c r="Y15" s="125">
        <v>3382.0</v>
      </c>
      <c r="Z15" s="60">
        <v>1200.0</v>
      </c>
      <c r="AA15" s="125">
        <v>1.0</v>
      </c>
      <c r="AB15" s="58">
        <f>IF('18'!AA15=1,(('18'!Z15*'18'!$AS$6*'18'!$AT$6)/('18'!Y15*0.0036)),IF('18'!AA15=2,(('18'!Z15*'18'!$AS$7*'18'!$AT$7)/('18'!Y15*0.0036))))</f>
        <v>65.54307116</v>
      </c>
      <c r="AC15" s="58"/>
      <c r="AD15" s="59">
        <f>(('18'!AC15*'18'!$Q$10*1000000))/('18'!Y15*3600)</f>
        <v>0</v>
      </c>
      <c r="AE15" s="60"/>
      <c r="AF15" s="61">
        <f>('18'!AE15/24)*0.454</f>
        <v>0</v>
      </c>
      <c r="AG15" s="60"/>
      <c r="AH15" s="61">
        <f>('18'!AG15/24)*0.454</f>
        <v>0</v>
      </c>
      <c r="AI15" s="60">
        <v>5000.0</v>
      </c>
      <c r="AJ15" s="61">
        <f>('18'!AI15/24)*0.454</f>
        <v>94.58333333</v>
      </c>
      <c r="AK15" s="62"/>
      <c r="AL15" s="63">
        <f>('18'!AK15/24)*0.454</f>
        <v>0</v>
      </c>
      <c r="AM15" s="62"/>
      <c r="AN15" s="63">
        <f>('18'!AM15/24)*0.454</f>
        <v>0</v>
      </c>
      <c r="AO15" s="62"/>
      <c r="AP15" s="63">
        <f>('18'!AO15/24)*0.454</f>
        <v>0</v>
      </c>
    </row>
    <row r="16" ht="18.75" customHeight="1">
      <c r="A16" s="69">
        <v>0.75</v>
      </c>
      <c r="B16" s="76">
        <v>87.0</v>
      </c>
      <c r="C16" s="76">
        <v>15.0</v>
      </c>
      <c r="D16" s="76">
        <v>14.0</v>
      </c>
      <c r="E16" s="76">
        <v>6.0</v>
      </c>
      <c r="F16" s="76">
        <v>17.0</v>
      </c>
      <c r="G16" s="76">
        <v>1.2</v>
      </c>
      <c r="H16" s="76">
        <v>1.2</v>
      </c>
      <c r="I16" s="76">
        <v>0.6</v>
      </c>
      <c r="J16" s="76">
        <v>0.6</v>
      </c>
      <c r="K16" s="76">
        <v>7.0</v>
      </c>
      <c r="L16" s="76">
        <v>6.5</v>
      </c>
      <c r="M16" s="76">
        <v>6.5</v>
      </c>
      <c r="N16" s="76">
        <v>6.2</v>
      </c>
      <c r="O16" s="76">
        <v>3.2</v>
      </c>
      <c r="P16" s="76"/>
      <c r="Q16" s="310"/>
      <c r="R16" s="77">
        <f>'18'!Z23</f>
        <v>1200</v>
      </c>
      <c r="S16" s="454">
        <f>'18'!AB23</f>
        <v>65.40769155</v>
      </c>
      <c r="T16" s="77">
        <f>'18'!Y23</f>
        <v>3389</v>
      </c>
      <c r="U16" s="73" t="str">
        <f>IF('19'!AA23=1,'19'!AR6,'19'!AR7)</f>
        <v>S.A.L</v>
      </c>
      <c r="V16" s="16"/>
      <c r="W16" s="18"/>
      <c r="X16" s="54">
        <v>0.458333333333333</v>
      </c>
      <c r="Y16" s="125">
        <v>3358.0</v>
      </c>
      <c r="Z16" s="60">
        <v>1200.0</v>
      </c>
      <c r="AA16" s="125">
        <v>1.0</v>
      </c>
      <c r="AB16" s="58">
        <f>IF('18'!AA16=1,(('18'!Z16*'18'!$AS$6*'18'!$AT$6)/('18'!Y16*0.0036)),IF('18'!AA16=2,(('18'!Z16*'18'!$AS$7*'18'!$AT$7)/('18'!Y16*0.0036))))</f>
        <v>66.01151479</v>
      </c>
      <c r="AC16" s="58"/>
      <c r="AD16" s="59">
        <f>(('18'!AC16*'18'!$Q$10*1000000))/('18'!Y16*3600)</f>
        <v>0</v>
      </c>
      <c r="AE16" s="60"/>
      <c r="AF16" s="61">
        <f>('18'!AE16/24)*0.454</f>
        <v>0</v>
      </c>
      <c r="AG16" s="60"/>
      <c r="AH16" s="61">
        <f>('18'!AG16/24)*0.454</f>
        <v>0</v>
      </c>
      <c r="AI16" s="60">
        <v>5000.0</v>
      </c>
      <c r="AJ16" s="61">
        <f>('18'!AI16/24)*0.454</f>
        <v>94.58333333</v>
      </c>
      <c r="AK16" s="62"/>
      <c r="AL16" s="63">
        <f>('18'!AK16/24)*0.454</f>
        <v>0</v>
      </c>
      <c r="AM16" s="62"/>
      <c r="AN16" s="63">
        <f>('18'!AM16/24)*0.454</f>
        <v>0</v>
      </c>
      <c r="AO16" s="62"/>
      <c r="AP16" s="63">
        <f>('18'!AO16/24)*0.454</f>
        <v>0</v>
      </c>
    </row>
    <row r="17" ht="18.75" customHeight="1">
      <c r="A17" s="69">
        <v>0.833333333333333</v>
      </c>
      <c r="B17" s="76">
        <v>88.0</v>
      </c>
      <c r="C17" s="76">
        <v>15.0</v>
      </c>
      <c r="D17" s="76">
        <v>14.0</v>
      </c>
      <c r="E17" s="76">
        <v>5.0</v>
      </c>
      <c r="F17" s="76">
        <v>16.0</v>
      </c>
      <c r="G17" s="76">
        <v>1.1</v>
      </c>
      <c r="H17" s="76">
        <v>1.2</v>
      </c>
      <c r="I17" s="76">
        <v>0.6</v>
      </c>
      <c r="J17" s="76">
        <v>0.6</v>
      </c>
      <c r="K17" s="76">
        <v>7.0</v>
      </c>
      <c r="L17" s="76">
        <v>6.5</v>
      </c>
      <c r="M17" s="76">
        <v>6.5</v>
      </c>
      <c r="N17" s="76">
        <v>6.2</v>
      </c>
      <c r="O17" s="76">
        <v>3.5</v>
      </c>
      <c r="P17" s="76"/>
      <c r="Q17" s="76"/>
      <c r="R17" s="77">
        <f>'18'!Z25</f>
        <v>1120</v>
      </c>
      <c r="S17" s="76">
        <f>'18'!AB25</f>
        <v>61.92424091</v>
      </c>
      <c r="T17" s="77">
        <f>'18'!Y25</f>
        <v>3341</v>
      </c>
      <c r="U17" s="73" t="str">
        <f>IF('19'!AA25=1,'19'!AR6,'19'!AR7)</f>
        <v>S.A.L</v>
      </c>
      <c r="V17" s="90" t="str">
        <f>ESCALA!$C$20</f>
        <v/>
      </c>
      <c r="W17" s="89"/>
      <c r="X17" s="54">
        <v>0.5</v>
      </c>
      <c r="Y17" s="125">
        <v>3360.0</v>
      </c>
      <c r="Z17" s="60">
        <v>1200.0</v>
      </c>
      <c r="AA17" s="125">
        <v>1.0</v>
      </c>
      <c r="AB17" s="58">
        <f>IF('18'!AA17=1,(('18'!Z17*'18'!$AS$6*'18'!$AT$6)/('18'!Y17*0.0036)),IF('18'!AA17=2,(('18'!Z17*'18'!$AS$7*'18'!$AT$7)/('18'!Y17*0.0036))))</f>
        <v>65.97222222</v>
      </c>
      <c r="AC17" s="58"/>
      <c r="AD17" s="59">
        <f>(('18'!AC17*'18'!$Q$10*1000000))/('18'!Y17*3600)</f>
        <v>0</v>
      </c>
      <c r="AE17" s="60"/>
      <c r="AF17" s="61">
        <f>('18'!AE17/24)*0.454</f>
        <v>0</v>
      </c>
      <c r="AG17" s="60"/>
      <c r="AH17" s="61">
        <f>('18'!AG17/24)*0.454</f>
        <v>0</v>
      </c>
      <c r="AI17" s="60">
        <v>5000.0</v>
      </c>
      <c r="AJ17" s="61">
        <f>('18'!AI17/24)*0.454</f>
        <v>94.58333333</v>
      </c>
      <c r="AK17" s="62"/>
      <c r="AL17" s="63">
        <f>('18'!AK17/24)*0.454</f>
        <v>0</v>
      </c>
      <c r="AM17" s="62"/>
      <c r="AN17" s="63">
        <f>('18'!AM17/24)*0.454</f>
        <v>0</v>
      </c>
      <c r="AO17" s="62"/>
      <c r="AP17" s="63">
        <f>('18'!AO17/24)*0.454</f>
        <v>0</v>
      </c>
    </row>
    <row r="18" ht="19.5" customHeight="1">
      <c r="A18" s="69">
        <v>0.916666666666667</v>
      </c>
      <c r="B18" s="76">
        <v>88.0</v>
      </c>
      <c r="C18" s="76">
        <v>15.0</v>
      </c>
      <c r="D18" s="76">
        <v>14.0</v>
      </c>
      <c r="E18" s="76">
        <v>5.0</v>
      </c>
      <c r="F18" s="76">
        <v>17.0</v>
      </c>
      <c r="G18" s="76">
        <v>1.1</v>
      </c>
      <c r="H18" s="76">
        <v>1.2</v>
      </c>
      <c r="I18" s="76">
        <v>0.6</v>
      </c>
      <c r="J18" s="76">
        <v>0.6</v>
      </c>
      <c r="K18" s="76">
        <v>7.0</v>
      </c>
      <c r="L18" s="76">
        <v>6.5</v>
      </c>
      <c r="M18" s="76">
        <v>6.5</v>
      </c>
      <c r="N18" s="76">
        <v>6.2</v>
      </c>
      <c r="O18" s="76">
        <v>3.5</v>
      </c>
      <c r="P18" s="76"/>
      <c r="Q18" s="76"/>
      <c r="R18" s="77">
        <f>'18'!Z27</f>
        <v>1120</v>
      </c>
      <c r="S18" s="76">
        <f>'18'!AB27</f>
        <v>61.13737851</v>
      </c>
      <c r="T18" s="77">
        <f>'18'!Y27</f>
        <v>3384</v>
      </c>
      <c r="U18" s="73" t="str">
        <f>IF('19'!AA27=1,'19'!AR6,'19'!AR7)</f>
        <v>S.A.L</v>
      </c>
      <c r="V18" s="16"/>
      <c r="W18" s="18"/>
      <c r="X18" s="54">
        <v>0.541666666666667</v>
      </c>
      <c r="Y18" s="125">
        <v>3358.0</v>
      </c>
      <c r="Z18" s="60">
        <v>1200.0</v>
      </c>
      <c r="AA18" s="125">
        <v>1.0</v>
      </c>
      <c r="AB18" s="58">
        <f>IF('18'!AA18=1,(('18'!Z18*'18'!$AS$6*'18'!$AT$6)/('18'!Y18*0.0036)),IF('18'!AA18=2,(('18'!Z18*'18'!$AS$7*'18'!$AT$7)/('18'!Y18*0.0036))))</f>
        <v>66.01151479</v>
      </c>
      <c r="AC18" s="58"/>
      <c r="AD18" s="59">
        <f>(('18'!AC18*'18'!$Q$10*1000000))/('18'!Y18*3600)</f>
        <v>0</v>
      </c>
      <c r="AE18" s="60"/>
      <c r="AF18" s="61">
        <f>('18'!AE18/24)*0.454</f>
        <v>0</v>
      </c>
      <c r="AG18" s="60"/>
      <c r="AH18" s="61">
        <f>('18'!AG18/24)*0.454</f>
        <v>0</v>
      </c>
      <c r="AI18" s="60">
        <v>5000.0</v>
      </c>
      <c r="AJ18" s="61">
        <f>('18'!AI18/24)*0.454</f>
        <v>94.58333333</v>
      </c>
      <c r="AK18" s="62"/>
      <c r="AL18" s="63">
        <f>('18'!AK18/24)*0.454</f>
        <v>0</v>
      </c>
      <c r="AM18" s="62"/>
      <c r="AN18" s="63">
        <f>('18'!AM18/24)*0.454</f>
        <v>0</v>
      </c>
      <c r="AO18" s="62"/>
      <c r="AP18" s="63">
        <f>('18'!AO18/24)*0.454</f>
        <v>0</v>
      </c>
    </row>
    <row r="19" ht="18.75" customHeight="1">
      <c r="A19" s="51" t="s">
        <v>52</v>
      </c>
      <c r="B19" s="91">
        <f>AVERAGE('18'!B7:B18)</f>
        <v>84.25</v>
      </c>
      <c r="C19" s="92">
        <f>AVERAGE('18'!C7:C18)</f>
        <v>15.58333333</v>
      </c>
      <c r="D19" s="92">
        <f>AVERAGE('18'!D7:D18)</f>
        <v>13.83333333</v>
      </c>
      <c r="E19" s="92">
        <f>AVERAGE('18'!E7:E18)</f>
        <v>6.166666667</v>
      </c>
      <c r="F19" s="92">
        <f>AVERAGE('18'!F7:F18)</f>
        <v>14.75</v>
      </c>
      <c r="G19" s="92">
        <f>AVERAGE('18'!G7:G18)</f>
        <v>1.4</v>
      </c>
      <c r="H19" s="92">
        <f>AVERAGE('18'!H7:H18)</f>
        <v>1.166666667</v>
      </c>
      <c r="I19" s="92">
        <f>AVERAGE('18'!I7:I18)</f>
        <v>0.65</v>
      </c>
      <c r="J19" s="92">
        <f>AVERAGE('18'!J7:J18)</f>
        <v>0.6833333333</v>
      </c>
      <c r="K19" s="92">
        <f>AVERAGE('18'!K7:K18)</f>
        <v>6.966666667</v>
      </c>
      <c r="L19" s="92">
        <f>AVERAGE('18'!L7:L18)</f>
        <v>6.5</v>
      </c>
      <c r="M19" s="92">
        <f>AVERAGE('18'!M7:M18)</f>
        <v>6.5</v>
      </c>
      <c r="N19" s="92">
        <f>AVERAGE('18'!N7:N18)</f>
        <v>6.2</v>
      </c>
      <c r="O19" s="92">
        <f>AVERAGE('18'!O7:O18)</f>
        <v>3.1</v>
      </c>
      <c r="P19" s="93" t="str">
        <f>AVERAGE('18'!P7:P18)</f>
        <v>#DIV/0!</v>
      </c>
      <c r="Q19" s="94" t="str">
        <f>AVERAGE('18'!Q7:Q18)</f>
        <v>#DIV/0!</v>
      </c>
      <c r="R19" s="94">
        <f>AVERAGE('18'!R7:R18)</f>
        <v>1186.666667</v>
      </c>
      <c r="S19" s="94">
        <f>AVERAGE('18'!S7:S18)</f>
        <v>64.36639614</v>
      </c>
      <c r="T19" s="95"/>
      <c r="U19" s="96"/>
      <c r="V19" s="97"/>
      <c r="W19" s="97"/>
      <c r="X19" s="54">
        <v>0.583333333333333</v>
      </c>
      <c r="Y19" s="125">
        <v>3390.0</v>
      </c>
      <c r="Z19" s="60">
        <v>1200.0</v>
      </c>
      <c r="AA19" s="125">
        <v>1.0</v>
      </c>
      <c r="AB19" s="58">
        <f>IF('18'!AA19=1,(('18'!Z19*'18'!$AS$6*'18'!$AT$6)/('18'!Y19*0.0036)),IF('18'!AA19=2,(('18'!Z19*'18'!$AS$7*'18'!$AT$7)/('18'!Y19*0.0036))))</f>
        <v>65.38839725</v>
      </c>
      <c r="AC19" s="58"/>
      <c r="AD19" s="59">
        <f>(('18'!AC19*'18'!$Q$10*1000000))/('18'!Y19*3600)</f>
        <v>0</v>
      </c>
      <c r="AE19" s="60"/>
      <c r="AF19" s="61">
        <f>('18'!AE19/24)*0.454</f>
        <v>0</v>
      </c>
      <c r="AG19" s="60"/>
      <c r="AH19" s="61">
        <f>('18'!AG19/24)*0.454</f>
        <v>0</v>
      </c>
      <c r="AI19" s="60">
        <v>5000.0</v>
      </c>
      <c r="AJ19" s="61">
        <f>('18'!AI19/24)*0.454</f>
        <v>94.58333333</v>
      </c>
      <c r="AK19" s="62"/>
      <c r="AL19" s="63">
        <f>('18'!AK19/24)*0.454</f>
        <v>0</v>
      </c>
      <c r="AM19" s="62"/>
      <c r="AN19" s="63">
        <f>('18'!AM19/24)*0.454</f>
        <v>0</v>
      </c>
      <c r="AO19" s="62"/>
      <c r="AP19" s="63">
        <f>('18'!AO19/24)*0.454</f>
        <v>0</v>
      </c>
    </row>
    <row r="20" ht="18.75" customHeight="1">
      <c r="A20" s="51" t="s">
        <v>53</v>
      </c>
      <c r="B20" s="91">
        <f>MAX('18'!B7:B18)</f>
        <v>88</v>
      </c>
      <c r="C20" s="91">
        <f>MAX('18'!C7:C18)</f>
        <v>16</v>
      </c>
      <c r="D20" s="92">
        <f>MAX('18'!D7:D18)</f>
        <v>14</v>
      </c>
      <c r="E20" s="92">
        <f>MAX('18'!E7:E18)</f>
        <v>7</v>
      </c>
      <c r="F20" s="92">
        <f>MAX('18'!F7:F18)</f>
        <v>17</v>
      </c>
      <c r="G20" s="92">
        <f>MAX('18'!G7:G18)</f>
        <v>1.6</v>
      </c>
      <c r="H20" s="92">
        <f>MAX('18'!H7:H18)</f>
        <v>1.3</v>
      </c>
      <c r="I20" s="92">
        <f>MAX('18'!I7:I18)</f>
        <v>0.9</v>
      </c>
      <c r="J20" s="92">
        <f>MAX('18'!J7:J18)</f>
        <v>0.9</v>
      </c>
      <c r="K20" s="92">
        <f>MAX('18'!K7:K18)</f>
        <v>7</v>
      </c>
      <c r="L20" s="92">
        <f>MAX('18'!L7:L18)</f>
        <v>6.5</v>
      </c>
      <c r="M20" s="92">
        <f>MAX('18'!M7:M18)</f>
        <v>6.5</v>
      </c>
      <c r="N20" s="92">
        <f>MAX('18'!N7:N18)</f>
        <v>6.2</v>
      </c>
      <c r="O20" s="98">
        <f>MAX('18'!O7:O18)</f>
        <v>3.5</v>
      </c>
      <c r="P20" s="98">
        <f>MAX('18'!P7:P18)</f>
        <v>0</v>
      </c>
      <c r="Q20" s="98">
        <f>MAX('18'!Q7:Q18)</f>
        <v>0</v>
      </c>
      <c r="R20" s="98">
        <f>MAX('18'!R7:R18)</f>
        <v>1200</v>
      </c>
      <c r="S20" s="98">
        <f>MAX('18'!S7:S18)</f>
        <v>66.76706827</v>
      </c>
      <c r="T20" s="99"/>
      <c r="U20" s="21"/>
      <c r="X20" s="54">
        <v>0.625</v>
      </c>
      <c r="Y20" s="125">
        <v>3378.0</v>
      </c>
      <c r="Z20" s="60">
        <v>1200.0</v>
      </c>
      <c r="AA20" s="125">
        <v>1.0</v>
      </c>
      <c r="AB20" s="58">
        <f>IF('18'!AA20=1,(('18'!Z20*'18'!$AS$6*'18'!$AT$6)/('18'!Y20*0.0036)),IF('18'!AA20=2,(('18'!Z20*'18'!$AS$7*'18'!$AT$7)/('18'!Y20*0.0036))))</f>
        <v>65.62068285</v>
      </c>
      <c r="AC20" s="58"/>
      <c r="AD20" s="59">
        <f>(('18'!AC20*'18'!$Q$10*1000000))/('18'!Y20*3600)</f>
        <v>0</v>
      </c>
      <c r="AE20" s="60"/>
      <c r="AF20" s="61">
        <f>('18'!AE20/24)*0.454</f>
        <v>0</v>
      </c>
      <c r="AG20" s="60"/>
      <c r="AH20" s="61">
        <f>('18'!AG20/24)*0.454</f>
        <v>0</v>
      </c>
      <c r="AI20" s="60">
        <v>5000.0</v>
      </c>
      <c r="AJ20" s="61">
        <f>('18'!AI20/24)*0.454</f>
        <v>94.58333333</v>
      </c>
      <c r="AK20" s="62"/>
      <c r="AL20" s="63">
        <f>('18'!AK20/24)*0.454</f>
        <v>0</v>
      </c>
      <c r="AM20" s="62"/>
      <c r="AN20" s="63">
        <f>('18'!AM20/24)*0.454</f>
        <v>0</v>
      </c>
      <c r="AO20" s="62"/>
      <c r="AP20" s="63">
        <f>('18'!AO20/24)*0.454</f>
        <v>0</v>
      </c>
    </row>
    <row r="21" ht="19.5" customHeight="1">
      <c r="A21" s="51" t="s">
        <v>54</v>
      </c>
      <c r="B21" s="91">
        <f>MIN('18'!B7:B18)</f>
        <v>80</v>
      </c>
      <c r="C21" s="92">
        <f>MIN('18'!C7:C18)</f>
        <v>15</v>
      </c>
      <c r="D21" s="92">
        <f>MIN('18'!D7:D18)</f>
        <v>13</v>
      </c>
      <c r="E21" s="92">
        <f>MIN('18'!E7:E18)</f>
        <v>5</v>
      </c>
      <c r="F21" s="92">
        <f>MIN('18'!F7:F18)</f>
        <v>12</v>
      </c>
      <c r="G21" s="100">
        <f>MIN('18'!G7:G18)</f>
        <v>1.1</v>
      </c>
      <c r="H21" s="100">
        <f>MIN('18'!H7:H18)</f>
        <v>1.1</v>
      </c>
      <c r="I21" s="100">
        <f>MIN('18'!I7:I18)</f>
        <v>0.5</v>
      </c>
      <c r="J21" s="100">
        <f>MIN('18'!J7:J18)</f>
        <v>0.6</v>
      </c>
      <c r="K21" s="100">
        <f>MIN('18'!K7:K18)</f>
        <v>6.9</v>
      </c>
      <c r="L21" s="100">
        <f>MIN('18'!L7:L18)</f>
        <v>6.5</v>
      </c>
      <c r="M21" s="100">
        <f>MIN('18'!M7:M18)</f>
        <v>6.5</v>
      </c>
      <c r="N21" s="100">
        <f>MIN('18'!N7:N18)</f>
        <v>6.2</v>
      </c>
      <c r="O21" s="101">
        <f>MIN('18'!O7:O18)</f>
        <v>2.8</v>
      </c>
      <c r="P21" s="101">
        <f>MIN('18'!P7:P18)</f>
        <v>0</v>
      </c>
      <c r="Q21" s="101">
        <f>MIN('18'!Q7:Q18)</f>
        <v>0</v>
      </c>
      <c r="R21" s="101">
        <f>MIN('18'!R7:R18)</f>
        <v>1120</v>
      </c>
      <c r="S21" s="101">
        <f>MIN('18'!S7:S18)</f>
        <v>61.13737851</v>
      </c>
      <c r="T21" s="99"/>
      <c r="U21" s="21"/>
      <c r="X21" s="54">
        <v>0.666666666666667</v>
      </c>
      <c r="Y21" s="125">
        <v>3320.0</v>
      </c>
      <c r="Z21" s="60">
        <v>1200.0</v>
      </c>
      <c r="AA21" s="125">
        <v>1.0</v>
      </c>
      <c r="AB21" s="58">
        <f>IF('18'!AA21=1,(('18'!Z21*'18'!$AS$6*'18'!$AT$6)/('18'!Y21*0.0036)),IF('18'!AA21=2,(('18'!Z21*'18'!$AS$7*'18'!$AT$7)/('18'!Y21*0.0036))))</f>
        <v>66.76706827</v>
      </c>
      <c r="AC21" s="58"/>
      <c r="AD21" s="59">
        <f>(('18'!AC21*'18'!$Q$10*1000000))/('18'!Y21*3600)</f>
        <v>0</v>
      </c>
      <c r="AE21" s="60"/>
      <c r="AF21" s="61">
        <f>('18'!AE21/24)*0.454</f>
        <v>0</v>
      </c>
      <c r="AG21" s="60"/>
      <c r="AH21" s="61">
        <f>('18'!AG21/24)*0.454</f>
        <v>0</v>
      </c>
      <c r="AI21" s="60">
        <v>5000.0</v>
      </c>
      <c r="AJ21" s="61">
        <f>('18'!AI21/24)*0.454</f>
        <v>94.58333333</v>
      </c>
      <c r="AK21" s="62"/>
      <c r="AL21" s="63">
        <f>('18'!AK21/24)*0.454</f>
        <v>0</v>
      </c>
      <c r="AM21" s="62"/>
      <c r="AN21" s="63">
        <f>('18'!AM21/24)*0.454</f>
        <v>0</v>
      </c>
      <c r="AO21" s="62"/>
      <c r="AP21" s="63">
        <f>('18'!AO21/24)*0.454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3385.0</v>
      </c>
      <c r="Z22" s="60">
        <v>1200.0</v>
      </c>
      <c r="AA22" s="125">
        <v>1.0</v>
      </c>
      <c r="AB22" s="58">
        <f>IF('18'!AA22=1,(('18'!Z22*'18'!$AS$6*'18'!$AT$6)/('18'!Y22*0.0036)),IF('18'!AA22=2,(('18'!Z22*'18'!$AS$7*'18'!$AT$7)/('18'!Y22*0.0036))))</f>
        <v>65.48498277</v>
      </c>
      <c r="AC22" s="58"/>
      <c r="AD22" s="59">
        <f>(('18'!AC22*'18'!$Q$10*1000000))/('18'!Y22*3600)</f>
        <v>0</v>
      </c>
      <c r="AE22" s="60"/>
      <c r="AF22" s="61">
        <f>('18'!AE22/24)*0.454</f>
        <v>0</v>
      </c>
      <c r="AG22" s="60"/>
      <c r="AH22" s="61">
        <f>('18'!AG22/24)*0.454</f>
        <v>0</v>
      </c>
      <c r="AI22" s="60">
        <v>5000.0</v>
      </c>
      <c r="AJ22" s="61">
        <f>('18'!AI22/24)*0.454</f>
        <v>94.58333333</v>
      </c>
      <c r="AK22" s="62"/>
      <c r="AL22" s="63">
        <f>('18'!AK22/24)*0.454</f>
        <v>0</v>
      </c>
      <c r="AM22" s="62"/>
      <c r="AN22" s="63">
        <f>('18'!AM22/24)*0.454</f>
        <v>0</v>
      </c>
      <c r="AO22" s="62"/>
      <c r="AP22" s="63">
        <f>('18'!AO22/24)*0.454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3389.0</v>
      </c>
      <c r="Z23" s="60">
        <v>1200.0</v>
      </c>
      <c r="AA23" s="125">
        <v>1.0</v>
      </c>
      <c r="AB23" s="58">
        <f>IF('18'!AA23=1,(('18'!Z23*'18'!$AS$6*'18'!$AT$6)/('18'!Y23*0.0036)),IF('18'!AA23=2,(('18'!Z23*'18'!$AS$7*'18'!$AT$7)/('18'!Y23*0.0036))))</f>
        <v>65.40769155</v>
      </c>
      <c r="AC23" s="58"/>
      <c r="AD23" s="59">
        <f>(('18'!AC23*'18'!$Q$10*1000000))/('18'!Y23*3600)</f>
        <v>0</v>
      </c>
      <c r="AE23" s="60"/>
      <c r="AF23" s="61">
        <f>('18'!AE23/24)*0.454</f>
        <v>0</v>
      </c>
      <c r="AG23" s="60"/>
      <c r="AH23" s="61">
        <f>('18'!AG23/24)*0.454</f>
        <v>0</v>
      </c>
      <c r="AI23" s="60">
        <v>5000.0</v>
      </c>
      <c r="AJ23" s="61">
        <f>('18'!AI23/24)*0.454</f>
        <v>94.58333333</v>
      </c>
      <c r="AK23" s="62"/>
      <c r="AL23" s="63">
        <f>('18'!AK23/24)*0.454</f>
        <v>0</v>
      </c>
      <c r="AM23" s="62"/>
      <c r="AN23" s="63">
        <f>('18'!AM23/24)*0.454</f>
        <v>0</v>
      </c>
      <c r="AO23" s="62"/>
      <c r="AP23" s="63">
        <f>('18'!AO23/24)*0.454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3349.0</v>
      </c>
      <c r="Z24" s="60">
        <v>1200.0</v>
      </c>
      <c r="AA24" s="125">
        <v>1.0</v>
      </c>
      <c r="AB24" s="57">
        <f>IF('18'!AA24=1,(('18'!Z24*'18'!$AS$6*'18'!$AT$6)/('18'!Y24*0.0036)),IF('18'!AA24=2,(('18'!Z24*'18'!$AS$7*'18'!$AT$7)/('18'!Y24*0.0036))))</f>
        <v>66.18891211</v>
      </c>
      <c r="AC24" s="57"/>
      <c r="AD24" s="154">
        <f>(('18'!AC24*'18'!$Q$10*1000000))/('18'!Y24*3600)</f>
        <v>0</v>
      </c>
      <c r="AE24" s="60"/>
      <c r="AF24" s="311">
        <f>('18'!AE24/24)*0.454</f>
        <v>0</v>
      </c>
      <c r="AG24" s="60"/>
      <c r="AH24" s="311">
        <f>('18'!AG24/24)*0.454</f>
        <v>0</v>
      </c>
      <c r="AI24" s="60">
        <v>5000.0</v>
      </c>
      <c r="AJ24" s="61">
        <f>('18'!AI24/24)*0.454</f>
        <v>94.58333333</v>
      </c>
      <c r="AK24" s="62"/>
      <c r="AL24" s="110">
        <f>('18'!AK24/24)*0.454</f>
        <v>0</v>
      </c>
      <c r="AM24" s="312"/>
      <c r="AN24" s="110">
        <f>('18'!AM24/24)*0.454</f>
        <v>0</v>
      </c>
      <c r="AO24" s="62"/>
      <c r="AP24" s="110">
        <f>('18'!AO24/24)*0.454</f>
        <v>0</v>
      </c>
    </row>
    <row r="25" ht="19.5" customHeight="1">
      <c r="A25" s="111">
        <v>0.416666666666667</v>
      </c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112" t="str">
        <f t="shared" ref="R25:R26" si="1">#DIV/0!</f>
        <v>#DIV/0!</v>
      </c>
      <c r="S25" s="113"/>
      <c r="T25" s="397" t="s">
        <v>0</v>
      </c>
      <c r="U25" s="370">
        <f>ESCALA!$A$20</f>
        <v>43939</v>
      </c>
      <c r="X25" s="54">
        <v>0.833333333333333</v>
      </c>
      <c r="Y25" s="125">
        <v>3341.0</v>
      </c>
      <c r="Z25" s="60">
        <v>1120.0</v>
      </c>
      <c r="AA25" s="125">
        <v>1.0</v>
      </c>
      <c r="AB25" s="58">
        <f>IF('18'!AA25=1,(('18'!Z25*'18'!$AS$6*'18'!$AT$6)/('18'!Y25*0.0036)),IF('18'!AA25=2,(('18'!Z25*'18'!$AS$7*'18'!$AT$7)/('18'!Y25*0.0036))))</f>
        <v>61.92424091</v>
      </c>
      <c r="AC25" s="58"/>
      <c r="AD25" s="59">
        <f>(('18'!AC25*'18'!$Q$10*1000000))/('18'!Y25*3600)</f>
        <v>0</v>
      </c>
      <c r="AE25" s="60"/>
      <c r="AF25" s="61">
        <f>('18'!AE25/24)*0.454</f>
        <v>0</v>
      </c>
      <c r="AG25" s="60"/>
      <c r="AH25" s="61">
        <f>('18'!AG25/24)*0.454</f>
        <v>0</v>
      </c>
      <c r="AI25" s="60">
        <v>5000.0</v>
      </c>
      <c r="AJ25" s="61">
        <f>('18'!AI25/24)*0.454</f>
        <v>94.58333333</v>
      </c>
      <c r="AK25" s="62"/>
      <c r="AL25" s="63">
        <f>('18'!AK25/24)*0.454</f>
        <v>0</v>
      </c>
      <c r="AM25" s="62"/>
      <c r="AN25" s="63">
        <f>('18'!AM25/24)*0.454</f>
        <v>0</v>
      </c>
      <c r="AO25" s="62"/>
      <c r="AP25" s="63">
        <f>('18'!AO25/24)*0.454</f>
        <v>0</v>
      </c>
    </row>
    <row r="26" ht="19.5" customHeight="1">
      <c r="A26" s="111">
        <v>0.666666666666667</v>
      </c>
      <c r="B26" s="313">
        <v>0.42</v>
      </c>
      <c r="C26" s="313">
        <v>0.48</v>
      </c>
      <c r="D26" s="313">
        <v>0.51</v>
      </c>
      <c r="E26" s="315">
        <v>0.47</v>
      </c>
      <c r="F26" s="315">
        <v>0.54</v>
      </c>
      <c r="G26" s="315"/>
      <c r="H26" s="315">
        <v>0.56</v>
      </c>
      <c r="I26" s="315">
        <v>0.54</v>
      </c>
      <c r="J26" s="315"/>
      <c r="K26" s="315">
        <v>0.49</v>
      </c>
      <c r="L26" s="315">
        <v>0.47</v>
      </c>
      <c r="M26" s="315">
        <v>0.51</v>
      </c>
      <c r="N26" s="315">
        <v>0.5</v>
      </c>
      <c r="O26" s="315">
        <v>0.46</v>
      </c>
      <c r="P26" s="315">
        <v>0.44</v>
      </c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3369.0</v>
      </c>
      <c r="Z26" s="60">
        <v>1120.0</v>
      </c>
      <c r="AA26" s="125">
        <v>1.0</v>
      </c>
      <c r="AB26" s="58">
        <f>IF('18'!AA26=1,(('18'!Z26*'18'!$AS$6*'18'!$AT$6)/('18'!Y26*0.0036)),IF('18'!AA26=2,(('18'!Z26*'18'!$AS$7*'18'!$AT$7)/('18'!Y26*0.0036))))</f>
        <v>61.40958412</v>
      </c>
      <c r="AC26" s="58"/>
      <c r="AD26" s="59">
        <f>(('18'!AC26*'18'!$Q$10*1000000))/('18'!Y26*3600)</f>
        <v>0</v>
      </c>
      <c r="AE26" s="60"/>
      <c r="AF26" s="61">
        <f>('18'!AE26/24)*0.454</f>
        <v>0</v>
      </c>
      <c r="AG26" s="60"/>
      <c r="AH26" s="61">
        <f>('18'!AG26/24)*0.454</f>
        <v>0</v>
      </c>
      <c r="AI26" s="60">
        <v>5000.0</v>
      </c>
      <c r="AJ26" s="61">
        <f>('18'!AI26/24)*0.454</f>
        <v>94.58333333</v>
      </c>
      <c r="AK26" s="62"/>
      <c r="AL26" s="63">
        <f>('18'!AK26/24)*0.454</f>
        <v>0</v>
      </c>
      <c r="AM26" s="62"/>
      <c r="AN26" s="63">
        <f>('18'!AM26/24)*0.454</f>
        <v>0</v>
      </c>
      <c r="AO26" s="62"/>
      <c r="AP26" s="63">
        <f>('18'!AO26/24)*0.454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3384.0</v>
      </c>
      <c r="Z27" s="60">
        <v>1120.0</v>
      </c>
      <c r="AA27" s="125">
        <v>1.0</v>
      </c>
      <c r="AB27" s="58">
        <f>IF('18'!AA27=1,(('18'!Z27*'18'!$AS$6*'18'!$AT$6)/('18'!Y27*0.0036)),IF('18'!AA27=2,(('18'!Z27*'18'!$AS$7*'18'!$AT$7)/('18'!Y27*0.0036))))</f>
        <v>61.13737851</v>
      </c>
      <c r="AC27" s="58"/>
      <c r="AD27" s="59">
        <f>(('18'!AC27*'18'!$Q$10*1000000))/('18'!Y27*3600)</f>
        <v>0</v>
      </c>
      <c r="AE27" s="60"/>
      <c r="AF27" s="61">
        <f>('18'!AE27/24)*0.454</f>
        <v>0</v>
      </c>
      <c r="AG27" s="60"/>
      <c r="AH27" s="61">
        <f>('18'!AG27/24)*0.454</f>
        <v>0</v>
      </c>
      <c r="AI27" s="60">
        <v>5000.0</v>
      </c>
      <c r="AJ27" s="61">
        <f>('18'!AI27/24)*0.454</f>
        <v>94.58333333</v>
      </c>
      <c r="AK27" s="62"/>
      <c r="AL27" s="63">
        <f>('18'!AK27/24)*0.454</f>
        <v>0</v>
      </c>
      <c r="AM27" s="62"/>
      <c r="AN27" s="63">
        <f>('18'!AM27/24)*0.454</f>
        <v>0</v>
      </c>
      <c r="AO27" s="62"/>
      <c r="AP27" s="63">
        <f>('18'!AO27/24)*0.454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3387.0</v>
      </c>
      <c r="Z28" s="60">
        <v>1120.0</v>
      </c>
      <c r="AA28" s="125">
        <v>1.0</v>
      </c>
      <c r="AB28" s="58">
        <f>IF('18'!AA28=1,(('18'!Z28*'18'!$AS$6*'18'!$AT$6)/('18'!Y28*0.0036)),IF('18'!AA28=2,(('18'!Z28*'18'!$AS$7*'18'!$AT$7)/('18'!Y28*0.0036))))</f>
        <v>61.08322672</v>
      </c>
      <c r="AC28" s="58"/>
      <c r="AD28" s="59">
        <f>(('18'!AC28*'18'!$Q$10*1000000))/('18'!Y28*3600)</f>
        <v>0</v>
      </c>
      <c r="AE28" s="60"/>
      <c r="AF28" s="61">
        <f>('18'!AE28/24)*0.454</f>
        <v>0</v>
      </c>
      <c r="AG28" s="60"/>
      <c r="AH28" s="61">
        <f>('18'!AG28/24)*0.454</f>
        <v>0</v>
      </c>
      <c r="AI28" s="60">
        <v>5000.0</v>
      </c>
      <c r="AJ28" s="61">
        <f>('18'!AI28/24)*0.454</f>
        <v>94.58333333</v>
      </c>
      <c r="AK28" s="62"/>
      <c r="AL28" s="63">
        <f>('18'!AK28/24)*0.454</f>
        <v>0</v>
      </c>
      <c r="AM28" s="62"/>
      <c r="AN28" s="63">
        <f>('18'!AM28/24)*0.454</f>
        <v>0</v>
      </c>
      <c r="AO28" s="62"/>
      <c r="AP28" s="63">
        <f>('18'!AO28/24)*0.454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3336.0</v>
      </c>
      <c r="Z29" s="60">
        <v>1120.0</v>
      </c>
      <c r="AA29" s="125">
        <v>1.0</v>
      </c>
      <c r="AB29" s="58">
        <f>IF('18'!AA29=1,(('18'!Z29*'18'!$AS$6*'18'!$AT$6)/('18'!Y29*0.0036)),IF('18'!AA29=2,(('18'!Z29*'18'!$AS$7*'18'!$AT$7)/('18'!Y29*0.0036))))</f>
        <v>62.01705302</v>
      </c>
      <c r="AC29" s="58"/>
      <c r="AD29" s="59">
        <f>(('18'!AC29*'18'!$Q$10*1000000))/('18'!Y29*3600)</f>
        <v>0</v>
      </c>
      <c r="AE29" s="60"/>
      <c r="AF29" s="61">
        <f>('18'!AE29/24)*0.454</f>
        <v>0</v>
      </c>
      <c r="AG29" s="60"/>
      <c r="AH29" s="61">
        <f>('18'!AG29/24)*0.454</f>
        <v>0</v>
      </c>
      <c r="AI29" s="60">
        <v>5000.0</v>
      </c>
      <c r="AJ29" s="61">
        <f>('18'!AI29/24)*0.454</f>
        <v>94.58333333</v>
      </c>
      <c r="AK29" s="62"/>
      <c r="AL29" s="63">
        <f>('18'!AK29/24)*0.454</f>
        <v>0</v>
      </c>
      <c r="AM29" s="62"/>
      <c r="AN29" s="63">
        <f>('18'!AM29/24)*0.454</f>
        <v>0</v>
      </c>
      <c r="AO29" s="62"/>
      <c r="AP29" s="63">
        <f>('18'!AO29/24)*0.454</f>
        <v>0</v>
      </c>
    </row>
    <row r="30" ht="18.75" customHeight="1">
      <c r="A30" s="43"/>
      <c r="U30" s="27"/>
      <c r="X30" s="130" t="s">
        <v>55</v>
      </c>
      <c r="Y30" s="131">
        <f>SUM('18'!Y6:Y29)*3.6</f>
        <v>293040</v>
      </c>
      <c r="Z30" s="455">
        <f>SUM('18'!Z6:Z29)</f>
        <v>28400</v>
      </c>
      <c r="AA30" s="133"/>
      <c r="AB30" s="132"/>
      <c r="AC30" s="133"/>
      <c r="AD30" s="132"/>
      <c r="AE30" s="60"/>
      <c r="AF30" s="61">
        <f>SUM('18'!AF6:AF29)</f>
        <v>0</v>
      </c>
      <c r="AG30" s="60"/>
      <c r="AH30" s="61">
        <f>SUM('18'!AH6:AH29)</f>
        <v>0</v>
      </c>
      <c r="AI30" s="61"/>
      <c r="AJ30" s="61">
        <f>SUM('18'!AJ6:AJ29)</f>
        <v>2270</v>
      </c>
      <c r="AK30" s="62"/>
      <c r="AL30" s="63">
        <f>SUM('18'!AL6:AL29)</f>
        <v>0</v>
      </c>
      <c r="AM30" s="62"/>
      <c r="AN30" s="63">
        <f>SUM('18'!AN6:AN29)</f>
        <v>0</v>
      </c>
      <c r="AO30" s="62"/>
      <c r="AP30" s="63">
        <f>SUM('18'!AP6:AP29)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SUMIF('18'!AA6:AA29,"=1",'18'!Z6:Z29)</f>
        <v>28400</v>
      </c>
      <c r="AA32" s="132">
        <f>'18'!Z32*'18'!AS6</f>
        <v>37772</v>
      </c>
      <c r="AB32" s="139">
        <f>SUMIF('18'!$AA$6:$AA$29,"=1",'18'!$AB$6:$AB$29)/COUNTIF('18'!$AA$6:$AA$29,"=1")</f>
        <v>64.45542516</v>
      </c>
      <c r="AC32" s="140">
        <f>SUMIF('18'!AA6:AA29,"=1",'18'!AC6:AC29)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SUMIF('18'!AA6:AA29,"=2",'18'!Z6:Z29)</f>
        <v>0</v>
      </c>
      <c r="AA33" s="132">
        <f>'18'!Z33*'18'!AS7</f>
        <v>0</v>
      </c>
      <c r="AB33" s="139" t="str">
        <f>SUMIF('18'!$AA$6:$AA$29,"=2",'18'!$AB$6:$AB$29)/COUNTIF('18'!$AA$6:$AA$29,"=2")</f>
        <v>#DIV/0!</v>
      </c>
      <c r="AC33" s="145">
        <f>SUMIF('18'!AA6:AA29,"=2",'18'!AC6:AC29)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 t="s">
        <v>134</v>
      </c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AVERAGE('18'!Y6:Y29)</f>
        <v>3391.666667</v>
      </c>
      <c r="Z34" s="56">
        <f>AVERAGE('18'!Z6:Z29)</f>
        <v>1183.333333</v>
      </c>
      <c r="AA34" s="152"/>
      <c r="AB34" s="152"/>
      <c r="AC34" s="153" t="str">
        <f>SUM('18'!AC6:AC29)/COUNTIF('18'!AC6:AC29,"&lt;&gt;0")</f>
        <v>#DIV/0!</v>
      </c>
      <c r="AD34" s="154" t="str">
        <f>SUM('18'!AD6:AD29)/COUNTIF('18'!AD6:AD29,"&lt;&gt;0")</f>
        <v>#DIV/0!</v>
      </c>
      <c r="AE34" s="133"/>
      <c r="AF34" s="153">
        <f>AVERAGE('18'!AF6:AF29)</f>
        <v>0</v>
      </c>
      <c r="AG34" s="153"/>
      <c r="AH34" s="153">
        <f>AVERAGE('18'!AH6:AH29)</f>
        <v>0</v>
      </c>
      <c r="AI34" s="153"/>
      <c r="AJ34" s="153">
        <f>'18'!AJ30/24</f>
        <v>94.58333333</v>
      </c>
      <c r="AK34" s="153"/>
      <c r="AL34" s="153">
        <f>AVERAGE('18'!AL6:AL29)</f>
        <v>0</v>
      </c>
      <c r="AM34" s="153"/>
      <c r="AN34" s="153">
        <f>AVERAGE('18'!AN6:AN29)</f>
        <v>0</v>
      </c>
      <c r="AO34" s="153"/>
      <c r="AP34" s="153">
        <f>AVERAGE('18'!AP6:AP29)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456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457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58.2</v>
      </c>
      <c r="D37" s="76">
        <v>33.1</v>
      </c>
      <c r="E37" s="76">
        <v>26.1</v>
      </c>
      <c r="F37" s="76">
        <v>1.0</v>
      </c>
      <c r="G37" s="60">
        <v>0.2</v>
      </c>
      <c r="H37" s="60">
        <v>0.1</v>
      </c>
      <c r="I37" s="60">
        <v>0.15</v>
      </c>
      <c r="J37" s="60">
        <v>0.06</v>
      </c>
      <c r="K37" s="60">
        <v>0.03</v>
      </c>
      <c r="L37" s="52">
        <v>0.15</v>
      </c>
      <c r="M37" s="106"/>
      <c r="N37" s="157"/>
      <c r="O37" s="51"/>
      <c r="P37" s="51"/>
      <c r="Q37" s="51"/>
      <c r="R37" s="51"/>
      <c r="S37" s="51"/>
      <c r="T37" s="51"/>
      <c r="U37" s="168" t="str">
        <f>'18'!V12</f>
        <v/>
      </c>
      <c r="X37" s="169" t="s">
        <v>75</v>
      </c>
      <c r="Y37" s="128"/>
      <c r="Z37" s="170">
        <f>COUNTA('18'!Z6:Z29)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SUM('18'!AF30+'18'!AH30)*1.0561</f>
        <v>0</v>
      </c>
      <c r="AL38" s="178" t="s">
        <v>78</v>
      </c>
      <c r="AM38" s="179">
        <f>SUM('18'!AL30+'18'!AN30)</f>
        <v>0</v>
      </c>
      <c r="AO38" s="178" t="s">
        <v>78</v>
      </c>
      <c r="AP38" s="180">
        <f>'18'!AJ30</f>
        <v>2270</v>
      </c>
      <c r="AQ38" s="178" t="s">
        <v>78</v>
      </c>
      <c r="AR38" s="179">
        <f>'18'!AP30</f>
        <v>0</v>
      </c>
    </row>
    <row r="39" ht="16.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458"/>
      <c r="V39" s="97"/>
      <c r="X39" s="174"/>
      <c r="Y39" s="174"/>
      <c r="Z39" s="175"/>
      <c r="AA39" s="171"/>
      <c r="AB39" s="171"/>
      <c r="AJ39" s="325" t="s">
        <v>86</v>
      </c>
      <c r="AK39" s="326">
        <f>('18'!AK38/'18'!Y30)*1000</f>
        <v>0</v>
      </c>
      <c r="AL39" s="327" t="s">
        <v>86</v>
      </c>
      <c r="AM39" s="328">
        <f>('18'!AM38/'18'!Y30)*1000</f>
        <v>0</v>
      </c>
      <c r="AO39" s="325" t="s">
        <v>86</v>
      </c>
      <c r="AP39" s="326">
        <f>('18'!AP38/'18'!Y30)*1000</f>
        <v>7.746382746</v>
      </c>
      <c r="AQ39" s="327" t="s">
        <v>86</v>
      </c>
      <c r="AR39" s="328">
        <f>('18'!AR38/'18'!Y30)*1000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459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SUM('18'!AK38,'18'!AM38)</f>
        <v>0</v>
      </c>
      <c r="AM40" s="128"/>
      <c r="AO40" s="210" t="s">
        <v>90</v>
      </c>
      <c r="AP40" s="128"/>
      <c r="AQ40" s="211">
        <f>SUM('18'!AP38,'18'!AR38)</f>
        <v>2270</v>
      </c>
      <c r="AR40" s="128"/>
    </row>
    <row r="41" ht="16.5" customHeight="1">
      <c r="A41" s="212">
        <f>COUNTA('18'!E7:E18)</f>
        <v>12</v>
      </c>
      <c r="B41" s="213">
        <f>COUNTA('18'!I7:I18)</f>
        <v>12</v>
      </c>
      <c r="C41" s="214">
        <f>COUNTA('18'!J7:J18)</f>
        <v>12</v>
      </c>
      <c r="D41" s="80"/>
      <c r="E41" s="214">
        <f>COUNTIF('18'!E7:E18,"&gt;15")</f>
        <v>0</v>
      </c>
      <c r="F41" s="80"/>
      <c r="G41" s="214">
        <f>COUNTIF('18'!J7:J18,"&gt;1")</f>
        <v>0</v>
      </c>
      <c r="H41" s="80"/>
      <c r="I41" s="215"/>
      <c r="J41" s="214">
        <f>'18'!A41-'18'!E41</f>
        <v>12</v>
      </c>
      <c r="K41" s="80"/>
      <c r="L41" s="214">
        <f>'18'!C41-'18'!G41</f>
        <v>12</v>
      </c>
      <c r="M41" s="80"/>
      <c r="N41" s="215"/>
      <c r="O41" s="216">
        <f>COUNTIF('18'!J7:J18,"&lt;=0,5")</f>
        <v>0</v>
      </c>
      <c r="P41" s="217"/>
      <c r="Q41" s="218"/>
      <c r="R41" s="219"/>
      <c r="S41" s="220">
        <f>COUNTIF('18'!J7:J18,"&lt;=1,0")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SUM(('18'!AK38+'18'!AM38)/'18'!Y30)*1000</f>
        <v>0</v>
      </c>
      <c r="AM41" s="128"/>
      <c r="AO41" s="210" t="s">
        <v>91</v>
      </c>
      <c r="AP41" s="128"/>
      <c r="AQ41" s="223">
        <f>SUM(('18'!AP38+'18'!AR38)/'18'!Y30)*1000</f>
        <v>7.746382746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SUM('18'!Y45,'18'!AA45,'18'!AC45,'18'!AE45)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COUNTIF('18'!I7:I18,"&lt;=5,0")</f>
        <v>12</v>
      </c>
      <c r="I45" s="127"/>
      <c r="J45" s="128"/>
      <c r="K45" s="215"/>
      <c r="L45" s="208">
        <f>COUNTA('18'!L37)</f>
        <v>1</v>
      </c>
      <c r="M45" s="128"/>
      <c r="O45" s="248"/>
      <c r="P45" s="249"/>
      <c r="Q45" s="250">
        <f>'18'!S41-'18'!O41</f>
        <v>12</v>
      </c>
      <c r="R45" s="251"/>
      <c r="S45" s="252"/>
      <c r="T45" s="253"/>
      <c r="X45" s="133" t="s">
        <v>104</v>
      </c>
      <c r="Y45" s="254">
        <f>'18'!Y44*275.3</f>
        <v>0</v>
      </c>
      <c r="Z45" s="133" t="s">
        <v>104</v>
      </c>
      <c r="AA45" s="254">
        <f>262.4*'18'!AA44</f>
        <v>0</v>
      </c>
      <c r="AB45" s="133" t="s">
        <v>104</v>
      </c>
      <c r="AC45" s="254">
        <f>'18'!AC44*277.7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343"/>
      <c r="AP45" s="233"/>
      <c r="AQ45" s="233"/>
      <c r="AR45" s="89"/>
    </row>
    <row r="46" ht="15.75" customHeight="1">
      <c r="F46" s="257"/>
      <c r="X46" s="196" t="s">
        <v>105</v>
      </c>
      <c r="Y46" s="258">
        <f>'18'!AS6</f>
        <v>1.33</v>
      </c>
      <c r="Z46" s="196" t="s">
        <v>105</v>
      </c>
      <c r="AA46" s="258">
        <f>'18'!Y46</f>
        <v>1.33</v>
      </c>
      <c r="AB46" s="196" t="s">
        <v>105</v>
      </c>
      <c r="AC46" s="258">
        <f>'18'!Y46</f>
        <v>1.33</v>
      </c>
      <c r="AD46" s="196" t="s">
        <v>105</v>
      </c>
      <c r="AE46" s="329">
        <v>1.33</v>
      </c>
      <c r="AF46" s="260" t="s">
        <v>106</v>
      </c>
      <c r="AG46" s="261">
        <f>SUM('18'!Y47,'18'!AA47,'18'!AC47,'18'!AE47)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'18'!Y45*'18'!Y46</f>
        <v>0</v>
      </c>
      <c r="Z47" s="133" t="s">
        <v>108</v>
      </c>
      <c r="AA47" s="254">
        <f>'18'!AA45*'18'!AA46</f>
        <v>0</v>
      </c>
      <c r="AB47" s="133" t="s">
        <v>108</v>
      </c>
      <c r="AC47" s="254">
        <f>'18'!AC45*'18'!AC46</f>
        <v>0</v>
      </c>
      <c r="AD47" s="133" t="s">
        <v>108</v>
      </c>
      <c r="AE47" s="254">
        <f>'18'!AE45*'18'!AE46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262.4*'3'!AL46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'3'!AJ48</f>
        <v>1.33</v>
      </c>
      <c r="AM48" s="265" t="s">
        <v>105</v>
      </c>
      <c r="AN48" s="258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'3'!AL47*'3'!AL48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COUNTA('18'!O7:O18)</f>
        <v>12</v>
      </c>
      <c r="P51" s="128"/>
      <c r="R51" s="247">
        <f>COUNTIF('18'!O7:O18,"&gt;=0,5")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SUM('18'!Y53,'18'!AA53,'18'!AC53,'18'!AE53)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343" t="s">
        <v>102</v>
      </c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'18'!Y52*275.3</f>
        <v>0</v>
      </c>
      <c r="Z53" s="133" t="s">
        <v>104</v>
      </c>
      <c r="AA53" s="254">
        <f>262.4*'18'!AA52</f>
        <v>0</v>
      </c>
      <c r="AB53" s="133" t="s">
        <v>104</v>
      </c>
      <c r="AC53" s="276">
        <f>'18'!AC52*277.7</f>
        <v>0</v>
      </c>
      <c r="AD53" s="133" t="s">
        <v>104</v>
      </c>
      <c r="AE53" s="352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'18'!AS7</f>
        <v>1.377</v>
      </c>
      <c r="Z54" s="196" t="s">
        <v>105</v>
      </c>
      <c r="AA54" s="258">
        <f>'18'!Y54</f>
        <v>1.377</v>
      </c>
      <c r="AB54" s="196" t="s">
        <v>105</v>
      </c>
      <c r="AC54" s="258">
        <f>'18'!Y54</f>
        <v>1.377</v>
      </c>
      <c r="AD54" s="196" t="s">
        <v>105</v>
      </c>
      <c r="AE54" s="259">
        <f>'18'!Y54</f>
        <v>1.377</v>
      </c>
      <c r="AF54" s="260" t="s">
        <v>106</v>
      </c>
      <c r="AG54" s="261">
        <f>SUM('18'!Y55,'18'!AA55,'18'!AC55,'18'!AE55)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262.4*'3'!AL53</f>
        <v>0</v>
      </c>
      <c r="AM54" s="133" t="s">
        <v>104</v>
      </c>
      <c r="AN54" s="276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'18'!Y53*'18'!Y54</f>
        <v>0</v>
      </c>
      <c r="Z55" s="133" t="s">
        <v>108</v>
      </c>
      <c r="AA55" s="254">
        <f>'18'!AA53*'18'!AA54</f>
        <v>0</v>
      </c>
      <c r="AB55" s="133" t="s">
        <v>108</v>
      </c>
      <c r="AC55" s="254">
        <f>'18'!AC53*'18'!AC54</f>
        <v>0</v>
      </c>
      <c r="AD55" s="133" t="s">
        <v>108</v>
      </c>
      <c r="AE55" s="254">
        <f>'18'!AE53*'18'!AE54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>
        <f>AJ55</f>
        <v>1.377</v>
      </c>
      <c r="AM55" s="196" t="s">
        <v>105</v>
      </c>
      <c r="AN55" s="258">
        <f>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'3'!AL54*'3'!AL55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COUNTA('18'!N7:N18)</f>
        <v>12</v>
      </c>
      <c r="P57" s="128"/>
      <c r="R57" s="277">
        <f>COUNTIF('18'!N7:N18,"&gt;=6")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37772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-37772</v>
      </c>
      <c r="AR63" s="80"/>
    </row>
    <row r="64" ht="15.0" customHeight="1">
      <c r="X64" s="294" t="s">
        <v>135</v>
      </c>
      <c r="Y64" s="295"/>
      <c r="Z64" s="43"/>
      <c r="AA64" s="27"/>
      <c r="AB64" s="296"/>
      <c r="AC64" s="125"/>
      <c r="AE64" s="97"/>
    </row>
    <row r="65" ht="39.0" customHeight="1">
      <c r="X65" s="297" t="s">
        <v>126</v>
      </c>
      <c r="Y65" s="298">
        <f>'17'!$Y$68</f>
        <v>-22113.58333</v>
      </c>
      <c r="Z65" s="43"/>
      <c r="AA65" s="27"/>
      <c r="AB65" s="299" t="s">
        <v>126</v>
      </c>
      <c r="AC65" s="330">
        <f>'17'!$AC$68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SUM('18'!AK38,'18'!AP38)</f>
        <v>2270</v>
      </c>
      <c r="Z67" s="43"/>
      <c r="AA67" s="27"/>
      <c r="AB67" s="296" t="s">
        <v>124</v>
      </c>
      <c r="AC67" s="254">
        <f>SUM('18'!AM38,'18'!AR38)</f>
        <v>0</v>
      </c>
    </row>
    <row r="68" ht="15.75" customHeight="1">
      <c r="X68" s="294" t="s">
        <v>128</v>
      </c>
      <c r="Y68" s="301">
        <f>SUM('18'!Y63,'18'!Y65)-'18'!Y67+'18'!Y64</f>
        <v>-24383.58333</v>
      </c>
      <c r="Z68" s="16"/>
      <c r="AA68" s="18"/>
      <c r="AB68" s="296" t="s">
        <v>128</v>
      </c>
      <c r="AC68" s="302">
        <f>SUM('18'!AC63,'18'!AC65)-'18'!AC67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greaterThan">
      <formula>3</formula>
    </cfRule>
  </conditionalFormatting>
  <conditionalFormatting sqref="O20">
    <cfRule type="cellIs" dxfId="0" priority="4" operator="greaterThan">
      <formula>3</formula>
    </cfRule>
  </conditionalFormatting>
  <conditionalFormatting sqref="O21">
    <cfRule type="cellIs" dxfId="0" priority="5" operator="lessThan">
      <formula>2.5</formula>
    </cfRule>
  </conditionalFormatting>
  <conditionalFormatting sqref="O19">
    <cfRule type="cellIs" dxfId="0" priority="6" operator="lessThan">
      <formula>2.5</formula>
    </cfRule>
  </conditionalFormatting>
  <conditionalFormatting sqref="O19">
    <cfRule type="cellIs" dxfId="0" priority="7" operator="greaterThan">
      <formula>3</formula>
    </cfRule>
  </conditionalFormatting>
  <conditionalFormatting sqref="O19">
    <cfRule type="cellIs" dxfId="0" priority="8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0" width="8.71"/>
    <col customWidth="1" min="21" max="22" width="8.57"/>
    <col customWidth="1" min="23" max="23" width="8.14"/>
    <col customWidth="1" min="24" max="24" width="8.57"/>
    <col customWidth="1" min="25" max="25" width="6.14"/>
    <col customWidth="1" min="26" max="26" width="8.71"/>
    <col customWidth="1" min="27" max="27" width="8.57"/>
    <col customWidth="1" min="28" max="28" width="8.71"/>
    <col customWidth="1" min="29" max="40" width="8.57"/>
    <col customWidth="1" min="41" max="41" width="8.71"/>
    <col customWidth="1" min="42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6.5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460" t="s">
        <v>13</v>
      </c>
      <c r="U4" s="461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6.5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3339.0</v>
      </c>
      <c r="Z6" s="308">
        <v>1120.0</v>
      </c>
      <c r="AA6" s="56">
        <v>1.0</v>
      </c>
      <c r="AB6" s="58">
        <f>IF('19'!AA6=1,(('19'!Z6*'19'!$AS$6*'19'!$AT$6)/('19'!Y6*0.0036)),IF('19'!AA6=2,(('19'!Z6*'19'!$AS$7*'19'!$AT$7)/('19'!Y6*0.0036))))</f>
        <v>61.9613324</v>
      </c>
      <c r="AC6" s="58"/>
      <c r="AD6" s="59">
        <f>(('19'!AC6*'19'!$Q$10*1000000))/('19'!Y6*3600)</f>
        <v>0</v>
      </c>
      <c r="AE6" s="60"/>
      <c r="AF6" s="61">
        <f>('19'!AE6/24)*0.454</f>
        <v>0</v>
      </c>
      <c r="AG6" s="60"/>
      <c r="AH6" s="61">
        <f>('19'!AG6/24)*0.454</f>
        <v>0</v>
      </c>
      <c r="AI6" s="60">
        <v>5000.0</v>
      </c>
      <c r="AJ6" s="61">
        <f>('19'!AI6/24)*0.454</f>
        <v>94.58333333</v>
      </c>
      <c r="AK6" s="62"/>
      <c r="AL6" s="63">
        <f>('19'!AK6/24)*0.454</f>
        <v>0</v>
      </c>
      <c r="AM6" s="62"/>
      <c r="AN6" s="63">
        <f>('19'!AM6/24)*0.454</f>
        <v>0</v>
      </c>
      <c r="AO6" s="62"/>
      <c r="AP6" s="63">
        <f>('19'!AO6/24)*0.454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90.0</v>
      </c>
      <c r="C7" s="76">
        <v>15.0</v>
      </c>
      <c r="D7" s="76">
        <v>14.0</v>
      </c>
      <c r="E7" s="76">
        <v>5.0</v>
      </c>
      <c r="F7" s="76">
        <v>18.0</v>
      </c>
      <c r="G7" s="76">
        <v>1.1</v>
      </c>
      <c r="H7" s="76">
        <v>1.2</v>
      </c>
      <c r="I7" s="76">
        <v>0.6</v>
      </c>
      <c r="J7" s="76">
        <v>0.6</v>
      </c>
      <c r="K7" s="76">
        <v>7.0</v>
      </c>
      <c r="L7" s="76">
        <v>6.5</v>
      </c>
      <c r="M7" s="76">
        <v>6.5</v>
      </c>
      <c r="N7" s="61">
        <v>6.2</v>
      </c>
      <c r="O7" s="61">
        <v>3.5</v>
      </c>
      <c r="P7" s="76"/>
      <c r="Q7" s="310"/>
      <c r="R7" s="77">
        <f>'18'!$Z$29</f>
        <v>1120</v>
      </c>
      <c r="S7" s="309">
        <f>'18'!$AB$29</f>
        <v>62.01705302</v>
      </c>
      <c r="T7" s="77">
        <f>'18'!$Y$29</f>
        <v>3336</v>
      </c>
      <c r="U7" s="73" t="str">
        <f>IF('19'!AA6=1,'19'!AR6,'19'!AR7)</f>
        <v>S.A.L</v>
      </c>
      <c r="V7" s="462" t="str">
        <f>ESCALA!$C$20</f>
        <v/>
      </c>
      <c r="W7" s="12"/>
      <c r="X7" s="54">
        <v>0.0833333333333333</v>
      </c>
      <c r="Y7" s="125">
        <v>2715.0</v>
      </c>
      <c r="Z7" s="308">
        <v>1120.0</v>
      </c>
      <c r="AA7" s="56">
        <v>1.0</v>
      </c>
      <c r="AB7" s="58">
        <f>IF('19'!AA7=1,(('19'!Z7*'19'!$AS$6*'19'!$AT$6)/('19'!Y7*0.0036)),IF('19'!AA7=2,(('19'!Z7*'19'!$AS$7*'19'!$AT$7)/('19'!Y7*0.0036))))</f>
        <v>76.20216902</v>
      </c>
      <c r="AC7" s="58"/>
      <c r="AD7" s="59">
        <f>(('19'!AC7*'19'!$Q$10*1000000))/('19'!Y7*3600)</f>
        <v>0</v>
      </c>
      <c r="AE7" s="60"/>
      <c r="AF7" s="61">
        <f>('19'!AE7/24)*0.454</f>
        <v>0</v>
      </c>
      <c r="AG7" s="60"/>
      <c r="AH7" s="61">
        <f>('19'!AG7/24)*0.454</f>
        <v>0</v>
      </c>
      <c r="AI7" s="60">
        <v>5000.0</v>
      </c>
      <c r="AJ7" s="61">
        <f>('19'!AI7/24)*0.454</f>
        <v>94.58333333</v>
      </c>
      <c r="AK7" s="62"/>
      <c r="AL7" s="63">
        <f>('19'!AK7/24)*0.454</f>
        <v>0</v>
      </c>
      <c r="AM7" s="62"/>
      <c r="AN7" s="63">
        <f>('19'!AM7/24)*0.454</f>
        <v>0</v>
      </c>
      <c r="AO7" s="62"/>
      <c r="AP7" s="63">
        <f>('19'!AO7/24)*0.454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94.0</v>
      </c>
      <c r="C8" s="76">
        <v>15.0</v>
      </c>
      <c r="D8" s="76">
        <v>14.0</v>
      </c>
      <c r="E8" s="76">
        <v>5.0</v>
      </c>
      <c r="F8" s="76">
        <v>20.0</v>
      </c>
      <c r="G8" s="76">
        <v>1.2</v>
      </c>
      <c r="H8" s="76">
        <v>1.2</v>
      </c>
      <c r="I8" s="76">
        <v>0.6</v>
      </c>
      <c r="J8" s="76">
        <v>0.6</v>
      </c>
      <c r="K8" s="76">
        <v>7.0</v>
      </c>
      <c r="L8" s="76">
        <v>6.5</v>
      </c>
      <c r="M8" s="76">
        <v>6.5</v>
      </c>
      <c r="N8" s="61">
        <v>6.2</v>
      </c>
      <c r="O8" s="61">
        <v>3.5</v>
      </c>
      <c r="P8" s="76"/>
      <c r="Q8" s="310"/>
      <c r="R8" s="75">
        <f>'19'!Z11</f>
        <v>1120</v>
      </c>
      <c r="S8" s="76">
        <f>'19'!AB7</f>
        <v>76.20216902</v>
      </c>
      <c r="T8" s="77">
        <f>'19'!Y7</f>
        <v>2715</v>
      </c>
      <c r="U8" s="73" t="str">
        <f>IF('19'!AA7=1,'19'!AR6,'19'!AR7)</f>
        <v>S.A.L</v>
      </c>
      <c r="V8" s="43"/>
      <c r="W8" s="27"/>
      <c r="X8" s="54">
        <v>0.125</v>
      </c>
      <c r="Y8" s="125">
        <v>3344.0</v>
      </c>
      <c r="Z8" s="308">
        <v>1120.0</v>
      </c>
      <c r="AA8" s="56">
        <v>1.0</v>
      </c>
      <c r="AB8" s="58">
        <f>IF('19'!AA8=1,(('19'!Z8*'19'!$AS$6*'19'!$AT$6)/('19'!Y8*0.0036)),IF('19'!AA8=2,(('19'!Z8*'19'!$AS$7*'19'!$AT$7)/('19'!Y8*0.0036))))</f>
        <v>61.86868687</v>
      </c>
      <c r="AC8" s="58"/>
      <c r="AD8" s="59">
        <f>(('19'!AC8*'19'!$Q$10*1000000))/('19'!Y8*3600)</f>
        <v>0</v>
      </c>
      <c r="AE8" s="60"/>
      <c r="AF8" s="61">
        <f>('19'!AE8/24)*0.454</f>
        <v>0</v>
      </c>
      <c r="AG8" s="60"/>
      <c r="AH8" s="61">
        <f>('19'!AG8/24)*0.454</f>
        <v>0</v>
      </c>
      <c r="AI8" s="60">
        <v>5000.0</v>
      </c>
      <c r="AJ8" s="61">
        <f>('19'!AI8/24)*0.454</f>
        <v>94.58333333</v>
      </c>
      <c r="AK8" s="62"/>
      <c r="AL8" s="63">
        <f>('19'!AK8/24)*0.454</f>
        <v>0</v>
      </c>
      <c r="AM8" s="62"/>
      <c r="AN8" s="63">
        <f>('19'!AM8/24)*0.454</f>
        <v>0</v>
      </c>
      <c r="AO8" s="62"/>
      <c r="AP8" s="63">
        <f>('19'!AO8/24)*0.454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98.0</v>
      </c>
      <c r="C9" s="76">
        <v>16.0</v>
      </c>
      <c r="D9" s="76">
        <v>14.0</v>
      </c>
      <c r="E9" s="76">
        <v>4.0</v>
      </c>
      <c r="F9" s="76">
        <v>22.0</v>
      </c>
      <c r="G9" s="76">
        <v>1.3</v>
      </c>
      <c r="H9" s="76">
        <v>1.2</v>
      </c>
      <c r="I9" s="76">
        <v>0.6</v>
      </c>
      <c r="J9" s="76">
        <v>0.6</v>
      </c>
      <c r="K9" s="76">
        <v>7.0</v>
      </c>
      <c r="L9" s="76">
        <v>6.5</v>
      </c>
      <c r="M9" s="76">
        <v>6.5</v>
      </c>
      <c r="N9" s="61">
        <v>6.2</v>
      </c>
      <c r="O9" s="61">
        <v>3.2</v>
      </c>
      <c r="P9" s="76"/>
      <c r="Q9" s="310"/>
      <c r="R9" s="77">
        <f>'19'!Z13</f>
        <v>1120</v>
      </c>
      <c r="S9" s="76">
        <f>'19'!AB9</f>
        <v>61.44606145</v>
      </c>
      <c r="T9" s="77">
        <f>'19'!Y9</f>
        <v>3367</v>
      </c>
      <c r="U9" s="73" t="str">
        <f>IF('19'!AA9=1,'19'!AR6,'19'!AR7)</f>
        <v>S.A.L</v>
      </c>
      <c r="V9" s="43"/>
      <c r="W9" s="27"/>
      <c r="X9" s="54">
        <v>0.166666666666667</v>
      </c>
      <c r="Y9" s="125">
        <v>3367.0</v>
      </c>
      <c r="Z9" s="308">
        <v>1120.0</v>
      </c>
      <c r="AA9" s="56">
        <v>1.0</v>
      </c>
      <c r="AB9" s="58">
        <f>IF('19'!AA9=1,(('19'!Z9*'19'!$AS$6*'19'!$AT$6)/('19'!Y9*0.0036)),IF('9'!AA9=2,(('19'!Z9*'19'!$AS$7*'19'!$AT$7)/('19'!Y9*0.0036))))</f>
        <v>61.44606145</v>
      </c>
      <c r="AC9" s="58"/>
      <c r="AD9" s="59">
        <f>(('19'!AC9*'19'!$Q$10*1000000))/('19'!Y9*3600)</f>
        <v>0</v>
      </c>
      <c r="AE9" s="60"/>
      <c r="AF9" s="61">
        <f>('19'!AE9/24)*0.454</f>
        <v>0</v>
      </c>
      <c r="AG9" s="60"/>
      <c r="AH9" s="61">
        <f>('19'!AG9/24)*0.454</f>
        <v>0</v>
      </c>
      <c r="AI9" s="60">
        <v>5000.0</v>
      </c>
      <c r="AJ9" s="61">
        <f>('19'!AI9/24)*0.454</f>
        <v>94.58333333</v>
      </c>
      <c r="AK9" s="62"/>
      <c r="AL9" s="63">
        <f>('19'!AK9/24)*0.454</f>
        <v>0</v>
      </c>
      <c r="AM9" s="62"/>
      <c r="AN9" s="63">
        <f>('19'!AM9/24)*0.454</f>
        <v>0</v>
      </c>
      <c r="AO9" s="62"/>
      <c r="AP9" s="63">
        <f>('19'!AO9/24)*0.454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105.0</v>
      </c>
      <c r="C10" s="76">
        <v>16.0</v>
      </c>
      <c r="D10" s="76">
        <v>14.0</v>
      </c>
      <c r="E10" s="76">
        <v>4.0</v>
      </c>
      <c r="F10" s="76">
        <v>22.0</v>
      </c>
      <c r="G10" s="76">
        <v>1.4</v>
      </c>
      <c r="H10" s="76">
        <v>1.2</v>
      </c>
      <c r="I10" s="76">
        <v>0.6</v>
      </c>
      <c r="J10" s="76">
        <v>0.6</v>
      </c>
      <c r="K10" s="76">
        <v>7.0</v>
      </c>
      <c r="L10" s="76">
        <v>6.5</v>
      </c>
      <c r="M10" s="76">
        <v>6.5</v>
      </c>
      <c r="N10" s="61">
        <v>6.2</v>
      </c>
      <c r="O10" s="61">
        <v>3.2</v>
      </c>
      <c r="P10" s="76"/>
      <c r="Q10" s="310"/>
      <c r="R10" s="77">
        <f>'19'!Z15</f>
        <v>1120</v>
      </c>
      <c r="S10" s="76">
        <f>'19'!AB11</f>
        <v>61.31857999</v>
      </c>
      <c r="T10" s="77">
        <f>'19'!Y11</f>
        <v>3374</v>
      </c>
      <c r="U10" s="73" t="str">
        <f>IF('19'!AA11=1,'19'!AR6,'19'!AR7)</f>
        <v>S.A.L</v>
      </c>
      <c r="V10" s="43"/>
      <c r="W10" s="27"/>
      <c r="X10" s="54">
        <v>0.208333333333333</v>
      </c>
      <c r="Y10" s="125">
        <v>3373.0</v>
      </c>
      <c r="Z10" s="308">
        <v>1120.0</v>
      </c>
      <c r="AA10" s="56">
        <v>1.0</v>
      </c>
      <c r="AB10" s="58">
        <f>IF('19'!AA10=1,(('19'!Z10*'19'!$AS$6*'19'!$AT$6)/('19'!Y10*0.0036)),IF('19'!AA10=2,(('19'!Z10*'19'!$AS$7*'19'!$AT$7)/('19'!Y10*0.0036))))</f>
        <v>61.33675923</v>
      </c>
      <c r="AC10" s="58"/>
      <c r="AD10" s="59">
        <f>(('19'!AC10*'19'!$Q$10*1000000))/('19'!Y10*3600)</f>
        <v>0</v>
      </c>
      <c r="AE10" s="60"/>
      <c r="AF10" s="61">
        <f>('19'!AE10/24)*0.454</f>
        <v>0</v>
      </c>
      <c r="AG10" s="60"/>
      <c r="AH10" s="61">
        <f>('19'!AG10/24)*0.454</f>
        <v>0</v>
      </c>
      <c r="AI10" s="60">
        <v>5000.0</v>
      </c>
      <c r="AJ10" s="61">
        <f>('19'!AI10/24)*0.454</f>
        <v>94.58333333</v>
      </c>
      <c r="AK10" s="62"/>
      <c r="AL10" s="63">
        <f>('19'!AK10/24)*0.454</f>
        <v>0</v>
      </c>
      <c r="AM10" s="62"/>
      <c r="AN10" s="63">
        <f>('19'!AM10/24)*0.454</f>
        <v>0</v>
      </c>
      <c r="AO10" s="62"/>
      <c r="AP10" s="63">
        <f>('19'!AO10/24)*0.454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112.0</v>
      </c>
      <c r="C11" s="76">
        <v>15.0</v>
      </c>
      <c r="D11" s="76">
        <v>13.0</v>
      </c>
      <c r="E11" s="76">
        <v>5.0</v>
      </c>
      <c r="F11" s="76">
        <v>27.0</v>
      </c>
      <c r="G11" s="76">
        <v>2.0</v>
      </c>
      <c r="H11" s="76">
        <v>1.2</v>
      </c>
      <c r="I11" s="76">
        <v>0.6</v>
      </c>
      <c r="J11" s="76">
        <v>0.6</v>
      </c>
      <c r="K11" s="76">
        <v>6.9</v>
      </c>
      <c r="L11" s="76">
        <v>6.5</v>
      </c>
      <c r="M11" s="76">
        <v>6.5</v>
      </c>
      <c r="N11" s="61">
        <v>6.2</v>
      </c>
      <c r="O11" s="463">
        <v>2.7</v>
      </c>
      <c r="P11" s="76"/>
      <c r="Q11" s="310"/>
      <c r="R11" s="77">
        <f>'19'!Z17</f>
        <v>1120</v>
      </c>
      <c r="S11" s="76">
        <f>'19'!AB13</f>
        <v>61.35494926</v>
      </c>
      <c r="T11" s="77">
        <f>'19'!Y13</f>
        <v>3372</v>
      </c>
      <c r="U11" s="73" t="str">
        <f>IF('19'!AA13=1,'19'!AR6,'19'!AR7)</f>
        <v>S.A.L</v>
      </c>
      <c r="V11" s="16"/>
      <c r="W11" s="18"/>
      <c r="X11" s="54">
        <v>0.25</v>
      </c>
      <c r="Y11" s="125">
        <v>3374.0</v>
      </c>
      <c r="Z11" s="308">
        <v>1120.0</v>
      </c>
      <c r="AA11" s="56">
        <v>1.0</v>
      </c>
      <c r="AB11" s="58">
        <f>IF('19'!AA11=1,(('19'!Z11*'19'!$AS$6*'19'!$AT$6)/('19'!Y11*0.0036)),IF('19'!AA11=2,(('19'!Z11*'19'!$AS$7*'19'!$AT$7)/('19'!Y11*0.0036))))</f>
        <v>61.31857999</v>
      </c>
      <c r="AC11" s="58"/>
      <c r="AD11" s="59">
        <f>(('19'!AC11*'19'!$Q$10*1000000))/('19'!Y11*3600)</f>
        <v>0</v>
      </c>
      <c r="AE11" s="60"/>
      <c r="AF11" s="61">
        <f>('19'!AE11/24)*0.454</f>
        <v>0</v>
      </c>
      <c r="AG11" s="60"/>
      <c r="AH11" s="61">
        <f>('19'!AG11/24)*0.454</f>
        <v>0</v>
      </c>
      <c r="AI11" s="60">
        <v>5000.0</v>
      </c>
      <c r="AJ11" s="61">
        <f>('19'!AI11/24)*0.454</f>
        <v>94.58333333</v>
      </c>
      <c r="AK11" s="62"/>
      <c r="AL11" s="63">
        <f>('19'!AK11/24)*0.454</f>
        <v>0</v>
      </c>
      <c r="AM11" s="62"/>
      <c r="AN11" s="63">
        <f>('19'!AM11/24)*0.454</f>
        <v>0</v>
      </c>
      <c r="AO11" s="62"/>
      <c r="AP11" s="63">
        <f>('19'!AO11/24)*0.454</f>
        <v>0</v>
      </c>
    </row>
    <row r="12" ht="18.75" customHeight="1">
      <c r="A12" s="69">
        <v>0.416666666666667</v>
      </c>
      <c r="B12" s="76">
        <v>110.0</v>
      </c>
      <c r="C12" s="76">
        <v>15.0</v>
      </c>
      <c r="D12" s="76">
        <v>13.0</v>
      </c>
      <c r="E12" s="76">
        <v>5.0</v>
      </c>
      <c r="F12" s="76">
        <v>25.0</v>
      </c>
      <c r="G12" s="76">
        <v>2.0</v>
      </c>
      <c r="H12" s="76">
        <v>1.2</v>
      </c>
      <c r="I12" s="76">
        <v>0.6</v>
      </c>
      <c r="J12" s="76">
        <v>0.6</v>
      </c>
      <c r="K12" s="76">
        <v>6.9</v>
      </c>
      <c r="L12" s="76">
        <v>6.5</v>
      </c>
      <c r="M12" s="76">
        <v>6.5</v>
      </c>
      <c r="N12" s="61">
        <v>6.2</v>
      </c>
      <c r="O12" s="463">
        <v>2.7</v>
      </c>
      <c r="P12" s="76"/>
      <c r="Q12" s="310"/>
      <c r="R12" s="77">
        <f>'19'!Z19</f>
        <v>1120</v>
      </c>
      <c r="S12" s="76">
        <f>'19'!AB15</f>
        <v>65.78343049</v>
      </c>
      <c r="T12" s="77">
        <f>'19'!Y15</f>
        <v>3145</v>
      </c>
      <c r="U12" s="73" t="str">
        <f>IF('19'!AA15=1,'19'!AR6,'19'!AR7)</f>
        <v>S.A.L</v>
      </c>
      <c r="V12" s="88" t="str">
        <f>ESCALA!$B$21</f>
        <v/>
      </c>
      <c r="W12" s="89"/>
      <c r="X12" s="54">
        <v>0.291666666666667</v>
      </c>
      <c r="Y12" s="125">
        <v>3058.0</v>
      </c>
      <c r="Z12" s="308">
        <v>1120.0</v>
      </c>
      <c r="AA12" s="56">
        <v>1.0</v>
      </c>
      <c r="AB12" s="58">
        <f>IF('19'!AA12=1,(('19'!Z12*'19'!$AS$6*'19'!$AT$6)/('19'!Y12*0.0036)),IF('19'!AA12=2,(('19'!Z12*'19'!$AS$7*'19'!$AT$7)/('19'!Y12*0.0036))))</f>
        <v>67.65496694</v>
      </c>
      <c r="AC12" s="58"/>
      <c r="AD12" s="59">
        <f>(('19'!AC12*'19'!$Q$10*1000000))/('19'!Y12*3600)</f>
        <v>0</v>
      </c>
      <c r="AE12" s="60"/>
      <c r="AF12" s="61">
        <f>('19'!AE12/24)*0.454</f>
        <v>0</v>
      </c>
      <c r="AG12" s="60"/>
      <c r="AH12" s="61">
        <f>('19'!AG12/24)*0.454</f>
        <v>0</v>
      </c>
      <c r="AI12" s="60">
        <v>5000.0</v>
      </c>
      <c r="AJ12" s="61">
        <f>('19'!AI12/24)*0.454</f>
        <v>94.58333333</v>
      </c>
      <c r="AK12" s="62"/>
      <c r="AL12" s="63">
        <f>('19'!AK12/24)*0.454</f>
        <v>0</v>
      </c>
      <c r="AM12" s="62"/>
      <c r="AN12" s="63">
        <f>('19'!AM12/24)*0.454</f>
        <v>0</v>
      </c>
      <c r="AO12" s="62"/>
      <c r="AP12" s="63">
        <f>('19'!AO12/24)*0.454</f>
        <v>0</v>
      </c>
    </row>
    <row r="13" ht="18.75" customHeight="1">
      <c r="A13" s="69">
        <v>0.5</v>
      </c>
      <c r="B13" s="76">
        <v>116.0</v>
      </c>
      <c r="C13" s="76">
        <v>16.0</v>
      </c>
      <c r="D13" s="76">
        <v>13.0</v>
      </c>
      <c r="E13" s="76">
        <v>6.0</v>
      </c>
      <c r="F13" s="76">
        <v>29.0</v>
      </c>
      <c r="G13" s="76">
        <v>1.9</v>
      </c>
      <c r="H13" s="76">
        <v>1.1</v>
      </c>
      <c r="I13" s="76">
        <v>0.6</v>
      </c>
      <c r="J13" s="76">
        <v>0.7</v>
      </c>
      <c r="K13" s="76">
        <v>6.9</v>
      </c>
      <c r="L13" s="76">
        <v>6.5</v>
      </c>
      <c r="M13" s="76">
        <v>6.5</v>
      </c>
      <c r="N13" s="61">
        <v>6.2</v>
      </c>
      <c r="O13" s="463">
        <v>2.8</v>
      </c>
      <c r="P13" s="76"/>
      <c r="Q13" s="310"/>
      <c r="R13" s="77">
        <f>'19'!Z21</f>
        <v>1120</v>
      </c>
      <c r="S13" s="76">
        <f>'19'!AB17</f>
        <v>63.50180752</v>
      </c>
      <c r="T13" s="77">
        <f>'19'!Y17</f>
        <v>3258</v>
      </c>
      <c r="U13" s="73" t="str">
        <f>IF('19'!AA17=1,'19'!AR6,'19'!AR7)</f>
        <v>S.A.L</v>
      </c>
      <c r="V13" s="43"/>
      <c r="W13" s="27"/>
      <c r="X13" s="54">
        <v>0.333333333333333</v>
      </c>
      <c r="Y13" s="125">
        <v>3372.0</v>
      </c>
      <c r="Z13" s="308">
        <v>1120.0</v>
      </c>
      <c r="AA13" s="56">
        <v>1.0</v>
      </c>
      <c r="AB13" s="58">
        <f>IF('19'!AA13=1,(('19'!Z13*'19'!$AS$6*'19'!$AT$6)/('19'!Y13*0.0036)),IF('19'!AA13=2,(('19'!Z13*'19'!$AS$7*'19'!$AT$7)/('19'!Y13*0.0036))))</f>
        <v>61.35494926</v>
      </c>
      <c r="AC13" s="58"/>
      <c r="AD13" s="59">
        <f>(('19'!AC13*'19'!$Q$10*1000000))/('19'!Y13*3600)</f>
        <v>0</v>
      </c>
      <c r="AE13" s="60"/>
      <c r="AF13" s="61">
        <f>('19'!AE13/24)*0.454</f>
        <v>0</v>
      </c>
      <c r="AG13" s="60"/>
      <c r="AH13" s="61">
        <f>('19'!AG13/24)*0.454</f>
        <v>0</v>
      </c>
      <c r="AI13" s="60">
        <v>5000.0</v>
      </c>
      <c r="AJ13" s="61">
        <f>('19'!AI13/24)*0.454</f>
        <v>94.58333333</v>
      </c>
      <c r="AK13" s="62"/>
      <c r="AL13" s="63">
        <f>('19'!AK13/24)*0.454</f>
        <v>0</v>
      </c>
      <c r="AM13" s="62"/>
      <c r="AN13" s="63">
        <f>('19'!AM13/24)*0.454</f>
        <v>0</v>
      </c>
      <c r="AO13" s="62"/>
      <c r="AP13" s="63">
        <f>('19'!AO13/24)*0.454</f>
        <v>0</v>
      </c>
    </row>
    <row r="14" ht="18.75" customHeight="1">
      <c r="A14" s="69">
        <v>0.583333333333333</v>
      </c>
      <c r="B14" s="76">
        <v>129.0</v>
      </c>
      <c r="C14" s="76">
        <v>15.0</v>
      </c>
      <c r="D14" s="76">
        <v>13.0</v>
      </c>
      <c r="E14" s="76">
        <v>6.5</v>
      </c>
      <c r="F14" s="76">
        <v>35.0</v>
      </c>
      <c r="G14" s="76">
        <v>1.9</v>
      </c>
      <c r="H14" s="76">
        <v>1.1</v>
      </c>
      <c r="I14" s="76">
        <v>0.7</v>
      </c>
      <c r="J14" s="76">
        <v>0.8</v>
      </c>
      <c r="K14" s="76">
        <v>6.9</v>
      </c>
      <c r="L14" s="76">
        <v>6.5</v>
      </c>
      <c r="M14" s="76">
        <v>6.5</v>
      </c>
      <c r="N14" s="61">
        <v>6.2</v>
      </c>
      <c r="O14" s="463">
        <v>2.8</v>
      </c>
      <c r="P14" s="76"/>
      <c r="Q14" s="310"/>
      <c r="R14" s="77">
        <f>'19'!Z19</f>
        <v>1120</v>
      </c>
      <c r="S14" s="76">
        <f>'19'!AB19</f>
        <v>62.07287395</v>
      </c>
      <c r="T14" s="77">
        <f>'19'!Y19</f>
        <v>3333</v>
      </c>
      <c r="U14" s="73" t="str">
        <f>IF('19'!AA19=1,'19'!AR6,'19'!AR7)</f>
        <v>S.A.L</v>
      </c>
      <c r="V14" s="43"/>
      <c r="W14" s="27"/>
      <c r="X14" s="54">
        <v>0.375</v>
      </c>
      <c r="Y14" s="125">
        <v>3400.0</v>
      </c>
      <c r="Z14" s="308">
        <v>1120.0</v>
      </c>
      <c r="AA14" s="56">
        <v>1.0</v>
      </c>
      <c r="AB14" s="58">
        <f>IF('19'!AA14=1,(('19'!Z18*'19'!$AS$6*'19'!$AT$6)/('19'!Y14*0.0036)),IF('19'!AA14=2,(('19'!Z18*'19'!$AS$7*'19'!$AT$7)/('19'!Y14*0.0036))))</f>
        <v>60.8496732</v>
      </c>
      <c r="AC14" s="58"/>
      <c r="AD14" s="59">
        <f>(('19'!AC14*'19'!$Q$10*1000000))/('19'!Y14*3600)</f>
        <v>0</v>
      </c>
      <c r="AE14" s="60"/>
      <c r="AF14" s="61">
        <f>('19'!AE14/24)*0.454</f>
        <v>0</v>
      </c>
      <c r="AG14" s="60"/>
      <c r="AH14" s="61">
        <f>('19'!AG14/24)*0.454</f>
        <v>0</v>
      </c>
      <c r="AI14" s="60">
        <v>5000.0</v>
      </c>
      <c r="AJ14" s="61">
        <f>('19'!AI14/24)*0.454</f>
        <v>94.58333333</v>
      </c>
      <c r="AK14" s="62"/>
      <c r="AL14" s="63">
        <f>('19'!AK14/24)*0.454</f>
        <v>0</v>
      </c>
      <c r="AM14" s="62"/>
      <c r="AN14" s="63">
        <f>('19'!AM14/24)*0.454</f>
        <v>0</v>
      </c>
      <c r="AO14" s="62"/>
      <c r="AP14" s="63">
        <f>('19'!AO14/24)*0.454</f>
        <v>0</v>
      </c>
    </row>
    <row r="15" ht="18.75" customHeight="1">
      <c r="A15" s="69">
        <v>0.666666666666667</v>
      </c>
      <c r="B15" s="76">
        <v>183.0</v>
      </c>
      <c r="C15" s="76">
        <v>17.0</v>
      </c>
      <c r="D15" s="76">
        <v>14.0</v>
      </c>
      <c r="E15" s="76">
        <v>7.0</v>
      </c>
      <c r="F15" s="76">
        <v>76.0</v>
      </c>
      <c r="G15" s="76">
        <v>2.5</v>
      </c>
      <c r="H15" s="76">
        <v>1.6</v>
      </c>
      <c r="I15" s="76">
        <v>0.7</v>
      </c>
      <c r="J15" s="76">
        <v>0.7</v>
      </c>
      <c r="K15" s="76">
        <v>6.9</v>
      </c>
      <c r="L15" s="76">
        <v>6.5</v>
      </c>
      <c r="M15" s="76">
        <v>6.5</v>
      </c>
      <c r="N15" s="61">
        <v>6.2</v>
      </c>
      <c r="O15" s="463">
        <v>2.8</v>
      </c>
      <c r="P15" s="76"/>
      <c r="Q15" s="310"/>
      <c r="R15" s="77">
        <f>'19'!Z21</f>
        <v>1120</v>
      </c>
      <c r="S15" s="76">
        <f>'19'!AB21</f>
        <v>61.61074714</v>
      </c>
      <c r="T15" s="77">
        <f>'19'!Y21</f>
        <v>3358</v>
      </c>
      <c r="U15" s="73" t="str">
        <f>IF('19'!AA21=1,'19'!AR6,'19'!AR7)</f>
        <v>S.A.L</v>
      </c>
      <c r="V15" s="43"/>
      <c r="W15" s="27"/>
      <c r="X15" s="54">
        <v>0.416666666666667</v>
      </c>
      <c r="Y15" s="125">
        <v>3145.0</v>
      </c>
      <c r="Z15" s="308">
        <v>1120.0</v>
      </c>
      <c r="AA15" s="56">
        <v>1.0</v>
      </c>
      <c r="AB15" s="58">
        <f>IF('19'!AA15=1,(('19'!Z19*'19'!$AS$6*'19'!$AT$6)/('19'!Y15*0.0036)),IF('19'!AA15=2,(('19'!Z19*'19'!$AS$7*'19'!$AT$7)/('19'!Y15*0.0036))))</f>
        <v>65.78343049</v>
      </c>
      <c r="AC15" s="58"/>
      <c r="AD15" s="59">
        <f>(('19'!AC15*'19'!$Q$10*1000000))/('19'!Y15*3600)</f>
        <v>0</v>
      </c>
      <c r="AE15" s="60"/>
      <c r="AF15" s="61">
        <f>('19'!AE15/24)*0.454</f>
        <v>0</v>
      </c>
      <c r="AG15" s="60"/>
      <c r="AH15" s="61">
        <f>('19'!AG15/24)*0.454</f>
        <v>0</v>
      </c>
      <c r="AI15" s="60">
        <v>5000.0</v>
      </c>
      <c r="AJ15" s="61">
        <f>('19'!AI15/24)*0.454</f>
        <v>94.58333333</v>
      </c>
      <c r="AK15" s="62"/>
      <c r="AL15" s="63">
        <f>('19'!AK15/24)*0.454</f>
        <v>0</v>
      </c>
      <c r="AM15" s="62"/>
      <c r="AN15" s="63">
        <f>('19'!AM15/24)*0.454</f>
        <v>0</v>
      </c>
      <c r="AO15" s="62"/>
      <c r="AP15" s="63">
        <f>('19'!AO15/24)*0.454</f>
        <v>0</v>
      </c>
    </row>
    <row r="16" ht="18.75" customHeight="1">
      <c r="A16" s="69">
        <v>0.75</v>
      </c>
      <c r="B16" s="76">
        <v>242.0</v>
      </c>
      <c r="C16" s="76">
        <v>18.0</v>
      </c>
      <c r="D16" s="76">
        <v>15.0</v>
      </c>
      <c r="E16" s="76">
        <v>8.0</v>
      </c>
      <c r="F16" s="76">
        <v>111.0</v>
      </c>
      <c r="G16" s="76">
        <v>3.6</v>
      </c>
      <c r="H16" s="76">
        <v>2.2</v>
      </c>
      <c r="I16" s="76">
        <v>0.7</v>
      </c>
      <c r="J16" s="76">
        <v>0.9</v>
      </c>
      <c r="K16" s="76">
        <v>6.9</v>
      </c>
      <c r="L16" s="76">
        <v>6.5</v>
      </c>
      <c r="M16" s="76">
        <v>6.5</v>
      </c>
      <c r="N16" s="61">
        <v>6.2</v>
      </c>
      <c r="O16" s="463">
        <v>2.8</v>
      </c>
      <c r="P16" s="76"/>
      <c r="Q16" s="310"/>
      <c r="R16" s="77">
        <f>'19'!Z23</f>
        <v>1400</v>
      </c>
      <c r="S16" s="454">
        <f>'19'!AB23</f>
        <v>76.94469239</v>
      </c>
      <c r="T16" s="77">
        <f>'19'!Y23</f>
        <v>3361</v>
      </c>
      <c r="U16" s="73" t="str">
        <f>IF('19'!AA23=1,'19'!AR6,'19'!AR7)</f>
        <v>S.A.L</v>
      </c>
      <c r="V16" s="16"/>
      <c r="W16" s="18"/>
      <c r="X16" s="54">
        <v>0.458333333333333</v>
      </c>
      <c r="Y16" s="125">
        <v>3209.0</v>
      </c>
      <c r="Z16" s="308">
        <v>1120.0</v>
      </c>
      <c r="AA16" s="56">
        <v>1.0</v>
      </c>
      <c r="AB16" s="58">
        <f>IF('19'!AA16=1,(('19'!Z20*'19'!$AS$6*'19'!$AT$6)/('19'!Y16*0.0036)),IF('19'!AA16=2,(('19'!Z20*'19'!$AS$7*'19'!$AT$7)/('19'!Y16*0.0036))))</f>
        <v>64.47145182</v>
      </c>
      <c r="AC16" s="58"/>
      <c r="AD16" s="59">
        <f>(('19'!AC16*'19'!$Q$10*1000000))/('19'!Y16*3600)</f>
        <v>0</v>
      </c>
      <c r="AE16" s="60"/>
      <c r="AF16" s="61">
        <f>('19'!AE16/24)*0.454</f>
        <v>0</v>
      </c>
      <c r="AG16" s="60"/>
      <c r="AH16" s="61">
        <f>('19'!AG16/24)*0.454</f>
        <v>0</v>
      </c>
      <c r="AI16" s="60">
        <v>5000.0</v>
      </c>
      <c r="AJ16" s="61">
        <f>('19'!AI16/24)*0.454</f>
        <v>94.58333333</v>
      </c>
      <c r="AK16" s="62"/>
      <c r="AL16" s="63">
        <f>('19'!AK16/24)*0.454</f>
        <v>0</v>
      </c>
      <c r="AM16" s="62"/>
      <c r="AN16" s="63">
        <f>('19'!AM16/24)*0.454</f>
        <v>0</v>
      </c>
      <c r="AO16" s="62"/>
      <c r="AP16" s="63">
        <f>('19'!AO16/24)*0.454</f>
        <v>0</v>
      </c>
    </row>
    <row r="17" ht="18.75" customHeight="1">
      <c r="A17" s="69">
        <v>0.833333333333333</v>
      </c>
      <c r="B17" s="76">
        <v>245.0</v>
      </c>
      <c r="C17" s="76">
        <v>16.0</v>
      </c>
      <c r="D17" s="76">
        <v>14.0</v>
      </c>
      <c r="E17" s="76">
        <v>8.0</v>
      </c>
      <c r="F17" s="76">
        <v>111.0</v>
      </c>
      <c r="G17" s="76">
        <v>3.2</v>
      </c>
      <c r="H17" s="76">
        <v>1.9</v>
      </c>
      <c r="I17" s="76">
        <v>0.8</v>
      </c>
      <c r="J17" s="76">
        <v>1.5</v>
      </c>
      <c r="K17" s="76">
        <v>6.9</v>
      </c>
      <c r="L17" s="76">
        <v>6.5</v>
      </c>
      <c r="M17" s="76">
        <v>6.5</v>
      </c>
      <c r="N17" s="61">
        <v>6.2</v>
      </c>
      <c r="O17" s="463">
        <v>2.8</v>
      </c>
      <c r="P17" s="76"/>
      <c r="Q17" s="310"/>
      <c r="R17" s="77">
        <f>'19'!Z25</f>
        <v>1400</v>
      </c>
      <c r="S17" s="76">
        <f>'19'!AB25</f>
        <v>76.55746332</v>
      </c>
      <c r="T17" s="77">
        <f>'19'!Y25</f>
        <v>3378</v>
      </c>
      <c r="U17" s="73" t="str">
        <f>IF('19'!AA25=1,'19'!AR6,'19'!AR7)</f>
        <v>S.A.L</v>
      </c>
      <c r="V17" s="90" t="str">
        <f>ESCALA!$C$21</f>
        <v/>
      </c>
      <c r="W17" s="89"/>
      <c r="X17" s="54">
        <v>0.5</v>
      </c>
      <c r="Y17" s="125">
        <v>3258.0</v>
      </c>
      <c r="Z17" s="308">
        <v>1120.0</v>
      </c>
      <c r="AA17" s="56">
        <v>1.0</v>
      </c>
      <c r="AB17" s="58">
        <f>IF('19'!AA17=1,(('19'!Z21*'19'!$AS$6*'19'!$AT$6)/('19'!Y17*0.0036)),IF('19'!AA17=2,(('19'!Z21*'19'!$AS$7*'19'!$AT$7)/('19'!Y17*0.0036))))</f>
        <v>63.50180752</v>
      </c>
      <c r="AC17" s="58"/>
      <c r="AD17" s="59">
        <f>(('19'!AC17*'19'!$Q$10*1000000))/('19'!Y17*3600)</f>
        <v>0</v>
      </c>
      <c r="AE17" s="60"/>
      <c r="AF17" s="61">
        <f>('19'!AE17/24)*0.454</f>
        <v>0</v>
      </c>
      <c r="AG17" s="60"/>
      <c r="AH17" s="61">
        <f>('19'!AG17/24)*0.454</f>
        <v>0</v>
      </c>
      <c r="AI17" s="60">
        <v>5000.0</v>
      </c>
      <c r="AJ17" s="61">
        <f>('19'!AI17/24)*0.454</f>
        <v>94.58333333</v>
      </c>
      <c r="AK17" s="62"/>
      <c r="AL17" s="63">
        <f>('19'!AK17/24)*0.454</f>
        <v>0</v>
      </c>
      <c r="AM17" s="62"/>
      <c r="AN17" s="63">
        <f>('19'!AM17/24)*0.454</f>
        <v>0</v>
      </c>
      <c r="AO17" s="62"/>
      <c r="AP17" s="63">
        <f>('19'!AO17/24)*0.454</f>
        <v>0</v>
      </c>
    </row>
    <row r="18" ht="19.5" customHeight="1">
      <c r="A18" s="69">
        <v>0.916666666666667</v>
      </c>
      <c r="B18" s="76">
        <v>245.0</v>
      </c>
      <c r="C18" s="76">
        <v>16.0</v>
      </c>
      <c r="D18" s="76">
        <v>14.0</v>
      </c>
      <c r="E18" s="76">
        <v>8.0</v>
      </c>
      <c r="F18" s="76">
        <v>110.0</v>
      </c>
      <c r="G18" s="76">
        <v>3.1</v>
      </c>
      <c r="H18" s="76">
        <v>1.8</v>
      </c>
      <c r="I18" s="76">
        <v>0.8</v>
      </c>
      <c r="J18" s="76">
        <v>1.2</v>
      </c>
      <c r="K18" s="76">
        <v>6.9</v>
      </c>
      <c r="L18" s="76">
        <v>6.5</v>
      </c>
      <c r="M18" s="76">
        <v>6.5</v>
      </c>
      <c r="N18" s="61">
        <v>6.2</v>
      </c>
      <c r="O18" s="463">
        <v>3.0</v>
      </c>
      <c r="P18" s="76"/>
      <c r="Q18" s="310"/>
      <c r="R18" s="77">
        <f>'19'!Z27</f>
        <v>1400</v>
      </c>
      <c r="S18" s="76">
        <f>'19'!AB27</f>
        <v>76.48953301</v>
      </c>
      <c r="T18" s="77">
        <f>'19'!Y27</f>
        <v>3381</v>
      </c>
      <c r="U18" s="73" t="str">
        <f>IF('19'!AA27=1,'19'!AR6,'19'!AR7)</f>
        <v>S.A.L</v>
      </c>
      <c r="V18" s="16"/>
      <c r="W18" s="18"/>
      <c r="X18" s="54">
        <v>0.541666666666667</v>
      </c>
      <c r="Y18" s="125">
        <v>3268.0</v>
      </c>
      <c r="Z18" s="308">
        <v>1120.0</v>
      </c>
      <c r="AA18" s="56">
        <v>1.0</v>
      </c>
      <c r="AB18" s="58">
        <f>IF('19'!AA18=1,(('19'!Z18*'19'!$AS$6*'19'!$AT$6)/('19'!Y18*0.0036)),IF('19'!AA18=2,(('19'!Z18*'19'!$AS$7*'19'!$AT$7)/('19'!Y18*0.0036))))</f>
        <v>63.30749354</v>
      </c>
      <c r="AC18" s="58"/>
      <c r="AD18" s="59">
        <f>(('19'!AC18*'19'!$Q$10*1000000))/('19'!Y18*3600)</f>
        <v>0</v>
      </c>
      <c r="AE18" s="60"/>
      <c r="AF18" s="61">
        <f>('19'!AE18/24)*0.454</f>
        <v>0</v>
      </c>
      <c r="AG18" s="60"/>
      <c r="AH18" s="61">
        <f>('19'!AG18/24)*0.454</f>
        <v>0</v>
      </c>
      <c r="AI18" s="60">
        <v>5000.0</v>
      </c>
      <c r="AJ18" s="61">
        <f>('19'!AI18/24)*0.454</f>
        <v>94.58333333</v>
      </c>
      <c r="AK18" s="62"/>
      <c r="AL18" s="63">
        <f>('19'!AK18/24)*0.454</f>
        <v>0</v>
      </c>
      <c r="AM18" s="62"/>
      <c r="AN18" s="63">
        <f>('19'!AM18/24)*0.454</f>
        <v>0</v>
      </c>
      <c r="AO18" s="62"/>
      <c r="AP18" s="63">
        <f>('19'!AO18/24)*0.454</f>
        <v>0</v>
      </c>
    </row>
    <row r="19" ht="18.75" customHeight="1">
      <c r="A19" s="51" t="s">
        <v>52</v>
      </c>
      <c r="B19" s="91">
        <f>AVERAGE('19'!B7:B18)</f>
        <v>147.4166667</v>
      </c>
      <c r="C19" s="92">
        <f>AVERAGE('19'!C7:C18)</f>
        <v>15.83333333</v>
      </c>
      <c r="D19" s="92">
        <f>AVERAGE('19'!D7:D18)</f>
        <v>13.75</v>
      </c>
      <c r="E19" s="92">
        <f>AVERAGE('19'!E7:E18)</f>
        <v>5.958333333</v>
      </c>
      <c r="F19" s="92">
        <f>AVERAGE('19'!F8:F18)</f>
        <v>53.45454545</v>
      </c>
      <c r="G19" s="92">
        <f>AVERAGE('19'!G7:G18)</f>
        <v>2.1</v>
      </c>
      <c r="H19" s="92">
        <f>AVERAGE('19'!H7:H18)</f>
        <v>1.408333333</v>
      </c>
      <c r="I19" s="92">
        <f>AVERAGE('19'!I7:I18)</f>
        <v>0.6583333333</v>
      </c>
      <c r="J19" s="92">
        <f>AVERAGE('19'!J7:J18)</f>
        <v>0.7833333333</v>
      </c>
      <c r="K19" s="92">
        <f>AVERAGE('19'!K8:K18)</f>
        <v>6.927272727</v>
      </c>
      <c r="L19" s="92">
        <f>AVERAGE('19'!L8:L18)</f>
        <v>6.5</v>
      </c>
      <c r="M19" s="92">
        <f>AVERAGE('19'!M8:M18)</f>
        <v>6.5</v>
      </c>
      <c r="N19" s="92">
        <f>AVERAGE('19'!N8:N18)</f>
        <v>6.2</v>
      </c>
      <c r="O19" s="92">
        <f>AVERAGE('19'!O7:O18)</f>
        <v>2.983333333</v>
      </c>
      <c r="P19" s="93" t="str">
        <f>AVERAGE('19'!P7:P18)</f>
        <v>#DIV/0!</v>
      </c>
      <c r="Q19" s="94" t="str">
        <f>AVERAGE('19'!Q7:Q18)</f>
        <v>#DIV/0!</v>
      </c>
      <c r="R19" s="94">
        <f>AVERAGE('19'!R7:R18)</f>
        <v>1190</v>
      </c>
      <c r="S19" s="94">
        <f>AVERAGE('19'!S7:S18)</f>
        <v>67.10828005</v>
      </c>
      <c r="T19" s="95"/>
      <c r="U19" s="96"/>
      <c r="V19" s="97"/>
      <c r="W19" s="97"/>
      <c r="X19" s="54">
        <v>0.583333333333333</v>
      </c>
      <c r="Y19" s="125">
        <v>3333.0</v>
      </c>
      <c r="Z19" s="308">
        <v>1120.0</v>
      </c>
      <c r="AA19" s="56">
        <v>1.0</v>
      </c>
      <c r="AB19" s="58">
        <f>IF('19'!AA19=1,(('19'!Z19*'19'!$AS$6*'19'!$AT$6)/('19'!Y19*0.0036)),IF('19'!AA19=2,(('19'!Z19*'19'!$AS$7*'19'!$AT$7)/('19'!Y19*0.0036))))</f>
        <v>62.07287395</v>
      </c>
      <c r="AC19" s="58"/>
      <c r="AD19" s="59">
        <f>(('19'!AC19*'19'!$Q$10*1000000))/('19'!Y19*3600)</f>
        <v>0</v>
      </c>
      <c r="AE19" s="60"/>
      <c r="AF19" s="61">
        <f>('19'!AE19/24)*0.454</f>
        <v>0</v>
      </c>
      <c r="AG19" s="60"/>
      <c r="AH19" s="61">
        <f>('19'!AG19/24)*0.454</f>
        <v>0</v>
      </c>
      <c r="AI19" s="60">
        <v>5000.0</v>
      </c>
      <c r="AJ19" s="61">
        <f>('19'!AI19/24)*0.454</f>
        <v>94.58333333</v>
      </c>
      <c r="AK19" s="62"/>
      <c r="AL19" s="63">
        <f>('19'!AK19/24)*0.454</f>
        <v>0</v>
      </c>
      <c r="AM19" s="62"/>
      <c r="AN19" s="63">
        <f>('19'!AM19/24)*0.454</f>
        <v>0</v>
      </c>
      <c r="AO19" s="62"/>
      <c r="AP19" s="63">
        <f>('19'!AO19/24)*0.454</f>
        <v>0</v>
      </c>
    </row>
    <row r="20" ht="18.75" customHeight="1">
      <c r="A20" s="51" t="s">
        <v>53</v>
      </c>
      <c r="B20" s="91">
        <f>MAX('19'!B7:B18)</f>
        <v>245</v>
      </c>
      <c r="C20" s="91">
        <f>MAX('19'!C7:C18)</f>
        <v>18</v>
      </c>
      <c r="D20" s="92">
        <f>MAX('19'!D7:D18)</f>
        <v>15</v>
      </c>
      <c r="E20" s="92">
        <f>MAX('19'!E7:E18)</f>
        <v>8</v>
      </c>
      <c r="F20" s="92">
        <f>MAX('19'!F8:F18)</f>
        <v>111</v>
      </c>
      <c r="G20" s="92">
        <f>MAX('19'!G7:G18)</f>
        <v>3.6</v>
      </c>
      <c r="H20" s="92">
        <f>MAX('19'!H7:H18)</f>
        <v>2.2</v>
      </c>
      <c r="I20" s="92">
        <f>MAX('19'!I7:I18)</f>
        <v>0.8</v>
      </c>
      <c r="J20" s="92">
        <f>MAX('19'!J7:J18)</f>
        <v>1.5</v>
      </c>
      <c r="K20" s="92">
        <f>MAX('19'!K8:K18)</f>
        <v>7</v>
      </c>
      <c r="L20" s="92">
        <f>MAX('19'!L8:L18)</f>
        <v>6.5</v>
      </c>
      <c r="M20" s="92">
        <f>MAX('19'!M8:M18)</f>
        <v>6.5</v>
      </c>
      <c r="N20" s="92">
        <f>MAX('19'!N8:N18)</f>
        <v>6.2</v>
      </c>
      <c r="O20" s="98">
        <f>MAX('19'!O7:O18)</f>
        <v>3.5</v>
      </c>
      <c r="P20" s="98">
        <f>MAX('19'!P7:P18)</f>
        <v>0</v>
      </c>
      <c r="Q20" s="98">
        <f>MAX('19'!Q7:Q18)</f>
        <v>0</v>
      </c>
      <c r="R20" s="98">
        <f>MAX('19'!R7:R18)</f>
        <v>1400</v>
      </c>
      <c r="S20" s="98">
        <f>MAX('19'!S7:S18)</f>
        <v>76.94469239</v>
      </c>
      <c r="T20" s="99"/>
      <c r="U20" s="21"/>
      <c r="X20" s="54">
        <v>0.625</v>
      </c>
      <c r="Y20" s="125">
        <v>3381.0</v>
      </c>
      <c r="Z20" s="308">
        <v>1120.0</v>
      </c>
      <c r="AA20" s="56">
        <v>1.0</v>
      </c>
      <c r="AB20" s="58">
        <f>IF('19'!AA20=1,(('19'!Z20*'19'!$AS$6*'19'!$AT$6)/('19'!Y20*0.0036)),IF('19'!AA20=2,(('19'!Z20*'19'!$AS$7*'19'!$AT$7)/('19'!Y20*0.0036))))</f>
        <v>61.19162641</v>
      </c>
      <c r="AC20" s="58"/>
      <c r="AD20" s="59">
        <f>(('19'!AC20*'19'!$Q$10*1000000))/('19'!Y20*3600)</f>
        <v>0</v>
      </c>
      <c r="AE20" s="60"/>
      <c r="AF20" s="61">
        <f>('19'!AE20/24)*0.454</f>
        <v>0</v>
      </c>
      <c r="AG20" s="60"/>
      <c r="AH20" s="61">
        <f>('19'!AG20/24)*0.454</f>
        <v>0</v>
      </c>
      <c r="AI20" s="60">
        <v>5000.0</v>
      </c>
      <c r="AJ20" s="61">
        <f>('19'!AI20/24)*0.454</f>
        <v>94.58333333</v>
      </c>
      <c r="AK20" s="62"/>
      <c r="AL20" s="63">
        <f>('19'!AK20/24)*0.454</f>
        <v>0</v>
      </c>
      <c r="AM20" s="62"/>
      <c r="AN20" s="63">
        <f>('19'!AM20/24)*0.454</f>
        <v>0</v>
      </c>
      <c r="AO20" s="62"/>
      <c r="AP20" s="63">
        <f>('19'!AO20/24)*0.454</f>
        <v>0</v>
      </c>
    </row>
    <row r="21" ht="19.5" customHeight="1">
      <c r="A21" s="51" t="s">
        <v>54</v>
      </c>
      <c r="B21" s="91">
        <f>MIN('19'!B7:B18)</f>
        <v>90</v>
      </c>
      <c r="C21" s="92">
        <f>MIN('19'!C7:C18)</f>
        <v>15</v>
      </c>
      <c r="D21" s="92">
        <f>MIN('19'!D7:D18)</f>
        <v>13</v>
      </c>
      <c r="E21" s="92">
        <f>MIN('19'!E7:E18)</f>
        <v>4</v>
      </c>
      <c r="F21" s="92">
        <f>MIN('19'!F8:F18)</f>
        <v>20</v>
      </c>
      <c r="G21" s="100">
        <f>MIN('19'!G7:G18)</f>
        <v>1.1</v>
      </c>
      <c r="H21" s="100">
        <f>MIN('19'!H7:H18)</f>
        <v>1.1</v>
      </c>
      <c r="I21" s="100">
        <f>MIN('19'!I7:I18)</f>
        <v>0.6</v>
      </c>
      <c r="J21" s="100">
        <f>MIN('19'!J7:J18)</f>
        <v>0.6</v>
      </c>
      <c r="K21" s="100">
        <f>MIN('19'!K8:K18)</f>
        <v>6.9</v>
      </c>
      <c r="L21" s="100">
        <f>MIN('19'!L8:L18)</f>
        <v>6.5</v>
      </c>
      <c r="M21" s="100">
        <f>MIN('19'!M8:M18)</f>
        <v>6.5</v>
      </c>
      <c r="N21" s="100">
        <f>MIN('19'!N8:N18)</f>
        <v>6.2</v>
      </c>
      <c r="O21" s="101">
        <f>MIN('19'!O7:O18)</f>
        <v>2.7</v>
      </c>
      <c r="P21" s="101">
        <f>MIN('19'!P7:P18)</f>
        <v>0</v>
      </c>
      <c r="Q21" s="101">
        <f>MIN('19'!Q7:Q18)</f>
        <v>0</v>
      </c>
      <c r="R21" s="101">
        <f>MIN('19'!R7:R18)</f>
        <v>1120</v>
      </c>
      <c r="S21" s="101">
        <f>MIN('19'!S7:S18)</f>
        <v>61.31857999</v>
      </c>
      <c r="T21" s="99"/>
      <c r="U21" s="21"/>
      <c r="X21" s="54">
        <v>0.666666666666667</v>
      </c>
      <c r="Y21" s="125">
        <v>3358.0</v>
      </c>
      <c r="Z21" s="308">
        <v>1120.0</v>
      </c>
      <c r="AA21" s="56">
        <v>1.0</v>
      </c>
      <c r="AB21" s="58">
        <f>IF('19'!AA21=1,(('19'!Z21*'19'!$AS$6*'19'!$AT$6)/('19'!Y21*0.0036)),IF('19'!AA21=2,(('19'!Z21*'19'!$AS$7*'19'!$AT$7)/('19'!Y21*0.0036))))</f>
        <v>61.61074714</v>
      </c>
      <c r="AC21" s="58"/>
      <c r="AD21" s="59">
        <f>(('19'!AC21*'19'!$Q$10*1000000))/('19'!Y21*3600)</f>
        <v>0</v>
      </c>
      <c r="AE21" s="60"/>
      <c r="AF21" s="61">
        <f>('19'!AE21/24)*0.454</f>
        <v>0</v>
      </c>
      <c r="AG21" s="60"/>
      <c r="AH21" s="61">
        <f>('19'!AG21/24)*0.454</f>
        <v>0</v>
      </c>
      <c r="AI21" s="60">
        <v>5000.0</v>
      </c>
      <c r="AJ21" s="61">
        <f>('19'!AI21/24)*0.454</f>
        <v>94.58333333</v>
      </c>
      <c r="AK21" s="62"/>
      <c r="AL21" s="63">
        <f>('19'!AK21/24)*0.454</f>
        <v>0</v>
      </c>
      <c r="AM21" s="62"/>
      <c r="AN21" s="63">
        <f>('19'!AM21/24)*0.454</f>
        <v>0</v>
      </c>
      <c r="AO21" s="62"/>
      <c r="AP21" s="63">
        <f>('19'!AO21/24)*0.454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3343.0</v>
      </c>
      <c r="Z22" s="308">
        <v>1120.0</v>
      </c>
      <c r="AA22" s="56">
        <v>1.0</v>
      </c>
      <c r="AB22" s="58">
        <f>IF('19'!AA22=1,(('19'!Z22*'19'!$AS$6*'19'!$AT$6)/('19'!Y22*0.0036)),IF('19'!AA22=2,(('19'!Z22*'19'!$AS$7*'19'!$AT$7)/('19'!Y22*0.0036))))</f>
        <v>61.8871938</v>
      </c>
      <c r="AC22" s="58"/>
      <c r="AD22" s="59">
        <f>(('19'!AC22*'19'!$Q$10*1000000))/('19'!Y22*3600)</f>
        <v>0</v>
      </c>
      <c r="AE22" s="60"/>
      <c r="AF22" s="61">
        <f>('19'!AE22/24)*0.454</f>
        <v>0</v>
      </c>
      <c r="AG22" s="60"/>
      <c r="AH22" s="61">
        <f>('19'!AG22/24)*0.454</f>
        <v>0</v>
      </c>
      <c r="AI22" s="60">
        <v>5000.0</v>
      </c>
      <c r="AJ22" s="61">
        <f>('19'!AI22/24)*0.454</f>
        <v>94.58333333</v>
      </c>
      <c r="AK22" s="62"/>
      <c r="AL22" s="63">
        <f>('19'!AK22/24)*0.454</f>
        <v>0</v>
      </c>
      <c r="AM22" s="62"/>
      <c r="AN22" s="63">
        <f>('19'!AM22/24)*0.454</f>
        <v>0</v>
      </c>
      <c r="AO22" s="62"/>
      <c r="AP22" s="63">
        <f>('19'!AO22/24)*0.454</f>
        <v>0</v>
      </c>
    </row>
    <row r="23" ht="18.75" customHeight="1">
      <c r="A23" s="52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3361.0</v>
      </c>
      <c r="Z23" s="308">
        <v>1400.0</v>
      </c>
      <c r="AA23" s="56">
        <v>1.0</v>
      </c>
      <c r="AB23" s="58">
        <f>IF('19'!AA23=1,(('19'!Z23*'19'!$AS$6*'19'!$AT$6)/('19'!Y23*0.0036)),IF('19'!AA23=2,(('19'!Z23*'19'!$AS$7*'19'!$AT$7)/('19'!Y23*0.0036))))</f>
        <v>76.94469239</v>
      </c>
      <c r="AC23" s="58"/>
      <c r="AD23" s="59">
        <v>0.0</v>
      </c>
      <c r="AE23" s="60"/>
      <c r="AF23" s="61">
        <f>('19'!AE23/24)*0.454</f>
        <v>0</v>
      </c>
      <c r="AG23" s="60"/>
      <c r="AH23" s="61">
        <f>('19'!AG23/24)*0.454</f>
        <v>0</v>
      </c>
      <c r="AI23" s="60">
        <v>5500.0</v>
      </c>
      <c r="AJ23" s="61">
        <f>('19'!AI23/24)*0.454</f>
        <v>104.0416667</v>
      </c>
      <c r="AK23" s="62"/>
      <c r="AL23" s="63">
        <f>('19'!AK23/24)*0.454</f>
        <v>0</v>
      </c>
      <c r="AM23" s="62"/>
      <c r="AN23" s="63">
        <f>('19'!AM23/24)*0.454</f>
        <v>0</v>
      </c>
      <c r="AO23" s="62"/>
      <c r="AP23" s="63">
        <f>('19'!AO23/24)*0.454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3352.0</v>
      </c>
      <c r="Z24" s="308">
        <v>1400.0</v>
      </c>
      <c r="AA24" s="56">
        <v>1.0</v>
      </c>
      <c r="AB24" s="57">
        <f>IF('19'!AA24=1,(('19'!Z24*'19'!$AS$6*'19'!$AT$6)/('19'!Y24*0.0036)),IF('19'!AA24=2,(('19'!Z24*'19'!$AS$7*'19'!$AT$7)/('19'!Y24*0.0036))))</f>
        <v>77.15128613</v>
      </c>
      <c r="AC24" s="57"/>
      <c r="AD24" s="154">
        <f>(('19'!AC24*'19'!$Q$10*1000000))/('19'!Y24*3600)</f>
        <v>0</v>
      </c>
      <c r="AE24" s="60"/>
      <c r="AF24" s="311">
        <f>('19'!AE24/24)*0.454</f>
        <v>0</v>
      </c>
      <c r="AG24" s="125"/>
      <c r="AH24" s="311">
        <f>('19'!AG24/24)*0.454</f>
        <v>0</v>
      </c>
      <c r="AI24" s="60">
        <v>5500.0</v>
      </c>
      <c r="AJ24" s="311">
        <f>('19'!AI24/24)*0.454</f>
        <v>104.0416667</v>
      </c>
      <c r="AK24" s="62"/>
      <c r="AL24" s="110">
        <f>('19'!AK24/24)*0.454</f>
        <v>0</v>
      </c>
      <c r="AM24" s="312"/>
      <c r="AN24" s="110">
        <f>('19'!AM24/24)*0.454</f>
        <v>0</v>
      </c>
      <c r="AO24" s="62"/>
      <c r="AP24" s="110">
        <f>('19'!AO24/24)*0.454</f>
        <v>0</v>
      </c>
    </row>
    <row r="25" ht="19.5" customHeight="1">
      <c r="A25" s="111">
        <v>0.416666666666667</v>
      </c>
      <c r="B25" s="313">
        <v>0.85</v>
      </c>
      <c r="C25" s="313">
        <v>0.85</v>
      </c>
      <c r="D25" s="313">
        <v>0.69</v>
      </c>
      <c r="E25" s="313">
        <v>0.9</v>
      </c>
      <c r="F25" s="313">
        <v>0.74</v>
      </c>
      <c r="G25" s="313"/>
      <c r="H25" s="313">
        <v>0.56</v>
      </c>
      <c r="I25" s="313">
        <v>0.92</v>
      </c>
      <c r="J25" s="313"/>
      <c r="K25" s="313">
        <v>0.55</v>
      </c>
      <c r="L25" s="313">
        <v>0.53</v>
      </c>
      <c r="M25" s="313">
        <v>0.52</v>
      </c>
      <c r="N25" s="313">
        <v>0.86</v>
      </c>
      <c r="O25" s="313">
        <v>0.54</v>
      </c>
      <c r="P25" s="313">
        <v>0.52</v>
      </c>
      <c r="Q25" s="313"/>
      <c r="R25" s="112" t="str">
        <f t="shared" ref="R25:R26" si="1">#DIV/0!</f>
        <v>#DIV/0!</v>
      </c>
      <c r="S25" s="113"/>
      <c r="T25" s="348" t="s">
        <v>0</v>
      </c>
      <c r="U25" s="361">
        <f>ESCALA!$A$21</f>
        <v>43940</v>
      </c>
      <c r="X25" s="54">
        <v>0.833333333333333</v>
      </c>
      <c r="Y25" s="125">
        <v>3378.0</v>
      </c>
      <c r="Z25" s="308">
        <v>1400.0</v>
      </c>
      <c r="AA25" s="56">
        <v>1.0</v>
      </c>
      <c r="AB25" s="58">
        <f>IF('19'!AA25=1,(('19'!Z25*'19'!$AS$6*'19'!$AT$6)/('19'!Y25*0.0036)),IF('19'!AA25=2,(('19'!Z25*'19'!$AS$7*'19'!$AT$7)/('19'!Y25*0.0036))))</f>
        <v>76.55746332</v>
      </c>
      <c r="AC25" s="58"/>
      <c r="AD25" s="59">
        <f>(('19'!AC25*'19'!$Q$10*1000000))/('19'!Y25*3600)</f>
        <v>0</v>
      </c>
      <c r="AE25" s="60"/>
      <c r="AF25" s="61">
        <f>('19'!AE25/24)*0.454</f>
        <v>0</v>
      </c>
      <c r="AG25" s="60"/>
      <c r="AH25" s="61">
        <f>('19'!AG25/24)*0.454</f>
        <v>0</v>
      </c>
      <c r="AI25" s="60">
        <v>5500.0</v>
      </c>
      <c r="AJ25" s="61">
        <f>('19'!AI25/24)*0.454</f>
        <v>104.0416667</v>
      </c>
      <c r="AK25" s="62"/>
      <c r="AL25" s="63">
        <f>('19'!AK25/24)*0.454</f>
        <v>0</v>
      </c>
      <c r="AM25" s="62"/>
      <c r="AN25" s="63">
        <f>('19'!AM25/24)*0.454</f>
        <v>0</v>
      </c>
      <c r="AO25" s="62"/>
      <c r="AP25" s="63">
        <f>('19'!AO25/24)*0.454</f>
        <v>0</v>
      </c>
    </row>
    <row r="26" ht="19.5" customHeight="1">
      <c r="A26" s="111">
        <v>0.666666666666667</v>
      </c>
      <c r="B26" s="313"/>
      <c r="C26" s="313"/>
      <c r="D26" s="313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3390.0</v>
      </c>
      <c r="Z26" s="308">
        <v>1400.0</v>
      </c>
      <c r="AA26" s="56">
        <v>1.0</v>
      </c>
      <c r="AB26" s="58">
        <f>IF('19'!AA26=1,(('19'!Z26*'19'!$AS$6*'19'!$AT$6)/('19'!Y26*0.0036)),IF('19'!AA26=2,(('19'!Z26*'19'!$AS$7*'19'!$AT$7)/('19'!Y26*0.0036))))</f>
        <v>76.28646345</v>
      </c>
      <c r="AC26" s="58"/>
      <c r="AD26" s="59">
        <f>(('19'!AC26*'19'!$Q$10*1000000))/('19'!Y26*3600)</f>
        <v>0</v>
      </c>
      <c r="AE26" s="60"/>
      <c r="AF26" s="61">
        <f>('19'!AE26/24)*0.454</f>
        <v>0</v>
      </c>
      <c r="AG26" s="60"/>
      <c r="AH26" s="61">
        <f>('19'!AG26/24)*0.454</f>
        <v>0</v>
      </c>
      <c r="AI26" s="60">
        <v>5500.0</v>
      </c>
      <c r="AJ26" s="61">
        <f>('19'!AI26/24)*0.454</f>
        <v>104.0416667</v>
      </c>
      <c r="AK26" s="62"/>
      <c r="AL26" s="63">
        <f>('19'!AK26/24)*0.454</f>
        <v>0</v>
      </c>
      <c r="AM26" s="62"/>
      <c r="AN26" s="63">
        <f>('19'!AM26/24)*0.454</f>
        <v>0</v>
      </c>
      <c r="AO26" s="62"/>
      <c r="AP26" s="63">
        <f>('19'!AO26/24)*0.454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3381.0</v>
      </c>
      <c r="Z27" s="308">
        <v>1400.0</v>
      </c>
      <c r="AA27" s="56">
        <v>1.0</v>
      </c>
      <c r="AB27" s="58">
        <f>IF('19'!AA27=1,(('19'!Z27*'19'!$AS$6*'19'!$AT$6)/('19'!Y27*0.0036)),IF('19'!AA27=2,(('19'!Z27*'19'!$AS$7*'19'!$AT$7)/('19'!Y27*0.0036))))</f>
        <v>76.48953301</v>
      </c>
      <c r="AC27" s="58"/>
      <c r="AD27" s="59">
        <f>(('19'!AC27*'19'!$Q$10*1000000))/('19'!Y27*3600)</f>
        <v>0</v>
      </c>
      <c r="AE27" s="60"/>
      <c r="AF27" s="61">
        <f>('19'!AE27/24)*0.454</f>
        <v>0</v>
      </c>
      <c r="AG27" s="60"/>
      <c r="AH27" s="61">
        <f>('19'!AG27/24)*0.454</f>
        <v>0</v>
      </c>
      <c r="AI27" s="60">
        <v>6000.0</v>
      </c>
      <c r="AJ27" s="61">
        <f>('19'!AI27/24)*0.454</f>
        <v>113.5</v>
      </c>
      <c r="AK27" s="62"/>
      <c r="AL27" s="63">
        <f>('19'!AK27/24)*0.454</f>
        <v>0</v>
      </c>
      <c r="AM27" s="62"/>
      <c r="AN27" s="63">
        <f>('19'!AM27/24)*0.454</f>
        <v>0</v>
      </c>
      <c r="AO27" s="62"/>
      <c r="AP27" s="63">
        <f>('19'!AO27/24)*0.454</f>
        <v>0</v>
      </c>
    </row>
    <row r="28" ht="19.5" customHeight="1">
      <c r="A28" s="126">
        <v>51.0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3353.0</v>
      </c>
      <c r="Z28" s="308">
        <v>1400.0</v>
      </c>
      <c r="AA28" s="56">
        <v>1.0</v>
      </c>
      <c r="AB28" s="58">
        <f>IF('19'!AA28=1,(('19'!Z28*'19'!$AS$6*'19'!$AT$6)/('19'!Y28*0.0036)),IF('19'!AA28=2,(('19'!Z28*'19'!$AS$7*'19'!$AT$7)/('19'!Y28*0.0036))))</f>
        <v>77.1282765</v>
      </c>
      <c r="AC28" s="58"/>
      <c r="AD28" s="59">
        <f>(('19'!AC28*'19'!$Q$10*1000000))/('19'!Y28*3600)</f>
        <v>0</v>
      </c>
      <c r="AE28" s="60"/>
      <c r="AF28" s="61">
        <f>('19'!AE28/24)*0.454</f>
        <v>0</v>
      </c>
      <c r="AG28" s="60"/>
      <c r="AH28" s="61">
        <f>('19'!AG28/24)*0.454</f>
        <v>0</v>
      </c>
      <c r="AI28" s="60">
        <v>6000.0</v>
      </c>
      <c r="AJ28" s="61">
        <f>('19'!AI28/24)*0.454</f>
        <v>113.5</v>
      </c>
      <c r="AK28" s="62"/>
      <c r="AL28" s="63">
        <f>('19'!AK28/24)*0.454</f>
        <v>0</v>
      </c>
      <c r="AM28" s="62"/>
      <c r="AN28" s="63">
        <f>('19'!AM28/24)*0.454</f>
        <v>0</v>
      </c>
      <c r="AO28" s="62"/>
      <c r="AP28" s="63">
        <f>('19'!AO28/24)*0.454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3379.0</v>
      </c>
      <c r="Z29" s="308">
        <v>1400.0</v>
      </c>
      <c r="AA29" s="56">
        <v>1.0</v>
      </c>
      <c r="AB29" s="58">
        <f>IF('19'!AA29=1,(('19'!Z29*'19'!$AS$6*'19'!$AT$6)/('19'!Y29*0.0036)),IF('19'!AA29=2,(('19'!Z29*'19'!$AS$7*'19'!$AT$7)/('19'!Y29*0.0036))))</f>
        <v>76.53480648</v>
      </c>
      <c r="AC29" s="58"/>
      <c r="AD29" s="59">
        <f>(('19'!AC29*'19'!$Q$10*1000000))/('19'!Y29*3600)</f>
        <v>0</v>
      </c>
      <c r="AE29" s="60"/>
      <c r="AF29" s="61">
        <f>('19'!AE29/24)*0.454</f>
        <v>0</v>
      </c>
      <c r="AG29" s="60"/>
      <c r="AH29" s="61">
        <f>('19'!AG29/24)*0.454</f>
        <v>0</v>
      </c>
      <c r="AI29" s="60">
        <v>6000.0</v>
      </c>
      <c r="AJ29" s="61">
        <f>('19'!AI29/24)*0.454</f>
        <v>113.5</v>
      </c>
      <c r="AK29" s="62"/>
      <c r="AL29" s="63">
        <f>('19'!AK29/24)*0.454</f>
        <v>0</v>
      </c>
      <c r="AM29" s="62"/>
      <c r="AN29" s="63">
        <f>('19'!AM29/24)*0.454</f>
        <v>0</v>
      </c>
      <c r="AO29" s="62"/>
      <c r="AP29" s="63">
        <f>('19'!AO29/24)*0.454</f>
        <v>0</v>
      </c>
    </row>
    <row r="30" ht="18.75" customHeight="1">
      <c r="A30" s="43"/>
      <c r="U30" s="27"/>
      <c r="X30" s="130" t="s">
        <v>55</v>
      </c>
      <c r="Y30" s="131">
        <f>SUM('19'!Y6:Y29)*3.6</f>
        <v>285231.6</v>
      </c>
      <c r="Z30" s="132">
        <f>SUM('19'!Z6:Z29)</f>
        <v>28840</v>
      </c>
      <c r="AA30" s="133"/>
      <c r="AB30" s="132"/>
      <c r="AC30" s="133"/>
      <c r="AD30" s="132"/>
      <c r="AE30" s="60"/>
      <c r="AF30" s="61">
        <f>SUM('19'!AF6:AF29)</f>
        <v>0</v>
      </c>
      <c r="AG30" s="60"/>
      <c r="AH30" s="61">
        <f>SUM('19'!AH6:AH29)</f>
        <v>0</v>
      </c>
      <c r="AI30" s="60"/>
      <c r="AJ30" s="61">
        <f>SUM('19'!AJ6:AJ29)</f>
        <v>2364.583333</v>
      </c>
      <c r="AK30" s="62"/>
      <c r="AL30" s="63">
        <f>SUM('19'!AL6:AL29)</f>
        <v>0</v>
      </c>
      <c r="AM30" s="62"/>
      <c r="AN30" s="63">
        <f>SUM('19'!AN6:AN29)</f>
        <v>0</v>
      </c>
      <c r="AO30" s="62"/>
      <c r="AP30" s="63">
        <f>SUM('19'!AP6:AP29)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SUMIF('19'!AA6:AA29,"=1",'19'!Z6:Z29)</f>
        <v>28840</v>
      </c>
      <c r="AA32" s="132">
        <f>'19'!Z32*'19'!AS6</f>
        <v>38357.2</v>
      </c>
      <c r="AB32" s="139">
        <f>SUMIF('19'!$AA$6:$AA$29,"=1",'19'!$AB$6:$AB$29)/COUNTIF('19'!$AA$6:$AA$29,"=1")</f>
        <v>67.28801351</v>
      </c>
      <c r="AC32" s="140">
        <f>SUMIF('19'!AA6:AA29,"=1",'19'!AC6:AC29)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SUMIF('19'!AA6:AA29,"=2",'19'!Z6:Z29)</f>
        <v>0</v>
      </c>
      <c r="AA33" s="132">
        <f>'19'!Z33*'19'!AS7</f>
        <v>0</v>
      </c>
      <c r="AB33" s="139" t="str">
        <f>SUMIF('19'!$AA$6:$AA$29,"=2",'19'!$AB$6:$AB$29)/COUNTIF('19'!$AA$6:$AA$29,"=2")</f>
        <v>#DIV/0!</v>
      </c>
      <c r="AC33" s="145">
        <f>SUMIF('19'!AA6:AA29,"=2",'19'!AC6:AC29)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AVERAGE('19'!Y6:Y29)</f>
        <v>3301.291667</v>
      </c>
      <c r="Z34" s="56">
        <f>AVERAGE('19'!Z6:Z29)</f>
        <v>1201.666667</v>
      </c>
      <c r="AA34" s="152"/>
      <c r="AB34" s="152"/>
      <c r="AC34" s="153" t="str">
        <f>SUM('19'!AC6:AC29)/COUNTIF('19'!AC6:AC29,"&lt;&gt;0")</f>
        <v>#DIV/0!</v>
      </c>
      <c r="AD34" s="154" t="str">
        <f>SUM('19'!AD6:AD29)/COUNTIF('19'!AD6:AD29,"&lt;&gt;0")</f>
        <v>#DIV/0!</v>
      </c>
      <c r="AE34" s="133"/>
      <c r="AF34" s="153">
        <f>AVERAGE('19'!AF6:AF29)</f>
        <v>0</v>
      </c>
      <c r="AG34" s="153"/>
      <c r="AH34" s="153">
        <f>AVERAGE('19'!AH6:AH29)</f>
        <v>0</v>
      </c>
      <c r="AI34" s="153"/>
      <c r="AJ34" s="153">
        <f>'19'!AJ30/24</f>
        <v>98.52430556</v>
      </c>
      <c r="AK34" s="153"/>
      <c r="AL34" s="153">
        <f>AVERAGE('19'!AL6:AL29)</f>
        <v>0</v>
      </c>
      <c r="AM34" s="153"/>
      <c r="AN34" s="153">
        <f>AVERAGE('19'!AN6:AN29)</f>
        <v>0</v>
      </c>
      <c r="AO34" s="153"/>
      <c r="AP34" s="153">
        <f>AVERAGE('19'!AP6:AP29)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60.2</v>
      </c>
      <c r="D37" s="76">
        <v>34.1</v>
      </c>
      <c r="E37" s="76">
        <v>26.1</v>
      </c>
      <c r="F37" s="76">
        <v>1.2</v>
      </c>
      <c r="G37" s="76">
        <v>0.1</v>
      </c>
      <c r="H37" s="76">
        <v>0.1</v>
      </c>
      <c r="I37" s="60">
        <v>0.1</v>
      </c>
      <c r="J37" s="60">
        <v>0.15</v>
      </c>
      <c r="K37" s="60">
        <v>0.0</v>
      </c>
      <c r="L37" s="52"/>
      <c r="M37" s="106"/>
      <c r="N37" s="157"/>
      <c r="O37" s="51"/>
      <c r="P37" s="51"/>
      <c r="Q37" s="51"/>
      <c r="R37" s="51"/>
      <c r="S37" s="51"/>
      <c r="T37" s="51"/>
      <c r="U37" s="393" t="str">
        <f>'19'!V12</f>
        <v/>
      </c>
      <c r="X37" s="169" t="s">
        <v>75</v>
      </c>
      <c r="Y37" s="128"/>
      <c r="Z37" s="170">
        <f>COUNTA('19'!Z6:Z29)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SUM('19'!AF30+'19'!AH30)</f>
        <v>0</v>
      </c>
      <c r="AL38" s="178" t="s">
        <v>78</v>
      </c>
      <c r="AM38" s="179">
        <f>SUM('19'!AL30+'19'!AN30)</f>
        <v>0</v>
      </c>
      <c r="AO38" s="178" t="s">
        <v>78</v>
      </c>
      <c r="AP38" s="180">
        <f>'19'!AJ30</f>
        <v>2364.583333</v>
      </c>
      <c r="AQ38" s="178" t="s">
        <v>78</v>
      </c>
      <c r="AR38" s="179">
        <f>'19'!AP30</f>
        <v>0</v>
      </c>
    </row>
    <row r="39" ht="16.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('19'!AK38/'19'!Y30)*1000</f>
        <v>0</v>
      </c>
      <c r="AL39" s="327" t="s">
        <v>86</v>
      </c>
      <c r="AM39" s="328">
        <f>('19'!AM38/'19'!Y30)*1000</f>
        <v>0</v>
      </c>
      <c r="AO39" s="325" t="s">
        <v>86</v>
      </c>
      <c r="AP39" s="326">
        <f>('19'!AP38/'19'!Y30)*1000</f>
        <v>8.290046872</v>
      </c>
      <c r="AQ39" s="327" t="s">
        <v>86</v>
      </c>
      <c r="AR39" s="328">
        <f>('19'!AR38/'19'!Y30)*1000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SUM('19'!AK38,'19'!AM38)</f>
        <v>0</v>
      </c>
      <c r="AM40" s="128"/>
      <c r="AO40" s="210" t="s">
        <v>90</v>
      </c>
      <c r="AP40" s="128"/>
      <c r="AQ40" s="211">
        <f>SUM('19'!AP38,'19'!AR38)</f>
        <v>2364.583333</v>
      </c>
      <c r="AR40" s="128"/>
    </row>
    <row r="41" ht="16.5" customHeight="1">
      <c r="A41" s="212">
        <f>COUNTA('19'!E7:E18)</f>
        <v>12</v>
      </c>
      <c r="B41" s="213">
        <f>COUNTA('19'!I7:I18)</f>
        <v>12</v>
      </c>
      <c r="C41" s="214">
        <f>COUNTA('19'!J7:J18)</f>
        <v>12</v>
      </c>
      <c r="D41" s="80"/>
      <c r="E41" s="214">
        <f>COUNTIF('19'!E7:E18,"&gt;15")</f>
        <v>0</v>
      </c>
      <c r="F41" s="80"/>
      <c r="G41" s="214">
        <f>COUNTIF('19'!J7:J18,"&gt;1")</f>
        <v>2</v>
      </c>
      <c r="H41" s="80"/>
      <c r="I41" s="215"/>
      <c r="J41" s="214">
        <f>'19'!A41-'19'!E41</f>
        <v>12</v>
      </c>
      <c r="K41" s="80"/>
      <c r="L41" s="214">
        <f>'19'!C41-'19'!G41</f>
        <v>10</v>
      </c>
      <c r="M41" s="80"/>
      <c r="N41" s="215"/>
      <c r="O41" s="216">
        <f>COUNTIF('19'!J7:J18,"&lt;=0,5")</f>
        <v>0</v>
      </c>
      <c r="P41" s="217"/>
      <c r="Q41" s="218"/>
      <c r="R41" s="219"/>
      <c r="S41" s="220">
        <f>COUNTIF('19'!J7:J18,"&lt;=1,0")</f>
        <v>10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SUM(('19'!AK38+'19'!AM38)/'19'!Y30)*1000</f>
        <v>0</v>
      </c>
      <c r="AM41" s="128"/>
      <c r="AO41" s="210" t="s">
        <v>91</v>
      </c>
      <c r="AP41" s="128"/>
      <c r="AQ41" s="223">
        <f>SUM(('19'!AP38+'19'!AR38)/'19'!Y30)*1000</f>
        <v>8.290046872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SUM('19'!Y45,'19'!AA45,'19'!AC45,'19'!AE45)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COUNTIF('19'!I7:I18,"&lt;=5,0")</f>
        <v>12</v>
      </c>
      <c r="I45" s="127"/>
      <c r="J45" s="128"/>
      <c r="K45" s="215"/>
      <c r="L45" s="208">
        <f>COUNTA('19'!L37)</f>
        <v>0</v>
      </c>
      <c r="M45" s="128"/>
      <c r="O45" s="248"/>
      <c r="P45" s="249"/>
      <c r="Q45" s="250">
        <f>'19'!S41-'19'!O41</f>
        <v>10</v>
      </c>
      <c r="R45" s="251"/>
      <c r="S45" s="252"/>
      <c r="T45" s="253"/>
      <c r="X45" s="133" t="s">
        <v>104</v>
      </c>
      <c r="Y45" s="254">
        <f>'19'!Y44*275.3</f>
        <v>0</v>
      </c>
      <c r="Z45" s="133" t="s">
        <v>104</v>
      </c>
      <c r="AA45" s="254">
        <f>262.4*'19'!AA44</f>
        <v>0</v>
      </c>
      <c r="AB45" s="133" t="s">
        <v>104</v>
      </c>
      <c r="AC45" s="254">
        <f>'19'!AC44*277.7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0" customHeight="1">
      <c r="F46" s="257"/>
      <c r="X46" s="196" t="s">
        <v>105</v>
      </c>
      <c r="Y46" s="258">
        <f>'19'!AS6</f>
        <v>1.33</v>
      </c>
      <c r="Z46" s="196" t="s">
        <v>105</v>
      </c>
      <c r="AA46" s="258">
        <f>'19'!Y46</f>
        <v>1.33</v>
      </c>
      <c r="AB46" s="196" t="s">
        <v>105</v>
      </c>
      <c r="AC46" s="258">
        <f>'19'!Y46</f>
        <v>1.33</v>
      </c>
      <c r="AD46" s="196" t="s">
        <v>105</v>
      </c>
      <c r="AE46" s="259">
        <f>'19'!Y46</f>
        <v>1.33</v>
      </c>
      <c r="AF46" s="260" t="s">
        <v>106</v>
      </c>
      <c r="AG46" s="261">
        <f>SUM('19'!Y47,'19'!AA47,'19'!AC47,'19'!AE47)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'19'!Y45*'19'!Y46</f>
        <v>0</v>
      </c>
      <c r="Z47" s="133" t="s">
        <v>108</v>
      </c>
      <c r="AA47" s="254">
        <f>'19'!AA45*'19'!AA46</f>
        <v>0</v>
      </c>
      <c r="AB47" s="133" t="s">
        <v>108</v>
      </c>
      <c r="AC47" s="254">
        <f>'19'!AC45*'19'!AC46</f>
        <v>0</v>
      </c>
      <c r="AD47" s="133" t="s">
        <v>108</v>
      </c>
      <c r="AE47" s="254">
        <f>'19'!AE45*'19'!AE46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COUNTA('19'!O7:O18)</f>
        <v>12</v>
      </c>
      <c r="P51" s="128"/>
      <c r="R51" s="247">
        <f>COUNTIF('19'!O7:O18,"&gt;=0,5")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SUM('19'!Y53,'19'!AA53,'19'!AC53,'19'!AE53)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'19'!Y52*275.3</f>
        <v>0</v>
      </c>
      <c r="Z53" s="133" t="s">
        <v>104</v>
      </c>
      <c r="AA53" s="254">
        <f>262.4*'19'!AA52</f>
        <v>0</v>
      </c>
      <c r="AB53" s="133" t="s">
        <v>104</v>
      </c>
      <c r="AC53" s="276">
        <f>'19'!AC52*277.7</f>
        <v>0</v>
      </c>
      <c r="AD53" s="133" t="s">
        <v>104</v>
      </c>
      <c r="AE53" s="352"/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'19'!AS7</f>
        <v>1.377</v>
      </c>
      <c r="Z54" s="196" t="s">
        <v>105</v>
      </c>
      <c r="AA54" s="258">
        <f>'19'!Y54</f>
        <v>1.377</v>
      </c>
      <c r="AB54" s="196" t="s">
        <v>105</v>
      </c>
      <c r="AC54" s="258">
        <f>'19'!Y54</f>
        <v>1.377</v>
      </c>
      <c r="AD54" s="196" t="s">
        <v>105</v>
      </c>
      <c r="AE54" s="259">
        <f>'19'!Y54</f>
        <v>1.377</v>
      </c>
      <c r="AF54" s="260" t="s">
        <v>106</v>
      </c>
      <c r="AG54" s="261">
        <f>SUM('19'!Y55,'19'!AA55,'19'!AC55,'19'!AE55)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262.4*'10'!AL53</f>
        <v>0</v>
      </c>
      <c r="AM54" s="133" t="s">
        <v>104</v>
      </c>
      <c r="AN54" s="276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'19'!Y53*'19'!Y54</f>
        <v>0</v>
      </c>
      <c r="Z55" s="133" t="s">
        <v>108</v>
      </c>
      <c r="AA55" s="254">
        <f>'19'!AA53*'19'!AA54</f>
        <v>0</v>
      </c>
      <c r="AB55" s="133" t="s">
        <v>108</v>
      </c>
      <c r="AC55" s="254">
        <f>'19'!AC53*'19'!AC54</f>
        <v>0</v>
      </c>
      <c r="AD55" s="133" t="s">
        <v>108</v>
      </c>
      <c r="AE55" s="254">
        <f>'19'!AE53*'19'!AE54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 t="str">
        <f>'10'!AJ55</f>
        <v/>
      </c>
      <c r="AM55" s="196" t="s">
        <v>105</v>
      </c>
      <c r="AN55" s="258">
        <f>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AJ54*'10'!AJ55</f>
        <v>0</v>
      </c>
      <c r="AK56" s="133" t="s">
        <v>108</v>
      </c>
      <c r="AL56" s="254">
        <f>'10'!AL54*'10'!AL55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COUNTA('19'!N7:N18)</f>
        <v>12</v>
      </c>
      <c r="P57" s="128"/>
      <c r="R57" s="277">
        <f>COUNTIF('19'!N7:N18,"&gt;=6")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38357.2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-38357.2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'18'!$Y$68</f>
        <v>-24383.58333</v>
      </c>
      <c r="Z65" s="43"/>
      <c r="AA65" s="27"/>
      <c r="AB65" s="299" t="s">
        <v>126</v>
      </c>
      <c r="AC65" s="330">
        <f>'18'!$AC$68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SUM('19'!AK38,'19'!AP38)</f>
        <v>2364.583333</v>
      </c>
      <c r="Z67" s="43"/>
      <c r="AA67" s="27"/>
      <c r="AB67" s="296" t="s">
        <v>124</v>
      </c>
      <c r="AC67" s="254">
        <f>SUM('19'!AM38,'19'!AR38)</f>
        <v>0</v>
      </c>
    </row>
    <row r="68" ht="15.75" customHeight="1">
      <c r="X68" s="294" t="s">
        <v>128</v>
      </c>
      <c r="Y68" s="301">
        <f>SUM('19'!Y63,'19'!Y65)-'19'!Y67</f>
        <v>-26748.16667</v>
      </c>
      <c r="Z68" s="16"/>
      <c r="AA68" s="18"/>
      <c r="AB68" s="296" t="s">
        <v>128</v>
      </c>
      <c r="AC68" s="302">
        <f>SUM('19'!AC63,'19'!AC65)-'19'!AC67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19: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conditionalFormatting sqref="O19">
    <cfRule type="cellIs" dxfId="0" priority="5" operator="greaterThan">
      <formula>3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8.57"/>
    <col customWidth="1" min="19" max="20" width="6.14"/>
    <col customWidth="1" min="21" max="22" width="8.57"/>
    <col customWidth="1" min="23" max="23" width="6.14"/>
    <col customWidth="1" min="24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24" t="s">
        <v>13</v>
      </c>
      <c r="U4" s="442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6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464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3351.0</v>
      </c>
      <c r="Z6" s="392">
        <v>1400.0</v>
      </c>
      <c r="AA6" s="56">
        <v>1.0</v>
      </c>
      <c r="AB6" s="58">
        <f>IF('20'!AA6=1,(('20'!Z6*'20'!$AS$6*'20'!$AT$6)/('20'!Y6*0.0036)),IF('20'!AA6=2,(('20'!Z6*'20'!$AS$7*'20'!$AT$7)/('20'!Y6*0.0036))))</f>
        <v>77.17430949</v>
      </c>
      <c r="AC6" s="58"/>
      <c r="AD6" s="59">
        <f>(('20'!AC6*'20'!$Q$10*1000000))/('20'!Y6*3600)</f>
        <v>0</v>
      </c>
      <c r="AE6" s="60"/>
      <c r="AF6" s="61">
        <f>('20'!AE6/24)*0.454</f>
        <v>0</v>
      </c>
      <c r="AG6" s="60"/>
      <c r="AH6" s="61">
        <f>('20'!AG6/24)*0.454</f>
        <v>0</v>
      </c>
      <c r="AI6" s="308">
        <v>6000.0</v>
      </c>
      <c r="AJ6" s="61">
        <f>('20'!AI6/24)*0.454</f>
        <v>113.5</v>
      </c>
      <c r="AK6" s="62"/>
      <c r="AL6" s="63">
        <f>('20'!AK6/24)*0.454</f>
        <v>0</v>
      </c>
      <c r="AM6" s="62"/>
      <c r="AN6" s="63">
        <f>('20'!AM6/24)*0.454</f>
        <v>0</v>
      </c>
      <c r="AO6" s="62"/>
      <c r="AP6" s="63">
        <f>('20'!AO6/24)*0.454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248.0</v>
      </c>
      <c r="C7" s="76">
        <v>17.0</v>
      </c>
      <c r="D7" s="76">
        <v>13.0</v>
      </c>
      <c r="E7" s="76">
        <v>8.0</v>
      </c>
      <c r="F7" s="76">
        <v>110.0</v>
      </c>
      <c r="G7" s="76">
        <v>3.0</v>
      </c>
      <c r="H7" s="76">
        <v>1.7</v>
      </c>
      <c r="I7" s="76">
        <v>0.8</v>
      </c>
      <c r="J7" s="76">
        <v>1.0</v>
      </c>
      <c r="K7" s="76">
        <v>6.9</v>
      </c>
      <c r="L7" s="61">
        <v>6.5</v>
      </c>
      <c r="M7" s="61">
        <v>6.5</v>
      </c>
      <c r="N7" s="61">
        <v>6.2</v>
      </c>
      <c r="O7" s="463">
        <v>3.3</v>
      </c>
      <c r="P7" s="76"/>
      <c r="Q7" s="310"/>
      <c r="R7" s="77">
        <f>'19'!$Z$29</f>
        <v>1400</v>
      </c>
      <c r="S7" s="309">
        <f>'19'!$AB$29</f>
        <v>76.53480648</v>
      </c>
      <c r="T7" s="77">
        <f>'19'!$Y$29</f>
        <v>3379</v>
      </c>
      <c r="U7" s="73" t="str">
        <f>IF('20'!AA6=1,'20'!AR6,'20'!AR7)</f>
        <v>S.A.L</v>
      </c>
      <c r="V7" s="74" t="str">
        <f>ESCALA!$C$21</f>
        <v/>
      </c>
      <c r="W7" s="12"/>
      <c r="X7" s="54">
        <v>0.0833333333333333</v>
      </c>
      <c r="Y7" s="125">
        <v>3375.0</v>
      </c>
      <c r="Z7" s="392">
        <v>1400.0</v>
      </c>
      <c r="AA7" s="56">
        <v>1.0</v>
      </c>
      <c r="AB7" s="58">
        <f>IF('20'!AA7=1,(('20'!Z7*'20'!$AS$6*'20'!$AT$6)/('20'!Y7*0.0036)),IF('20'!AA7=2,(('20'!Z7*'20'!$AS$7*'20'!$AT$7)/('20'!Y7*0.0036))))</f>
        <v>76.6255144</v>
      </c>
      <c r="AC7" s="58"/>
      <c r="AD7" s="59">
        <f>(('20'!AC7*'20'!$Q$10*1000000))/('20'!Y7*3600)</f>
        <v>0</v>
      </c>
      <c r="AE7" s="60"/>
      <c r="AF7" s="61">
        <f>('20'!AE7/24)*0.454</f>
        <v>0</v>
      </c>
      <c r="AG7" s="60"/>
      <c r="AH7" s="61">
        <f>('20'!AG7/24)*0.454</f>
        <v>0</v>
      </c>
      <c r="AI7" s="308">
        <v>6000.0</v>
      </c>
      <c r="AJ7" s="61">
        <f>('20'!AI7/24)*0.454</f>
        <v>113.5</v>
      </c>
      <c r="AK7" s="62"/>
      <c r="AL7" s="63">
        <f>('20'!AK7/24)*0.454</f>
        <v>0</v>
      </c>
      <c r="AM7" s="62"/>
      <c r="AN7" s="63">
        <f>('20'!AM7/24)*0.454</f>
        <v>0</v>
      </c>
      <c r="AO7" s="62"/>
      <c r="AP7" s="63">
        <f>('20'!AO7/24)*0.454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246.0</v>
      </c>
      <c r="C8" s="76">
        <v>17.0</v>
      </c>
      <c r="D8" s="76">
        <v>13.0</v>
      </c>
      <c r="E8" s="76">
        <v>8.0</v>
      </c>
      <c r="F8" s="76">
        <v>109.0</v>
      </c>
      <c r="G8" s="76">
        <v>2.9</v>
      </c>
      <c r="H8" s="76">
        <v>1.5</v>
      </c>
      <c r="I8" s="76">
        <v>0.7</v>
      </c>
      <c r="J8" s="76">
        <v>0.9</v>
      </c>
      <c r="K8" s="76">
        <v>6.9</v>
      </c>
      <c r="L8" s="61">
        <v>6.5</v>
      </c>
      <c r="M8" s="61">
        <v>6.5</v>
      </c>
      <c r="N8" s="61">
        <v>6.2</v>
      </c>
      <c r="O8" s="463">
        <v>3.5</v>
      </c>
      <c r="P8" s="76"/>
      <c r="Q8" s="310"/>
      <c r="R8" s="75">
        <f>'20'!Z7</f>
        <v>1400</v>
      </c>
      <c r="S8" s="76">
        <f>'20'!AB7</f>
        <v>76.6255144</v>
      </c>
      <c r="T8" s="77">
        <f>'20'!Y7</f>
        <v>3375</v>
      </c>
      <c r="U8" s="73" t="str">
        <f>IF('20'!AA7=1,'20'!AR6,'20'!AR7)</f>
        <v>S.A.L</v>
      </c>
      <c r="V8" s="43"/>
      <c r="W8" s="27"/>
      <c r="X8" s="54">
        <v>0.125</v>
      </c>
      <c r="Y8" s="125">
        <v>3374.0</v>
      </c>
      <c r="Z8" s="392">
        <v>1400.0</v>
      </c>
      <c r="AA8" s="56">
        <v>1.0</v>
      </c>
      <c r="AB8" s="58">
        <f>IF('20'!AA8=1,(('20'!Z8*'20'!$AS$6*'20'!$AT$6)/('20'!Y8*0.0036)),IF('20'!AA8=2,(('20'!Z8*'20'!$AS$7*'20'!$AT$7)/('20'!Y8*0.0036))))</f>
        <v>76.64822499</v>
      </c>
      <c r="AC8" s="58"/>
      <c r="AD8" s="59">
        <f>(('20'!AC8*'20'!$Q$10*1000000))/('20'!Y8*3600)</f>
        <v>0</v>
      </c>
      <c r="AE8" s="60"/>
      <c r="AF8" s="61">
        <f>('20'!AE8/24)*0.454</f>
        <v>0</v>
      </c>
      <c r="AG8" s="60"/>
      <c r="AH8" s="61">
        <f>('20'!AG8/24)*0.454</f>
        <v>0</v>
      </c>
      <c r="AI8" s="308">
        <v>6000.0</v>
      </c>
      <c r="AJ8" s="61">
        <f>('20'!AI8/24)*0.454</f>
        <v>113.5</v>
      </c>
      <c r="AK8" s="62"/>
      <c r="AL8" s="63">
        <f>('20'!AK8/24)*0.454</f>
        <v>0</v>
      </c>
      <c r="AM8" s="62"/>
      <c r="AN8" s="63">
        <f>('20'!AM8/24)*0.454</f>
        <v>0</v>
      </c>
      <c r="AO8" s="62"/>
      <c r="AP8" s="63">
        <f>('20'!AO8/24)*0.454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247.0</v>
      </c>
      <c r="C9" s="76">
        <v>17.0</v>
      </c>
      <c r="D9" s="76">
        <v>12.0</v>
      </c>
      <c r="E9" s="76">
        <v>8.0</v>
      </c>
      <c r="F9" s="76">
        <v>108.0</v>
      </c>
      <c r="G9" s="76">
        <v>2.8</v>
      </c>
      <c r="H9" s="76">
        <v>1.4</v>
      </c>
      <c r="I9" s="76">
        <v>0.7</v>
      </c>
      <c r="J9" s="76">
        <v>0.9</v>
      </c>
      <c r="K9" s="76">
        <v>6.9</v>
      </c>
      <c r="L9" s="61">
        <v>6.5</v>
      </c>
      <c r="M9" s="61">
        <v>6.5</v>
      </c>
      <c r="N9" s="61">
        <v>6.2</v>
      </c>
      <c r="O9" s="463">
        <v>3.8</v>
      </c>
      <c r="P9" s="76"/>
      <c r="Q9" s="310"/>
      <c r="R9" s="77">
        <f>'20'!Z9</f>
        <v>1400</v>
      </c>
      <c r="S9" s="76">
        <f>'20'!AB9</f>
        <v>76.60281727</v>
      </c>
      <c r="T9" s="77">
        <f>'20'!Y9</f>
        <v>3376</v>
      </c>
      <c r="U9" s="73" t="str">
        <f>IF('20'!AA9=1,'20'!AR6,'20'!AR7)</f>
        <v>S.A.L</v>
      </c>
      <c r="V9" s="43"/>
      <c r="W9" s="27"/>
      <c r="X9" s="54">
        <v>0.166666666666667</v>
      </c>
      <c r="Y9" s="125">
        <v>3376.0</v>
      </c>
      <c r="Z9" s="392">
        <v>1400.0</v>
      </c>
      <c r="AA9" s="56">
        <v>1.0</v>
      </c>
      <c r="AB9" s="58">
        <f>IF('20'!AA9=1,(('20'!Z9*'20'!$AS$6*'20'!$AT$6)/('20'!Y9*0.0036)),IF('20'!AA9=2,(('20'!Z9*'20'!$AS$7*'20'!$AT$7)/('20'!Y9*0.0036))))</f>
        <v>76.60281727</v>
      </c>
      <c r="AC9" s="58"/>
      <c r="AD9" s="59">
        <f>(('20'!AC9*'20'!$Q$10*1000000))/('20'!Y9*3600)</f>
        <v>0</v>
      </c>
      <c r="AE9" s="60"/>
      <c r="AF9" s="61">
        <f>('20'!AE9/24)*0.454</f>
        <v>0</v>
      </c>
      <c r="AG9" s="60"/>
      <c r="AH9" s="61">
        <f>('20'!AG9/24)*0.454</f>
        <v>0</v>
      </c>
      <c r="AI9" s="308">
        <v>6000.0</v>
      </c>
      <c r="AJ9" s="61">
        <f>('20'!AI9/24)*0.454</f>
        <v>113.5</v>
      </c>
      <c r="AK9" s="62"/>
      <c r="AL9" s="63">
        <f>('20'!AK9/24)*0.454</f>
        <v>0</v>
      </c>
      <c r="AM9" s="62"/>
      <c r="AN9" s="63">
        <f>('20'!AM9/24)*0.454</f>
        <v>0</v>
      </c>
      <c r="AO9" s="62"/>
      <c r="AP9" s="63">
        <f>('20'!AO9/24)*0.454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249.0</v>
      </c>
      <c r="C10" s="76">
        <v>17.0</v>
      </c>
      <c r="D10" s="76">
        <v>12.0</v>
      </c>
      <c r="E10" s="76">
        <v>8.0</v>
      </c>
      <c r="F10" s="76">
        <v>108.0</v>
      </c>
      <c r="G10" s="76">
        <v>2.7</v>
      </c>
      <c r="H10" s="76">
        <v>1.4</v>
      </c>
      <c r="I10" s="76">
        <v>0.7</v>
      </c>
      <c r="J10" s="76">
        <v>0.8</v>
      </c>
      <c r="K10" s="76">
        <v>6.9</v>
      </c>
      <c r="L10" s="61">
        <v>6.5</v>
      </c>
      <c r="M10" s="61">
        <v>6.5</v>
      </c>
      <c r="N10" s="61">
        <v>6.2</v>
      </c>
      <c r="O10" s="463">
        <v>4.0</v>
      </c>
      <c r="P10" s="76"/>
      <c r="Q10" s="310"/>
      <c r="R10" s="77">
        <f>'20'!Z11</f>
        <v>1400</v>
      </c>
      <c r="S10" s="76">
        <f>'20'!AB11</f>
        <v>76.51216305</v>
      </c>
      <c r="T10" s="77">
        <f>'20'!Y11</f>
        <v>3380</v>
      </c>
      <c r="U10" s="73" t="str">
        <f>IF('20'!AA11=1,'20'!AR6,'20'!AR7)</f>
        <v>S.A.L</v>
      </c>
      <c r="V10" s="43"/>
      <c r="W10" s="27"/>
      <c r="X10" s="54">
        <v>0.208333333333333</v>
      </c>
      <c r="Y10" s="125">
        <v>3366.0</v>
      </c>
      <c r="Z10" s="392">
        <v>1400.0</v>
      </c>
      <c r="AA10" s="56">
        <v>1.0</v>
      </c>
      <c r="AB10" s="58">
        <f>IF('20'!AA10=1,(('20'!Z10*'20'!$AS$6*'20'!$AT$6)/('20'!Y10*0.0036)),IF('20'!AA10=2,(('20'!Z10*'20'!$AS$7*'20'!$AT$7)/('20'!Y10*0.0036))))</f>
        <v>76.83039546</v>
      </c>
      <c r="AC10" s="58"/>
      <c r="AD10" s="59">
        <f>(('20'!AC10*'20'!$Q$10*1000000))/('20'!Y10*3600)</f>
        <v>0</v>
      </c>
      <c r="AE10" s="60"/>
      <c r="AF10" s="61">
        <f>('20'!AE10/24)*0.454</f>
        <v>0</v>
      </c>
      <c r="AG10" s="60"/>
      <c r="AH10" s="61">
        <f>('20'!AG10/24)*0.454</f>
        <v>0</v>
      </c>
      <c r="AI10" s="308">
        <v>6000.0</v>
      </c>
      <c r="AJ10" s="61">
        <f>('20'!AI10/24)*0.454</f>
        <v>113.5</v>
      </c>
      <c r="AK10" s="62"/>
      <c r="AL10" s="63">
        <f>('20'!AK10/24)*0.454</f>
        <v>0</v>
      </c>
      <c r="AM10" s="62"/>
      <c r="AN10" s="63">
        <f>('20'!AM10/24)*0.454</f>
        <v>0</v>
      </c>
      <c r="AO10" s="62"/>
      <c r="AP10" s="63">
        <f>('20'!AO10/24)*0.454</f>
        <v>0</v>
      </c>
      <c r="AQ10" s="84">
        <v>4400.0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235.0</v>
      </c>
      <c r="C11" s="76">
        <v>19.0</v>
      </c>
      <c r="D11" s="76">
        <v>14.0</v>
      </c>
      <c r="E11" s="76">
        <v>9.0</v>
      </c>
      <c r="F11" s="76">
        <v>96.0</v>
      </c>
      <c r="G11" s="76">
        <v>2.8</v>
      </c>
      <c r="H11" s="76">
        <v>1.5</v>
      </c>
      <c r="I11" s="76">
        <v>0.6</v>
      </c>
      <c r="J11" s="76">
        <v>0.9</v>
      </c>
      <c r="K11" s="76">
        <v>6.9</v>
      </c>
      <c r="L11" s="61">
        <v>6.5</v>
      </c>
      <c r="M11" s="61">
        <v>6.5</v>
      </c>
      <c r="N11" s="61">
        <v>6.2</v>
      </c>
      <c r="O11" s="463">
        <v>5.0</v>
      </c>
      <c r="P11" s="76"/>
      <c r="Q11" s="310"/>
      <c r="R11" s="77">
        <f>'20'!Z13</f>
        <v>1400</v>
      </c>
      <c r="S11" s="76">
        <f>'20'!AB13</f>
        <v>73.86778381</v>
      </c>
      <c r="T11" s="77">
        <f>'20'!Y13</f>
        <v>3501</v>
      </c>
      <c r="U11" s="73" t="str">
        <f>IF('20'!AA13=1,'20'!AR6,'20'!AR7)</f>
        <v>S.A.L</v>
      </c>
      <c r="V11" s="16"/>
      <c r="W11" s="18"/>
      <c r="X11" s="54">
        <v>0.25</v>
      </c>
      <c r="Y11" s="125">
        <v>3380.0</v>
      </c>
      <c r="Z11" s="392">
        <v>1400.0</v>
      </c>
      <c r="AA11" s="56">
        <v>1.0</v>
      </c>
      <c r="AB11" s="58">
        <f>IF('20'!AA11=1,(('20'!Z11*'20'!$AS$6*'20'!$AT$6)/('20'!Y11*0.0036)),IF('20'!AA11=2,(('20'!Z11*'20'!$AS$7*'20'!$AT$7)/('20'!Y11*0.0036))))</f>
        <v>76.51216305</v>
      </c>
      <c r="AC11" s="58"/>
      <c r="AD11" s="59">
        <f>(('20'!AC11*'20'!$Q$10*1000000))/('20'!Y11*3600)</f>
        <v>0</v>
      </c>
      <c r="AE11" s="60"/>
      <c r="AF11" s="61">
        <f>('20'!AE11/24)*0.454</f>
        <v>0</v>
      </c>
      <c r="AG11" s="60"/>
      <c r="AH11" s="61">
        <f>('20'!AG11/24)*0.454</f>
        <v>0</v>
      </c>
      <c r="AI11" s="308">
        <v>5500.0</v>
      </c>
      <c r="AJ11" s="61">
        <f>('20'!AI11/24)*0.454</f>
        <v>104.0416667</v>
      </c>
      <c r="AK11" s="62"/>
      <c r="AL11" s="63">
        <f>('20'!AK11/24)*0.454</f>
        <v>0</v>
      </c>
      <c r="AM11" s="62"/>
      <c r="AN11" s="63">
        <f>('20'!AM11/24)*0.454</f>
        <v>0</v>
      </c>
      <c r="AO11" s="62"/>
      <c r="AP11" s="63">
        <f>('20'!AO11/24)*0.454</f>
        <v>0</v>
      </c>
    </row>
    <row r="12" ht="18.75" customHeight="1">
      <c r="A12" s="69">
        <v>0.416666666666667</v>
      </c>
      <c r="B12" s="76">
        <v>242.0</v>
      </c>
      <c r="C12" s="76">
        <v>19.0</v>
      </c>
      <c r="D12" s="76">
        <v>15.0</v>
      </c>
      <c r="E12" s="76">
        <v>9.0</v>
      </c>
      <c r="F12" s="76">
        <v>96.0</v>
      </c>
      <c r="G12" s="76">
        <v>2.8</v>
      </c>
      <c r="H12" s="76">
        <v>1.5</v>
      </c>
      <c r="I12" s="76">
        <v>0.6</v>
      </c>
      <c r="J12" s="76">
        <v>0.9</v>
      </c>
      <c r="K12" s="76">
        <v>6.9</v>
      </c>
      <c r="L12" s="61">
        <v>6.5</v>
      </c>
      <c r="M12" s="61">
        <v>6.5</v>
      </c>
      <c r="N12" s="61">
        <v>6.2</v>
      </c>
      <c r="O12" s="463">
        <v>4.0</v>
      </c>
      <c r="P12" s="76"/>
      <c r="Q12" s="310"/>
      <c r="R12" s="77">
        <f>'20'!Z15</f>
        <v>1400</v>
      </c>
      <c r="S12" s="76">
        <f>'20'!AB15</f>
        <v>74.50622619</v>
      </c>
      <c r="T12" s="77">
        <f>'20'!Y15</f>
        <v>3471</v>
      </c>
      <c r="U12" s="73" t="str">
        <f>IF('20'!AA15=1,'20'!AR6,'20'!AR7)</f>
        <v>S.A.L</v>
      </c>
      <c r="V12" s="88" t="str">
        <f>ESCALA!$B$22</f>
        <v/>
      </c>
      <c r="W12" s="89"/>
      <c r="X12" s="54">
        <v>0.291666666666667</v>
      </c>
      <c r="Y12" s="125">
        <v>3418.0</v>
      </c>
      <c r="Z12" s="392">
        <v>1400.0</v>
      </c>
      <c r="AA12" s="56">
        <v>1.0</v>
      </c>
      <c r="AB12" s="58">
        <f>IF('20'!AA12=1,(('20'!Z12*'20'!$AS$6*'20'!$AT$6)/('20'!Y12*0.0036)),IF('20'!AA12=2,(('20'!Z12*'20'!$AS$7*'20'!$AT$7)/('20'!Y12*0.0036))))</f>
        <v>75.66153046</v>
      </c>
      <c r="AC12" s="58"/>
      <c r="AD12" s="59">
        <f>(('20'!AC12*'20'!$Q$10*1000000))/('20'!Y12*3600)</f>
        <v>0</v>
      </c>
      <c r="AE12" s="60"/>
      <c r="AF12" s="61">
        <f>('20'!AE12/24)*0.454</f>
        <v>0</v>
      </c>
      <c r="AG12" s="60"/>
      <c r="AH12" s="61">
        <f>('20'!AG12/24)*0.454</f>
        <v>0</v>
      </c>
      <c r="AI12" s="308">
        <v>5500.0</v>
      </c>
      <c r="AJ12" s="61">
        <f>('20'!AI13/24)*0.454</f>
        <v>104.0416667</v>
      </c>
      <c r="AK12" s="62"/>
      <c r="AL12" s="63">
        <f>('20'!AK12/24)*0.454</f>
        <v>0</v>
      </c>
      <c r="AM12" s="62"/>
      <c r="AN12" s="63">
        <f>('20'!AM12/24)*0.454</f>
        <v>0</v>
      </c>
      <c r="AO12" s="62"/>
      <c r="AP12" s="63">
        <f>('20'!AO12/24)*0.454</f>
        <v>0</v>
      </c>
    </row>
    <row r="13" ht="18.75" customHeight="1">
      <c r="A13" s="69">
        <v>0.5</v>
      </c>
      <c r="B13" s="76">
        <v>240.0</v>
      </c>
      <c r="C13" s="76">
        <v>19.0</v>
      </c>
      <c r="D13" s="76">
        <v>14.0</v>
      </c>
      <c r="E13" s="76">
        <v>8.0</v>
      </c>
      <c r="F13" s="76">
        <v>100.0</v>
      </c>
      <c r="G13" s="76">
        <v>2.6</v>
      </c>
      <c r="H13" s="76">
        <v>1.4</v>
      </c>
      <c r="I13" s="76">
        <v>0.6</v>
      </c>
      <c r="J13" s="76">
        <v>1.0</v>
      </c>
      <c r="K13" s="76">
        <v>6.9</v>
      </c>
      <c r="L13" s="61">
        <v>6.5</v>
      </c>
      <c r="M13" s="61">
        <v>6.5</v>
      </c>
      <c r="N13" s="61">
        <v>6.2</v>
      </c>
      <c r="O13" s="463">
        <v>3.8</v>
      </c>
      <c r="P13" s="76"/>
      <c r="Q13" s="310"/>
      <c r="R13" s="77">
        <f>'20'!Z17</f>
        <v>1400</v>
      </c>
      <c r="S13" s="76">
        <f>'20'!AB17</f>
        <v>75.95039974</v>
      </c>
      <c r="T13" s="77">
        <f>'20'!Y17</f>
        <v>3405</v>
      </c>
      <c r="U13" s="73" t="str">
        <f>IF('20'!AA17=1,'20'!AR6,'20'!AR7)</f>
        <v>S.A.L</v>
      </c>
      <c r="V13" s="43"/>
      <c r="W13" s="27"/>
      <c r="X13" s="54">
        <v>0.333333333333333</v>
      </c>
      <c r="Y13" s="125">
        <v>3501.0</v>
      </c>
      <c r="Z13" s="392">
        <v>1400.0</v>
      </c>
      <c r="AA13" s="56">
        <v>1.0</v>
      </c>
      <c r="AB13" s="58">
        <f>IF('20'!AA13=1,(('20'!Z13*'20'!$AS$6*'20'!$AT$6)/('20'!Y13*0.0036)),IF('20'!AA13=2,(('20'!Z13*'20'!$AS$7*'20'!$AT$7)/('20'!Y13*0.0036))))</f>
        <v>73.86778381</v>
      </c>
      <c r="AC13" s="58"/>
      <c r="AD13" s="59">
        <f>(('20'!AC13*'20'!$Q$10*1000000))/('20'!Y13*3600)</f>
        <v>0</v>
      </c>
      <c r="AE13" s="60"/>
      <c r="AF13" s="61">
        <f>('20'!AE13/24)*0.454</f>
        <v>0</v>
      </c>
      <c r="AG13" s="60"/>
      <c r="AH13" s="61">
        <f>('20'!AG13/24)*0.454</f>
        <v>0</v>
      </c>
      <c r="AI13" s="308">
        <v>5500.0</v>
      </c>
      <c r="AJ13" s="61">
        <f>('20'!AI14/24)*0.454</f>
        <v>104.0416667</v>
      </c>
      <c r="AK13" s="62"/>
      <c r="AL13" s="63">
        <f>('20'!AK13/24)*0.454</f>
        <v>0</v>
      </c>
      <c r="AM13" s="62"/>
      <c r="AN13" s="63">
        <f>('20'!AM13/24)*0.454</f>
        <v>0</v>
      </c>
      <c r="AO13" s="62"/>
      <c r="AP13" s="63">
        <f>('20'!AO13/24)*0.454</f>
        <v>0</v>
      </c>
    </row>
    <row r="14" ht="18.75" customHeight="1">
      <c r="A14" s="69">
        <v>0.583333333333333</v>
      </c>
      <c r="B14" s="76">
        <v>246.0</v>
      </c>
      <c r="C14" s="76">
        <v>18.0</v>
      </c>
      <c r="D14" s="76">
        <v>14.0</v>
      </c>
      <c r="E14" s="76">
        <v>8.0</v>
      </c>
      <c r="F14" s="76">
        <v>102.0</v>
      </c>
      <c r="G14" s="76">
        <v>3.2</v>
      </c>
      <c r="H14" s="76">
        <v>1.2</v>
      </c>
      <c r="I14" s="76">
        <v>0.7</v>
      </c>
      <c r="J14" s="76">
        <v>0.9</v>
      </c>
      <c r="K14" s="76">
        <v>6.9</v>
      </c>
      <c r="L14" s="61">
        <v>6.5</v>
      </c>
      <c r="M14" s="61">
        <v>6.5</v>
      </c>
      <c r="N14" s="61">
        <v>6.2</v>
      </c>
      <c r="O14" s="463">
        <v>3.8</v>
      </c>
      <c r="P14" s="76"/>
      <c r="Q14" s="310"/>
      <c r="R14" s="77">
        <f>'20'!Z19</f>
        <v>1400</v>
      </c>
      <c r="S14" s="76">
        <f>'20'!AB19</f>
        <v>74.87293315</v>
      </c>
      <c r="T14" s="77">
        <f>'20'!Y19</f>
        <v>3454</v>
      </c>
      <c r="U14" s="73" t="str">
        <f>IF('20'!AA19=1,'20'!AR6,'20'!AR7)</f>
        <v>S.A.L</v>
      </c>
      <c r="V14" s="43"/>
      <c r="W14" s="27"/>
      <c r="X14" s="54">
        <v>0.375</v>
      </c>
      <c r="Y14" s="125">
        <v>3501.0</v>
      </c>
      <c r="Z14" s="392">
        <v>1400.0</v>
      </c>
      <c r="AA14" s="56">
        <v>1.0</v>
      </c>
      <c r="AB14" s="58">
        <f>IF('20'!AA14=1,(('20'!Z14*'20'!$AS$6*'20'!$AT$6)/('20'!Y14*0.0036)),IF('20'!AA14=2,(('20'!Z14*'20'!$AS$7*'20'!$AT$7)/('20'!Y14*0.0036))))</f>
        <v>73.86778381</v>
      </c>
      <c r="AC14" s="58"/>
      <c r="AD14" s="59">
        <f>(('20'!AC14*'20'!$Q$10*1000000))/('20'!Y14*3600)</f>
        <v>0</v>
      </c>
      <c r="AE14" s="60"/>
      <c r="AF14" s="61">
        <f>('20'!AE14/24)*0.454</f>
        <v>0</v>
      </c>
      <c r="AG14" s="60"/>
      <c r="AH14" s="61">
        <f>('20'!AG14/24)*0.454</f>
        <v>0</v>
      </c>
      <c r="AI14" s="308">
        <v>5500.0</v>
      </c>
      <c r="AJ14" s="61">
        <f>('20'!AI15/24)*0.454</f>
        <v>104.0416667</v>
      </c>
      <c r="AK14" s="62"/>
      <c r="AL14" s="63">
        <f>('20'!AK14/24)*0.454</f>
        <v>0</v>
      </c>
      <c r="AM14" s="62"/>
      <c r="AN14" s="63">
        <f>('20'!AM14/24)*0.454</f>
        <v>0</v>
      </c>
      <c r="AO14" s="62"/>
      <c r="AP14" s="63">
        <f>('20'!AO14/24)*0.454</f>
        <v>0</v>
      </c>
    </row>
    <row r="15" ht="18.75" customHeight="1">
      <c r="A15" s="69">
        <v>0.666666666666667</v>
      </c>
      <c r="B15" s="76">
        <v>230.0</v>
      </c>
      <c r="C15" s="76">
        <v>18.0</v>
      </c>
      <c r="D15" s="76">
        <v>12.0</v>
      </c>
      <c r="E15" s="76">
        <v>9.0</v>
      </c>
      <c r="F15" s="76">
        <v>101.0</v>
      </c>
      <c r="G15" s="76">
        <v>3.0</v>
      </c>
      <c r="H15" s="76">
        <v>1.4</v>
      </c>
      <c r="I15" s="76">
        <v>1.0</v>
      </c>
      <c r="J15" s="76">
        <v>1.0</v>
      </c>
      <c r="K15" s="76">
        <v>6.9</v>
      </c>
      <c r="L15" s="61">
        <v>6.5</v>
      </c>
      <c r="M15" s="61">
        <v>6.5</v>
      </c>
      <c r="N15" s="61">
        <v>6.2</v>
      </c>
      <c r="O15" s="463">
        <v>3.6</v>
      </c>
      <c r="P15" s="76"/>
      <c r="Q15" s="310"/>
      <c r="R15" s="77">
        <f>'20'!Z21</f>
        <v>1400</v>
      </c>
      <c r="S15" s="76">
        <f>'20'!AB21</f>
        <v>75.97271184</v>
      </c>
      <c r="T15" s="77">
        <f>'20'!Y21</f>
        <v>3404</v>
      </c>
      <c r="U15" s="73" t="str">
        <f>IF('20'!AA21=1,'20'!AR6,'20'!AR7)</f>
        <v>S.A.L</v>
      </c>
      <c r="V15" s="43"/>
      <c r="W15" s="27"/>
      <c r="X15" s="54">
        <v>0.416666666666667</v>
      </c>
      <c r="Y15" s="125">
        <v>3471.0</v>
      </c>
      <c r="Z15" s="392">
        <v>1400.0</v>
      </c>
      <c r="AA15" s="56">
        <v>1.0</v>
      </c>
      <c r="AB15" s="58">
        <f>IF('20'!AA15=1,(('20'!Z15*'20'!$AS$6*'20'!$AT$6)/('20'!Y15*0.0036)),IF('20'!AA15=2,(('20'!Z15*'20'!$AS$7*'20'!$AT$7)/('20'!Y15*0.0036))))</f>
        <v>74.50622619</v>
      </c>
      <c r="AC15" s="58"/>
      <c r="AD15" s="59">
        <f>(('20'!AC15*'20'!$Q$10*1000000))/('20'!Y15*3600)</f>
        <v>0</v>
      </c>
      <c r="AE15" s="60"/>
      <c r="AF15" s="61">
        <f>('20'!AE15/24)*0.454</f>
        <v>0</v>
      </c>
      <c r="AG15" s="60"/>
      <c r="AH15" s="61">
        <f>('20'!AG15/24)*0.454</f>
        <v>0</v>
      </c>
      <c r="AI15" s="308">
        <v>5500.0</v>
      </c>
      <c r="AJ15" s="61">
        <f>('20'!AI16/24)*0.454</f>
        <v>104.0416667</v>
      </c>
      <c r="AK15" s="62"/>
      <c r="AL15" s="63">
        <f>('20'!AK15/24)*0.454</f>
        <v>0</v>
      </c>
      <c r="AM15" s="62"/>
      <c r="AN15" s="63">
        <f>('20'!AM15/24)*0.454</f>
        <v>0</v>
      </c>
      <c r="AO15" s="62"/>
      <c r="AP15" s="63">
        <f>('20'!AO15/24)*0.454</f>
        <v>0</v>
      </c>
    </row>
    <row r="16" ht="18.75" customHeight="1">
      <c r="A16" s="69">
        <v>0.75</v>
      </c>
      <c r="B16" s="76">
        <v>227.0</v>
      </c>
      <c r="C16" s="76">
        <v>21.0</v>
      </c>
      <c r="D16" s="76">
        <v>16.0</v>
      </c>
      <c r="E16" s="76">
        <v>9.0</v>
      </c>
      <c r="F16" s="76">
        <v>97.0</v>
      </c>
      <c r="G16" s="76">
        <v>2.9</v>
      </c>
      <c r="H16" s="76">
        <v>1.9</v>
      </c>
      <c r="I16" s="76">
        <v>10.0</v>
      </c>
      <c r="J16" s="76">
        <v>1.1</v>
      </c>
      <c r="K16" s="76">
        <v>6.9</v>
      </c>
      <c r="L16" s="61">
        <v>6.5</v>
      </c>
      <c r="M16" s="61">
        <v>6.5</v>
      </c>
      <c r="N16" s="61">
        <v>6.2</v>
      </c>
      <c r="O16" s="463">
        <v>3.6</v>
      </c>
      <c r="P16" s="76"/>
      <c r="Q16" s="310"/>
      <c r="R16" s="77">
        <f>'20'!Z23</f>
        <v>1400</v>
      </c>
      <c r="S16" s="76">
        <f>'20'!AB23</f>
        <v>75.7279974</v>
      </c>
      <c r="T16" s="77">
        <f>'20'!Y23</f>
        <v>3415</v>
      </c>
      <c r="U16" s="73" t="str">
        <f>IF('20'!AA23=1,'20'!AR6,'20'!AR7)</f>
        <v>S.A.L</v>
      </c>
      <c r="V16" s="16"/>
      <c r="W16" s="18"/>
      <c r="X16" s="54">
        <v>0.458333333333333</v>
      </c>
      <c r="Y16" s="125">
        <v>3414.0</v>
      </c>
      <c r="Z16" s="392">
        <v>1400.0</v>
      </c>
      <c r="AA16" s="56">
        <v>1.0</v>
      </c>
      <c r="AB16" s="58">
        <f>IF('20'!AA16=1,(('20'!Z16*'20'!$AS$6*'20'!$AT$6)/('20'!Y16*0.0036)),IF('20'!AA16=2,(('20'!Z16*'20'!$AS$7*'20'!$AT$7)/('20'!Y16*0.0036))))</f>
        <v>75.750179</v>
      </c>
      <c r="AC16" s="58"/>
      <c r="AD16" s="59">
        <f>(('20'!AC16*'20'!$Q$10*1000000))/('20'!Y16*3600)</f>
        <v>0</v>
      </c>
      <c r="AE16" s="60"/>
      <c r="AF16" s="61">
        <f>('20'!AE16/24)*0.454</f>
        <v>0</v>
      </c>
      <c r="AG16" s="60"/>
      <c r="AH16" s="61">
        <f>('20'!AG16/24)*0.454</f>
        <v>0</v>
      </c>
      <c r="AI16" s="308">
        <v>5500.0</v>
      </c>
      <c r="AJ16" s="61">
        <f>('20'!AI17/24)*0.454</f>
        <v>94.58333333</v>
      </c>
      <c r="AK16" s="62"/>
      <c r="AL16" s="63">
        <f>('20'!AK16/24)*0.454</f>
        <v>0</v>
      </c>
      <c r="AM16" s="62"/>
      <c r="AN16" s="63">
        <f>('20'!AM16/24)*0.454</f>
        <v>0</v>
      </c>
      <c r="AO16" s="62"/>
      <c r="AP16" s="63">
        <f>('20'!AO16/24)*0.454</f>
        <v>0</v>
      </c>
    </row>
    <row r="17" ht="18.75" customHeight="1">
      <c r="A17" s="69">
        <v>0.833333333333333</v>
      </c>
      <c r="B17" s="76">
        <v>222.0</v>
      </c>
      <c r="C17" s="76">
        <v>25.0</v>
      </c>
      <c r="D17" s="76">
        <v>16.0</v>
      </c>
      <c r="E17" s="76">
        <v>10.0</v>
      </c>
      <c r="F17" s="76">
        <v>89.0</v>
      </c>
      <c r="G17" s="76">
        <v>2.7</v>
      </c>
      <c r="H17" s="76">
        <v>1.7</v>
      </c>
      <c r="I17" s="76">
        <v>0.9</v>
      </c>
      <c r="J17" s="76">
        <v>1.1</v>
      </c>
      <c r="K17" s="76">
        <v>6.9</v>
      </c>
      <c r="L17" s="61">
        <v>6.5</v>
      </c>
      <c r="M17" s="61">
        <v>6.5</v>
      </c>
      <c r="N17" s="61">
        <v>6.2</v>
      </c>
      <c r="O17" s="463">
        <v>3.6</v>
      </c>
      <c r="P17" s="76"/>
      <c r="Q17" s="310"/>
      <c r="R17" s="77">
        <f>'20'!Z25</f>
        <v>1400</v>
      </c>
      <c r="S17" s="76">
        <f>'20'!AB25</f>
        <v>75.750179</v>
      </c>
      <c r="T17" s="77">
        <f>'20'!Y25</f>
        <v>3414</v>
      </c>
      <c r="U17" s="73" t="str">
        <f>IF('20'!AA25=1,'20'!AR6,'20'!AR7)</f>
        <v>S.A.L</v>
      </c>
      <c r="V17" s="90" t="str">
        <f>ESCALA!$C$22</f>
        <v/>
      </c>
      <c r="W17" s="89"/>
      <c r="X17" s="54">
        <v>0.5</v>
      </c>
      <c r="Y17" s="125">
        <v>3405.0</v>
      </c>
      <c r="Z17" s="392">
        <v>1400.0</v>
      </c>
      <c r="AA17" s="56">
        <v>1.0</v>
      </c>
      <c r="AB17" s="58">
        <f>IF('20'!AA17=1,(('20'!Z17*'20'!$AS$6*'20'!$AT$6)/('20'!Y17*0.0036)),IF('20'!AA17=2,(('20'!Z17*'20'!$AS$7*'20'!$AT$7)/('20'!Y17*0.0036))))</f>
        <v>75.95039974</v>
      </c>
      <c r="AC17" s="58"/>
      <c r="AD17" s="59">
        <f>(('20'!AC17*'20'!$Q$10*1000000))/('20'!Y17*3600)</f>
        <v>0</v>
      </c>
      <c r="AE17" s="60"/>
      <c r="AF17" s="61">
        <f>('20'!AE17/24)*0.454</f>
        <v>0</v>
      </c>
      <c r="AG17" s="60"/>
      <c r="AH17" s="61">
        <f>('20'!AG17/24)*0.454</f>
        <v>0</v>
      </c>
      <c r="AI17" s="308">
        <v>5000.0</v>
      </c>
      <c r="AJ17" s="61">
        <f>('20'!AI18/24)*0.454</f>
        <v>94.58333333</v>
      </c>
      <c r="AK17" s="62"/>
      <c r="AL17" s="63">
        <f>('20'!AK17/24)*0.454</f>
        <v>0</v>
      </c>
      <c r="AM17" s="62"/>
      <c r="AN17" s="63">
        <f>('20'!AM17/24)*0.454</f>
        <v>0</v>
      </c>
      <c r="AO17" s="62"/>
      <c r="AP17" s="63">
        <f>('20'!AO17/24)*0.454</f>
        <v>0</v>
      </c>
    </row>
    <row r="18" ht="19.5" customHeight="1">
      <c r="A18" s="69">
        <v>0.916666666666667</v>
      </c>
      <c r="B18" s="76">
        <v>218.0</v>
      </c>
      <c r="C18" s="76">
        <v>24.0</v>
      </c>
      <c r="D18" s="76">
        <v>18.0</v>
      </c>
      <c r="E18" s="76">
        <v>10.0</v>
      </c>
      <c r="F18" s="76">
        <v>82.0</v>
      </c>
      <c r="G18" s="76"/>
      <c r="H18" s="76">
        <v>1.9</v>
      </c>
      <c r="I18" s="76">
        <v>0.9</v>
      </c>
      <c r="J18" s="76">
        <v>1.3</v>
      </c>
      <c r="K18" s="76">
        <v>6.9</v>
      </c>
      <c r="L18" s="61">
        <v>6.5</v>
      </c>
      <c r="M18" s="61">
        <v>6.5</v>
      </c>
      <c r="N18" s="61">
        <v>6.2</v>
      </c>
      <c r="O18" s="463">
        <v>3.6</v>
      </c>
      <c r="P18" s="76"/>
      <c r="Q18" s="310"/>
      <c r="R18" s="77">
        <f>'20'!Z27</f>
        <v>1400</v>
      </c>
      <c r="S18" s="76">
        <f>'20'!AB27</f>
        <v>74.44188575</v>
      </c>
      <c r="T18" s="77">
        <f>'20'!Y27</f>
        <v>3474</v>
      </c>
      <c r="U18" s="73" t="str">
        <f>IF('20'!AA27=1,'20'!AR6,'20'!AR7)</f>
        <v>S.A.L</v>
      </c>
      <c r="V18" s="16"/>
      <c r="W18" s="18"/>
      <c r="X18" s="54">
        <v>0.541666666666667</v>
      </c>
      <c r="Y18" s="125">
        <v>3463.0</v>
      </c>
      <c r="Z18" s="392">
        <v>1400.0</v>
      </c>
      <c r="AA18" s="56">
        <v>1.0</v>
      </c>
      <c r="AB18" s="58">
        <f>IF('20'!AA18=1,(('20'!Z18*'20'!$AS$6*'20'!$AT$6)/('20'!Y18*0.0036)),IF('20'!AA18=2,(('20'!Z18*'20'!$AS$7*'20'!$AT$7)/('20'!Y18*0.0036))))</f>
        <v>74.67834569</v>
      </c>
      <c r="AC18" s="58"/>
      <c r="AD18" s="59">
        <f>(('20'!AC18*'20'!$Q$10*1000000))/('20'!Y18*3600)</f>
        <v>0</v>
      </c>
      <c r="AE18" s="60"/>
      <c r="AF18" s="61">
        <f>('20'!AE18/24)*0.454</f>
        <v>0</v>
      </c>
      <c r="AG18" s="60"/>
      <c r="AH18" s="61">
        <f>('20'!AG18/24)*0.454</f>
        <v>0</v>
      </c>
      <c r="AI18" s="308">
        <v>5000.0</v>
      </c>
      <c r="AJ18" s="61">
        <f>('20'!AI19/24)*0.454</f>
        <v>94.58333333</v>
      </c>
      <c r="AK18" s="62"/>
      <c r="AL18" s="63">
        <f>('20'!AK18/24)*0.454</f>
        <v>0</v>
      </c>
      <c r="AM18" s="62"/>
      <c r="AN18" s="63">
        <f>('20'!AM18/24)*0.454</f>
        <v>0</v>
      </c>
      <c r="AO18" s="62"/>
      <c r="AP18" s="63">
        <f>('20'!AO18/24)*0.454</f>
        <v>0</v>
      </c>
    </row>
    <row r="19" ht="18.75" customHeight="1">
      <c r="A19" s="51" t="s">
        <v>52</v>
      </c>
      <c r="B19" s="92">
        <f>AVERAGE('20'!B7:B18)</f>
        <v>237.5</v>
      </c>
      <c r="C19" s="92">
        <f>AVERAGE('20'!C7:C18)</f>
        <v>19.25</v>
      </c>
      <c r="D19" s="92">
        <f>AVERAGE('20'!D7:D18)</f>
        <v>14.08333333</v>
      </c>
      <c r="E19" s="92">
        <f>AVERAGE('20'!E7:E18)</f>
        <v>8.666666667</v>
      </c>
      <c r="F19" s="92">
        <f>AVERAGE('20'!F7:F18)</f>
        <v>99.83333333</v>
      </c>
      <c r="G19" s="92">
        <f>AVERAGE('20'!G7:G18)</f>
        <v>2.854545455</v>
      </c>
      <c r="H19" s="92">
        <f>AVERAGE('20'!H7:H18)</f>
        <v>1.541666667</v>
      </c>
      <c r="I19" s="92">
        <f>AVERAGE('20'!I7:I18)</f>
        <v>1.516666667</v>
      </c>
      <c r="J19" s="92">
        <f>AVERAGE('20'!J7:J18)</f>
        <v>0.9833333333</v>
      </c>
      <c r="K19" s="92">
        <f>AVERAGE('20'!K7:K18)</f>
        <v>6.9</v>
      </c>
      <c r="L19" s="92">
        <f>AVERAGE('20'!L7:L18)</f>
        <v>6.5</v>
      </c>
      <c r="M19" s="92">
        <f>AVERAGE('20'!M7:M18)</f>
        <v>6.5</v>
      </c>
      <c r="N19" s="465">
        <f>AVERAGE('20'!N8:N18)</f>
        <v>6.2</v>
      </c>
      <c r="O19" s="92">
        <f>AVERAGE('20'!O7:O18)</f>
        <v>3.8</v>
      </c>
      <c r="P19" s="93" t="str">
        <f>AVERAGE('20'!P7:P18)</f>
        <v>#DIV/0!</v>
      </c>
      <c r="Q19" s="94" t="str">
        <f>AVERAGE('20'!Q7:Q18)</f>
        <v>#DIV/0!</v>
      </c>
      <c r="R19" s="94">
        <f>AVERAGE('20'!R7:R18)</f>
        <v>1400</v>
      </c>
      <c r="S19" s="94">
        <f>AVERAGE('20'!S7:S18)</f>
        <v>75.61378484</v>
      </c>
      <c r="T19" s="95"/>
      <c r="U19" s="96"/>
      <c r="V19" s="97"/>
      <c r="W19" s="97"/>
      <c r="X19" s="54">
        <v>0.583333333333333</v>
      </c>
      <c r="Y19" s="125">
        <v>3454.0</v>
      </c>
      <c r="Z19" s="392">
        <v>1400.0</v>
      </c>
      <c r="AA19" s="56">
        <v>1.0</v>
      </c>
      <c r="AB19" s="58">
        <f>IF('20'!AA19=1,(('20'!Z19*'20'!$AS$6*'20'!$AT$6)/('20'!Y19*0.0036)),IF('20'!AA19=2,(('20'!Z19*'20'!$AS$7*'20'!$AT$7)/('20'!Y19*0.0036))))</f>
        <v>74.87293315</v>
      </c>
      <c r="AC19" s="58"/>
      <c r="AD19" s="59">
        <f>(('20'!AC19*'20'!$Q$10*1000000))/('20'!Y19*3600)</f>
        <v>0</v>
      </c>
      <c r="AE19" s="60"/>
      <c r="AF19" s="61">
        <f>('20'!AE19/24)*0.454</f>
        <v>0</v>
      </c>
      <c r="AG19" s="60"/>
      <c r="AH19" s="61">
        <f>('20'!AG19/24)*0.454</f>
        <v>0</v>
      </c>
      <c r="AI19" s="308">
        <v>5000.0</v>
      </c>
      <c r="AJ19" s="61">
        <f>('20'!AI20/24)*0.454</f>
        <v>94.58333333</v>
      </c>
      <c r="AK19" s="62"/>
      <c r="AL19" s="63">
        <f>('20'!AK19/24)*0.454</f>
        <v>0</v>
      </c>
      <c r="AM19" s="62"/>
      <c r="AN19" s="63">
        <f>('20'!AM19/24)*0.454</f>
        <v>0</v>
      </c>
      <c r="AO19" s="62"/>
      <c r="AP19" s="63">
        <f>('20'!AO19/24)*0.454</f>
        <v>0</v>
      </c>
    </row>
    <row r="20" ht="18.75" customHeight="1">
      <c r="A20" s="51" t="s">
        <v>53</v>
      </c>
      <c r="B20" s="92">
        <f>MAX('20'!B7:B18)</f>
        <v>249</v>
      </c>
      <c r="C20" s="92">
        <f>MAX('20'!C7:C18)</f>
        <v>25</v>
      </c>
      <c r="D20" s="92">
        <f>MAX('20'!D7:D18)</f>
        <v>18</v>
      </c>
      <c r="E20" s="92">
        <f>MAX('20'!E7:E18)</f>
        <v>10</v>
      </c>
      <c r="F20" s="92">
        <f>MAX('20'!F7:F18)</f>
        <v>110</v>
      </c>
      <c r="G20" s="92">
        <f>MAX('20'!G7:G18)</f>
        <v>3.2</v>
      </c>
      <c r="H20" s="92">
        <f>MAX('20'!H7:H18)</f>
        <v>1.9</v>
      </c>
      <c r="I20" s="92">
        <f>MAX('20'!I7:I18)</f>
        <v>10</v>
      </c>
      <c r="J20" s="92">
        <f>MAX('20'!J7:J18)</f>
        <v>1.3</v>
      </c>
      <c r="K20" s="92">
        <f>MAX('20'!K7:K18)</f>
        <v>6.9</v>
      </c>
      <c r="L20" s="92">
        <f>MAX('20'!L7:L18)</f>
        <v>6.5</v>
      </c>
      <c r="M20" s="92">
        <f>MAX('20'!M7:M18)</f>
        <v>6.5</v>
      </c>
      <c r="N20" s="92">
        <f>MAX('20'!N8:N18)</f>
        <v>6.2</v>
      </c>
      <c r="O20" s="98">
        <f>MAX('20'!O7:O18)</f>
        <v>5</v>
      </c>
      <c r="P20" s="98">
        <f>MAX('20'!P7:P18)</f>
        <v>0</v>
      </c>
      <c r="Q20" s="98">
        <f>MAX('20'!Q7:Q18)</f>
        <v>0</v>
      </c>
      <c r="R20" s="98">
        <f>MAX('20'!R7:R18)</f>
        <v>1400</v>
      </c>
      <c r="S20" s="98">
        <f>MAX('20'!S7:S18)</f>
        <v>76.6255144</v>
      </c>
      <c r="T20" s="99"/>
      <c r="U20" s="21"/>
      <c r="X20" s="54">
        <v>0.625</v>
      </c>
      <c r="Y20" s="125">
        <v>3493.0</v>
      </c>
      <c r="Z20" s="392">
        <v>1400.0</v>
      </c>
      <c r="AA20" s="56">
        <v>1.0</v>
      </c>
      <c r="AB20" s="58">
        <f>IF('20'!AA20=1,(('20'!Z20*'20'!$AS$6*'20'!$AT$6)/('20'!Y20*0.0036)),IF('20'!AA20=2,(('20'!Z20*'20'!$AS$7*'20'!$AT$7)/('20'!Y20*0.0036))))</f>
        <v>74.03696281</v>
      </c>
      <c r="AC20" s="58"/>
      <c r="AD20" s="59">
        <f>(('20'!AC20*'20'!$Q$10*1000000))/('20'!Y20*3600)</f>
        <v>0</v>
      </c>
      <c r="AE20" s="60"/>
      <c r="AF20" s="61">
        <f>('20'!AE20/24)*0.454</f>
        <v>0</v>
      </c>
      <c r="AG20" s="60"/>
      <c r="AH20" s="61">
        <f>('20'!AG20/24)*0.454</f>
        <v>0</v>
      </c>
      <c r="AI20" s="308">
        <v>5000.0</v>
      </c>
      <c r="AJ20" s="61">
        <f>('20'!AI21/24)*0.454</f>
        <v>94.58333333</v>
      </c>
      <c r="AK20" s="62"/>
      <c r="AL20" s="63">
        <f>('20'!AK20/24)*0.454</f>
        <v>0</v>
      </c>
      <c r="AM20" s="62"/>
      <c r="AN20" s="63">
        <f>('20'!AM20/24)*0.454</f>
        <v>0</v>
      </c>
      <c r="AO20" s="62"/>
      <c r="AP20" s="63">
        <f>('20'!AO20/24)*0.454</f>
        <v>0</v>
      </c>
    </row>
    <row r="21" ht="19.5" customHeight="1">
      <c r="A21" s="51" t="s">
        <v>54</v>
      </c>
      <c r="B21" s="92">
        <f>MIN('20'!B7:B18)</f>
        <v>218</v>
      </c>
      <c r="C21" s="100">
        <f>MIN('20'!C7:C18)</f>
        <v>17</v>
      </c>
      <c r="D21" s="100">
        <f>MIN('20'!D7:D18)</f>
        <v>12</v>
      </c>
      <c r="E21" s="100">
        <f>MIN('20'!E7:E18)</f>
        <v>8</v>
      </c>
      <c r="F21" s="92">
        <f>MIN('20'!F7:F18)</f>
        <v>82</v>
      </c>
      <c r="G21" s="100">
        <f>MIN('20'!G7:G18)</f>
        <v>2.6</v>
      </c>
      <c r="H21" s="100">
        <f>MIN('20'!H7:H18)</f>
        <v>1.2</v>
      </c>
      <c r="I21" s="100">
        <f>MIN('20'!I7:I18)</f>
        <v>0.6</v>
      </c>
      <c r="J21" s="100">
        <f>MIN('20'!J7:J18)</f>
        <v>0.8</v>
      </c>
      <c r="K21" s="100">
        <f>MIN('20'!K7:K18)</f>
        <v>6.9</v>
      </c>
      <c r="L21" s="100">
        <f>MIN('20'!L7:L18)</f>
        <v>6.5</v>
      </c>
      <c r="M21" s="100">
        <f>MIN('20'!M7:M18)</f>
        <v>6.5</v>
      </c>
      <c r="N21" s="100">
        <f>MIN('20'!N8:N18)</f>
        <v>6.2</v>
      </c>
      <c r="O21" s="101">
        <f>MIN('20'!O7:O18)</f>
        <v>3.3</v>
      </c>
      <c r="P21" s="101">
        <f>MIN('20'!P7:P18)</f>
        <v>0</v>
      </c>
      <c r="Q21" s="101">
        <f>MIN('20'!Q7:Q18)</f>
        <v>0</v>
      </c>
      <c r="R21" s="101">
        <f>MIN('20'!R7:R18)</f>
        <v>1400</v>
      </c>
      <c r="S21" s="101">
        <f>MIN('20'!S7:S18)</f>
        <v>73.86778381</v>
      </c>
      <c r="T21" s="99"/>
      <c r="U21" s="21"/>
      <c r="X21" s="54">
        <v>0.666666666666667</v>
      </c>
      <c r="Y21" s="125">
        <v>3404.0</v>
      </c>
      <c r="Z21" s="392">
        <v>1400.0</v>
      </c>
      <c r="AA21" s="56">
        <v>1.0</v>
      </c>
      <c r="AB21" s="58">
        <f>IF('20'!AA21=1,(('20'!Z21*'20'!$AS$6*'20'!$AT$6)/('20'!Y21*0.0036)),IF('20'!AA21=2,(('20'!Z21*'20'!$AS$7*'20'!$AT$7)/('20'!Y21*0.0036))))</f>
        <v>75.97271184</v>
      </c>
      <c r="AC21" s="58"/>
      <c r="AD21" s="59">
        <f>(('20'!AC21*'20'!$Q$10*1000000))/('20'!Y21*3600)</f>
        <v>0</v>
      </c>
      <c r="AE21" s="60"/>
      <c r="AF21" s="61">
        <f>('20'!AE21/24)*0.454</f>
        <v>0</v>
      </c>
      <c r="AG21" s="60"/>
      <c r="AH21" s="61">
        <f>('20'!AG21/24)*0.454</f>
        <v>0</v>
      </c>
      <c r="AI21" s="308">
        <v>5000.0</v>
      </c>
      <c r="AJ21" s="61">
        <f>('20'!AI22/24)*0.454</f>
        <v>94.58333333</v>
      </c>
      <c r="AK21" s="62"/>
      <c r="AL21" s="63">
        <f>('20'!AK21/24)*0.454</f>
        <v>0</v>
      </c>
      <c r="AM21" s="62"/>
      <c r="AN21" s="63">
        <f>('20'!AM21/24)*0.454</f>
        <v>0</v>
      </c>
      <c r="AO21" s="62"/>
      <c r="AP21" s="63">
        <f>('20'!AO21/24)*0.454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3454.0</v>
      </c>
      <c r="Z22" s="392">
        <v>1400.0</v>
      </c>
      <c r="AA22" s="56">
        <v>1.0</v>
      </c>
      <c r="AB22" s="58">
        <f>IF('20'!AA22=1,(('20'!Z22*'20'!$AS$6*'20'!$AT$6)/('20'!Y22*0.0036)),IF('20'!AA22=2,(('20'!Z22*'20'!$AS$7*'20'!$AT$7)/('20'!Y22*0.0036))))</f>
        <v>74.87293315</v>
      </c>
      <c r="AC22" s="58"/>
      <c r="AD22" s="59">
        <f>(('20'!AC22*'20'!$Q$10*1000000))/('20'!Y22*3600)</f>
        <v>0</v>
      </c>
      <c r="AE22" s="60"/>
      <c r="AF22" s="61">
        <f>('20'!AE22/24)*0.454</f>
        <v>0</v>
      </c>
      <c r="AG22" s="60"/>
      <c r="AH22" s="61">
        <f>('20'!AG22/24)*0.454</f>
        <v>0</v>
      </c>
      <c r="AI22" s="308">
        <v>5000.0</v>
      </c>
      <c r="AJ22" s="61">
        <f>('20'!AI23/24)*0.454</f>
        <v>94.58333333</v>
      </c>
      <c r="AK22" s="62"/>
      <c r="AL22" s="63">
        <f>('20'!AK22/24)*0.454</f>
        <v>0</v>
      </c>
      <c r="AM22" s="62"/>
      <c r="AN22" s="63">
        <f>('20'!AM22/24)*0.454</f>
        <v>0</v>
      </c>
      <c r="AO22" s="62"/>
      <c r="AP22" s="63">
        <f>('20'!AO22/24)*0.454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3415.0</v>
      </c>
      <c r="Z23" s="392">
        <v>1400.0</v>
      </c>
      <c r="AA23" s="56">
        <v>1.0</v>
      </c>
      <c r="AB23" s="58">
        <f>IF('20'!AA23=1,(('20'!Z23*'20'!$AS$6*'20'!$AT$6)/('20'!Y23*0.0036)),IF('20'!AA23=2,(('20'!Z23*'20'!$AS$7*'20'!$AT$7)/('20'!Y23*0.0036))))</f>
        <v>75.7279974</v>
      </c>
      <c r="AC23" s="58"/>
      <c r="AD23" s="59">
        <f>(('20'!AC23*'20'!$Q$10*1000000))/('20'!Y23*3600)</f>
        <v>0</v>
      </c>
      <c r="AE23" s="60"/>
      <c r="AF23" s="61">
        <f>('20'!AE23/24)*0.454</f>
        <v>0</v>
      </c>
      <c r="AG23" s="60"/>
      <c r="AH23" s="61">
        <f>('20'!AG23/24)*0.454</f>
        <v>0</v>
      </c>
      <c r="AI23" s="308">
        <v>5000.0</v>
      </c>
      <c r="AJ23" s="61">
        <f>('20'!AI24/24)*0.454</f>
        <v>94.58333333</v>
      </c>
      <c r="AK23" s="62"/>
      <c r="AL23" s="63">
        <f>('20'!AK23/24)*0.454</f>
        <v>0</v>
      </c>
      <c r="AM23" s="62"/>
      <c r="AN23" s="63">
        <f>('20'!AM23/24)*0.454</f>
        <v>0</v>
      </c>
      <c r="AO23" s="62"/>
      <c r="AP23" s="63">
        <f>('20'!AO23/24)*0.454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3406.0</v>
      </c>
      <c r="Z24" s="392">
        <v>1400.0</v>
      </c>
      <c r="AA24" s="56">
        <v>1.0</v>
      </c>
      <c r="AB24" s="57">
        <f>IF('20'!AA24=1,(('20'!Z24*'20'!$AS$6*'20'!$AT$6)/('20'!Y24*0.0036)),IF('20'!AA24=2,(('20'!Z24*'20'!$AS$7*'20'!$AT$7)/('20'!Y24*0.0036))))</f>
        <v>75.92810074</v>
      </c>
      <c r="AC24" s="57"/>
      <c r="AD24" s="154">
        <f>(('20'!AC24*'20'!$Q$10*1000000))/('20'!Y24*3600)</f>
        <v>0</v>
      </c>
      <c r="AE24" s="60"/>
      <c r="AF24" s="311">
        <f>('20'!AE24/24)*0.454</f>
        <v>0</v>
      </c>
      <c r="AG24" s="125"/>
      <c r="AH24" s="311">
        <f>('20'!AG24/24)*0.454</f>
        <v>0</v>
      </c>
      <c r="AI24" s="308">
        <v>5000.0</v>
      </c>
      <c r="AJ24" s="311">
        <f>('20'!AI25/24)*0.454</f>
        <v>94.58333333</v>
      </c>
      <c r="AK24" s="62"/>
      <c r="AL24" s="110">
        <f>('20'!AK24/24)*0.454</f>
        <v>0</v>
      </c>
      <c r="AM24" s="312"/>
      <c r="AN24" s="110">
        <f>('20'!AM24/24)*0.454</f>
        <v>0</v>
      </c>
      <c r="AO24" s="62"/>
      <c r="AP24" s="110">
        <f>('20'!AO24/24)*0.454</f>
        <v>0</v>
      </c>
    </row>
    <row r="25" ht="19.5" customHeight="1">
      <c r="A25" s="111">
        <v>0.416666666666667</v>
      </c>
      <c r="B25" s="313">
        <v>0.79</v>
      </c>
      <c r="C25" s="313">
        <v>0.83</v>
      </c>
      <c r="D25" s="313">
        <v>0.87</v>
      </c>
      <c r="E25" s="313">
        <v>0.73</v>
      </c>
      <c r="F25" s="313">
        <v>0.77</v>
      </c>
      <c r="G25" s="313" t="s">
        <v>132</v>
      </c>
      <c r="H25" s="313">
        <v>0.88</v>
      </c>
      <c r="I25" s="313">
        <v>0.92</v>
      </c>
      <c r="J25" s="313" t="s">
        <v>132</v>
      </c>
      <c r="K25" s="313">
        <v>0.62</v>
      </c>
      <c r="L25" s="313">
        <v>0.61</v>
      </c>
      <c r="M25" s="313">
        <v>0.67</v>
      </c>
      <c r="N25" s="313">
        <v>0.58</v>
      </c>
      <c r="O25" s="313">
        <v>0.66</v>
      </c>
      <c r="P25" s="313">
        <v>0.54</v>
      </c>
      <c r="Q25" s="313" t="s">
        <v>132</v>
      </c>
      <c r="R25" s="112" t="str">
        <f t="shared" ref="R25:R26" si="1">#DIV/0!</f>
        <v>#DIV/0!</v>
      </c>
      <c r="S25" s="113"/>
      <c r="T25" s="466" t="s">
        <v>0</v>
      </c>
      <c r="U25" s="361">
        <f>ESCALA!$A$22</f>
        <v>43941</v>
      </c>
      <c r="X25" s="54">
        <v>0.833333333333333</v>
      </c>
      <c r="Y25" s="125">
        <v>3414.0</v>
      </c>
      <c r="Z25" s="392">
        <v>1400.0</v>
      </c>
      <c r="AA25" s="56">
        <v>1.0</v>
      </c>
      <c r="AB25" s="58">
        <f>IF('20'!AA25=1,(('20'!Z25*'20'!$AS$6*'20'!$AT$6)/('20'!Y25*0.0036)),IF('20'!AA25=2,(('20'!Z25*'20'!$AS$7*'20'!$AT$7)/('20'!Y25*0.0036))))</f>
        <v>75.750179</v>
      </c>
      <c r="AC25" s="58"/>
      <c r="AD25" s="59">
        <f>(('20'!AC25*'20'!$Q$10*1000000))/('20'!Y25*3600)</f>
        <v>0</v>
      </c>
      <c r="AE25" s="60"/>
      <c r="AF25" s="61">
        <f>('20'!AE25/24)*0.454</f>
        <v>0</v>
      </c>
      <c r="AG25" s="60"/>
      <c r="AH25" s="61">
        <f>('20'!AG25/24)*0.454</f>
        <v>0</v>
      </c>
      <c r="AI25" s="308">
        <v>5000.0</v>
      </c>
      <c r="AJ25" s="61">
        <f>('20'!AI26/24)*0.454</f>
        <v>94.58333333</v>
      </c>
      <c r="AK25" s="62"/>
      <c r="AL25" s="63">
        <f>('20'!AK25/24)*0.454</f>
        <v>0</v>
      </c>
      <c r="AM25" s="62"/>
      <c r="AN25" s="63">
        <f>('20'!AM25/24)*0.454</f>
        <v>0</v>
      </c>
      <c r="AO25" s="62"/>
      <c r="AP25" s="63">
        <f>('20'!AO25/24)*0.454</f>
        <v>0</v>
      </c>
    </row>
    <row r="26" ht="19.5" customHeight="1">
      <c r="A26" s="111">
        <v>0.666666666666667</v>
      </c>
      <c r="B26" s="313"/>
      <c r="C26" s="313"/>
      <c r="D26" s="313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3415.0</v>
      </c>
      <c r="Z26" s="392">
        <v>1400.0</v>
      </c>
      <c r="AA26" s="56">
        <v>1.0</v>
      </c>
      <c r="AB26" s="58">
        <f>IF('20'!AA26=1,(('20'!Z26*'20'!$AS$6*'20'!$AT$6)/('20'!Y26*0.0036)),IF('20'!AA26=2,(('20'!Z26*'20'!$AS$7*'20'!$AT$7)/('20'!Y26*0.0036))))</f>
        <v>75.7279974</v>
      </c>
      <c r="AC26" s="58"/>
      <c r="AD26" s="59">
        <f>(('20'!AC26*'20'!$Q$10*1000000))/('20'!Y26*3600)</f>
        <v>0</v>
      </c>
      <c r="AE26" s="60"/>
      <c r="AF26" s="61">
        <f>('20'!AE26/24)*0.454</f>
        <v>0</v>
      </c>
      <c r="AG26" s="60"/>
      <c r="AH26" s="61">
        <f>('20'!AG26/24)*0.454</f>
        <v>0</v>
      </c>
      <c r="AI26" s="308">
        <v>5000.0</v>
      </c>
      <c r="AJ26" s="61">
        <f>('20'!AI27/24)*0.454</f>
        <v>94.58333333</v>
      </c>
      <c r="AK26" s="62"/>
      <c r="AL26" s="63">
        <f>('20'!AK26/24)*0.454</f>
        <v>0</v>
      </c>
      <c r="AM26" s="62"/>
      <c r="AN26" s="63">
        <f>('20'!AM26/24)*0.454</f>
        <v>0</v>
      </c>
      <c r="AO26" s="62"/>
      <c r="AP26" s="63">
        <f>('20'!AO26/24)*0.454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3474.0</v>
      </c>
      <c r="Z27" s="392">
        <v>1400.0</v>
      </c>
      <c r="AA27" s="56">
        <v>1.0</v>
      </c>
      <c r="AB27" s="58">
        <f>IF('20'!AA27=1,(('20'!Z27*'20'!$AS$6*'20'!$AT$6)/('20'!Y27*0.0036)),IF('20'!AA27=2,(('20'!Z27*'20'!$AS$7*'20'!$AT$7)/('20'!Y27*0.0036))))</f>
        <v>74.44188575</v>
      </c>
      <c r="AC27" s="58"/>
      <c r="AD27" s="59">
        <f>(('20'!AC27*'20'!$Q$10*1000000))/('20'!Y27*3600)</f>
        <v>0</v>
      </c>
      <c r="AE27" s="60"/>
      <c r="AF27" s="61">
        <f>('20'!AE27/24)*0.454</f>
        <v>0</v>
      </c>
      <c r="AG27" s="60"/>
      <c r="AH27" s="61">
        <f>('20'!AG27/24)*0.454</f>
        <v>0</v>
      </c>
      <c r="AI27" s="308">
        <v>5000.0</v>
      </c>
      <c r="AJ27" s="61">
        <f>('20'!AI28/24)*0.454</f>
        <v>94.58333333</v>
      </c>
      <c r="AK27" s="62"/>
      <c r="AL27" s="63">
        <f>('20'!AK27/24)*0.454</f>
        <v>0</v>
      </c>
      <c r="AM27" s="62"/>
      <c r="AN27" s="63">
        <f>('20'!AM27/24)*0.454</f>
        <v>0</v>
      </c>
      <c r="AO27" s="62"/>
      <c r="AP27" s="63">
        <f>('20'!AO27/24)*0.454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3416.0</v>
      </c>
      <c r="Z28" s="392">
        <v>1400.0</v>
      </c>
      <c r="AA28" s="56">
        <v>1.0</v>
      </c>
      <c r="AB28" s="58">
        <f>IF('20'!AA28=1,(('20'!Z28*'20'!$AS$6*'20'!$AT$6)/('20'!Y28*0.0036)),IF('20'!AA28=2,(('20'!Z28*'20'!$AS$7*'20'!$AT$7)/('20'!Y28*0.0036))))</f>
        <v>75.70582878</v>
      </c>
      <c r="AC28" s="58"/>
      <c r="AD28" s="59">
        <f>(('20'!AC28*'20'!$Q$10*1000000))/('20'!Y28*3600)</f>
        <v>0</v>
      </c>
      <c r="AE28" s="60"/>
      <c r="AF28" s="61">
        <f>('20'!AE28/24)*0.454</f>
        <v>0</v>
      </c>
      <c r="AG28" s="60"/>
      <c r="AH28" s="61">
        <f>('20'!AG28/24)*0.454</f>
        <v>0</v>
      </c>
      <c r="AI28" s="308">
        <v>5000.0</v>
      </c>
      <c r="AJ28" s="61">
        <f>('20'!AI29/24)*0.454</f>
        <v>94.58333333</v>
      </c>
      <c r="AK28" s="62"/>
      <c r="AL28" s="63">
        <f>('20'!AK28/24)*0.454</f>
        <v>0</v>
      </c>
      <c r="AM28" s="62"/>
      <c r="AN28" s="63">
        <f>('20'!AM28/24)*0.454</f>
        <v>0</v>
      </c>
      <c r="AO28" s="62"/>
      <c r="AP28" s="63">
        <f>('20'!AO28/24)*0.454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3416.0</v>
      </c>
      <c r="Z29" s="392">
        <v>1400.0</v>
      </c>
      <c r="AA29" s="56">
        <v>1.0</v>
      </c>
      <c r="AB29" s="58">
        <f>IF('20'!AA29=1,(('20'!Z29*'20'!$AS$6*'20'!$AT$6)/('20'!Y29*0.0036)),IF('20'!AA29=2,(('20'!Z29*'20'!$AS$7*'20'!$AT$7)/('20'!Y29*0.0036))))</f>
        <v>75.70582878</v>
      </c>
      <c r="AC29" s="58"/>
      <c r="AD29" s="59">
        <f>(('20'!AC29*'20'!$Q$10*1000000))/('20'!Y29*3600)</f>
        <v>0</v>
      </c>
      <c r="AE29" s="60"/>
      <c r="AF29" s="61">
        <f>('20'!AE29/24)*0.454</f>
        <v>0</v>
      </c>
      <c r="AG29" s="60"/>
      <c r="AH29" s="61">
        <f>('20'!AG29/24)*0.454</f>
        <v>0</v>
      </c>
      <c r="AI29" s="308">
        <v>5000.0</v>
      </c>
      <c r="AJ29" s="61">
        <f>('20'!AI29/24)*0.454</f>
        <v>94.58333333</v>
      </c>
      <c r="AK29" s="62"/>
      <c r="AL29" s="63">
        <f>('20'!AK29/24)*0.454</f>
        <v>0</v>
      </c>
      <c r="AM29" s="62"/>
      <c r="AN29" s="63">
        <f>('20'!AM29/24)*0.454</f>
        <v>0</v>
      </c>
      <c r="AO29" s="62"/>
      <c r="AP29" s="63">
        <f>('20'!AO29/24)*0.454</f>
        <v>0</v>
      </c>
    </row>
    <row r="30" ht="18.75" customHeight="1">
      <c r="A30" s="43"/>
      <c r="U30" s="27"/>
      <c r="X30" s="130" t="s">
        <v>55</v>
      </c>
      <c r="Y30" s="131">
        <f>SUM('20'!Y6:Y29)*3.6</f>
        <v>295761.6</v>
      </c>
      <c r="Z30" s="132">
        <f>SUM('20'!Z6:Z29)</f>
        <v>33600</v>
      </c>
      <c r="AA30" s="133"/>
      <c r="AB30" s="132"/>
      <c r="AC30" s="133"/>
      <c r="AD30" s="132"/>
      <c r="AE30" s="60"/>
      <c r="AF30" s="61">
        <f>SUM('20'!AF6:AF29)</f>
        <v>0</v>
      </c>
      <c r="AG30" s="60"/>
      <c r="AH30" s="61">
        <f>SUM('20'!AH6:AH29)</f>
        <v>0</v>
      </c>
      <c r="AI30" s="60"/>
      <c r="AJ30" s="61">
        <f>SUM('20'!AJ6:AJ29)</f>
        <v>2411.875</v>
      </c>
      <c r="AK30" s="62"/>
      <c r="AL30" s="63">
        <f>SUM('20'!AL6:AL29)</f>
        <v>0</v>
      </c>
      <c r="AM30" s="62"/>
      <c r="AN30" s="63">
        <f>SUM('20'!AN6:AN29)</f>
        <v>0</v>
      </c>
      <c r="AO30" s="62"/>
      <c r="AP30" s="63">
        <f>SUM('20'!AP6:AP29)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SUMIF('20'!AA6:AA29,"=1",'20'!Z6:Z29)</f>
        <v>33600</v>
      </c>
      <c r="AA32" s="132">
        <f>'20'!Z32*'20'!AS6</f>
        <v>44688</v>
      </c>
      <c r="AB32" s="139">
        <f>SUMIF('20'!$AA$6:$AA$29,"=1",'20'!$AB$6:$AB$29)/COUNTIF('20'!$AA$6:$AA$29,"=1")</f>
        <v>75.55912634</v>
      </c>
      <c r="AC32" s="140">
        <f>SUMIF('20'!AA6:AA29,"=1",'20'!AC6:AC29)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SUMIF('20'!AA6:AA29,"=2",'20'!Z6:Z29)</f>
        <v>0</v>
      </c>
      <c r="AA33" s="132">
        <f>'20'!Z33*'20'!AS7</f>
        <v>0</v>
      </c>
      <c r="AB33" s="139" t="str">
        <f>SUMIF('20'!$AA$6:$AA$29,"=2",'20'!$AB$6:$AB$29)/COUNTIF('20'!$AA$6:$AA$29,"=2")</f>
        <v>#DIV/0!</v>
      </c>
      <c r="AC33" s="145">
        <f>SUMIF('20'!AA6:AA29,"=2",'20'!AC6:AC29)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AVERAGE('20'!Y6:Y29)</f>
        <v>3423.166667</v>
      </c>
      <c r="Z34" s="56">
        <f>AVERAGE('20'!Z6:Z29)</f>
        <v>1400</v>
      </c>
      <c r="AA34" s="152"/>
      <c r="AB34" s="152"/>
      <c r="AC34" s="153" t="str">
        <f>SUM('20'!AC6:AC29)/COUNTIF('20'!AC6:AC29,"&lt;&gt;0")</f>
        <v>#DIV/0!</v>
      </c>
      <c r="AD34" s="154" t="str">
        <f>SUM('20'!AD6:AD29)/COUNTIF('20'!AD6:AD29,"&lt;&gt;0")</f>
        <v>#DIV/0!</v>
      </c>
      <c r="AE34" s="133"/>
      <c r="AF34" s="153">
        <f>AVERAGE('20'!AF6:AF29)</f>
        <v>0</v>
      </c>
      <c r="AG34" s="153"/>
      <c r="AH34" s="153">
        <f>AVERAGE('20'!AH6:AH29)</f>
        <v>0</v>
      </c>
      <c r="AI34" s="153"/>
      <c r="AJ34" s="153">
        <f>'20'!AJ30/24</f>
        <v>100.4947917</v>
      </c>
      <c r="AK34" s="153"/>
      <c r="AL34" s="153">
        <f>AVERAGE('20'!AL6:AL29)</f>
        <v>0</v>
      </c>
      <c r="AM34" s="153"/>
      <c r="AN34" s="153">
        <f>AVERAGE('20'!AN6:AN29)</f>
        <v>0</v>
      </c>
      <c r="AO34" s="153"/>
      <c r="AP34" s="153">
        <f>AVERAGE('20'!AP6:AP29)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60.2</v>
      </c>
      <c r="D37" s="76">
        <v>34.1</v>
      </c>
      <c r="E37" s="76">
        <v>25.1</v>
      </c>
      <c r="F37" s="76">
        <v>1.0</v>
      </c>
      <c r="G37" s="76">
        <v>0.2</v>
      </c>
      <c r="H37" s="76">
        <v>0.1</v>
      </c>
      <c r="I37" s="60">
        <v>0.15</v>
      </c>
      <c r="J37" s="60">
        <v>0.1</v>
      </c>
      <c r="K37" s="60">
        <v>0.03</v>
      </c>
      <c r="L37" s="52"/>
      <c r="M37" s="106"/>
      <c r="N37" s="157"/>
      <c r="O37" s="51"/>
      <c r="P37" s="51"/>
      <c r="Q37" s="51"/>
      <c r="R37" s="51"/>
      <c r="S37" s="51"/>
      <c r="T37" s="51"/>
      <c r="U37" s="365" t="str">
        <f>'20'!V12</f>
        <v/>
      </c>
      <c r="X37" s="169" t="s">
        <v>75</v>
      </c>
      <c r="Y37" s="128"/>
      <c r="Z37" s="170">
        <f>COUNTA('20'!Z6:Z29)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SUM('20'!AF30+'20'!AH30)</f>
        <v>0</v>
      </c>
      <c r="AL38" s="178" t="s">
        <v>78</v>
      </c>
      <c r="AM38" s="179">
        <f>SUM('20'!AL30+'20'!AN30)</f>
        <v>0</v>
      </c>
      <c r="AO38" s="178" t="s">
        <v>78</v>
      </c>
      <c r="AP38" s="180">
        <f>'20'!AJ30</f>
        <v>2411.875</v>
      </c>
      <c r="AQ38" s="178" t="s">
        <v>78</v>
      </c>
      <c r="AR38" s="179">
        <f>'20'!AP30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('20'!AK38/'20'!Y30)*1000</f>
        <v>0</v>
      </c>
      <c r="AL39" s="327" t="s">
        <v>86</v>
      </c>
      <c r="AM39" s="328">
        <f>('20'!AM38/'20'!Y30)*1000</f>
        <v>0</v>
      </c>
      <c r="AO39" s="325" t="s">
        <v>86</v>
      </c>
      <c r="AP39" s="326">
        <f>('20'!AP38/'20'!Y30)*1000</f>
        <v>8.154794267</v>
      </c>
      <c r="AQ39" s="327" t="s">
        <v>86</v>
      </c>
      <c r="AR39" s="328">
        <f>('20'!AR38/'20'!Y30)*1000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SUM('20'!AK38,'20'!AM38)</f>
        <v>0</v>
      </c>
      <c r="AM40" s="128"/>
      <c r="AO40" s="210" t="s">
        <v>90</v>
      </c>
      <c r="AP40" s="128"/>
      <c r="AQ40" s="211">
        <f>SUM('20'!AP38,'20'!AR38)</f>
        <v>2411.875</v>
      </c>
      <c r="AR40" s="128"/>
    </row>
    <row r="41" ht="16.5" customHeight="1">
      <c r="A41" s="212">
        <f>COUNTA('20'!E7:E18)</f>
        <v>12</v>
      </c>
      <c r="B41" s="213">
        <f>COUNTA('20'!I7:I18)</f>
        <v>12</v>
      </c>
      <c r="C41" s="214">
        <f>COUNTA('20'!J7:J18)</f>
        <v>12</v>
      </c>
      <c r="D41" s="80"/>
      <c r="E41" s="214">
        <f>COUNTIF('20'!E7:E18,"&gt;15")</f>
        <v>0</v>
      </c>
      <c r="F41" s="80"/>
      <c r="G41" s="214">
        <f>COUNTIF('20'!J7:J18,"&gt;1")</f>
        <v>3</v>
      </c>
      <c r="H41" s="80"/>
      <c r="I41" s="215"/>
      <c r="J41" s="214">
        <f>'20'!A41-'20'!E41</f>
        <v>12</v>
      </c>
      <c r="K41" s="80"/>
      <c r="L41" s="214">
        <f>'20'!C41-'20'!G41</f>
        <v>9</v>
      </c>
      <c r="M41" s="80"/>
      <c r="N41" s="215"/>
      <c r="O41" s="216">
        <f>COUNTIF('20'!J7:J18,"&lt;=0,5")</f>
        <v>0</v>
      </c>
      <c r="P41" s="217"/>
      <c r="Q41" s="218"/>
      <c r="R41" s="219"/>
      <c r="S41" s="220">
        <f>COUNTIF('20'!J7:J18,"&lt;=1,0")</f>
        <v>9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SUM(('20'!AK38+'20'!AM38)/'20'!Y30)*1000</f>
        <v>0</v>
      </c>
      <c r="AM41" s="128"/>
      <c r="AO41" s="210" t="s">
        <v>91</v>
      </c>
      <c r="AP41" s="128"/>
      <c r="AQ41" s="223">
        <f>SUM(('20'!AP38+'20'!AR38)/'20'!Y30)*1000</f>
        <v>8.154794267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SUM('20'!Y45,'20'!AA45,'20'!AC45,'20'!AE45)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COUNTIF('20'!I7:I18,"&lt;=5,0")</f>
        <v>11</v>
      </c>
      <c r="I45" s="127"/>
      <c r="J45" s="128"/>
      <c r="K45" s="215"/>
      <c r="L45" s="208">
        <f>COUNTA('20'!L37)</f>
        <v>0</v>
      </c>
      <c r="M45" s="128"/>
      <c r="O45" s="248"/>
      <c r="P45" s="249"/>
      <c r="Q45" s="250">
        <f>'20'!S41-'20'!O41</f>
        <v>9</v>
      </c>
      <c r="R45" s="251"/>
      <c r="S45" s="252"/>
      <c r="T45" s="253"/>
      <c r="X45" s="133" t="s">
        <v>104</v>
      </c>
      <c r="Y45" s="254">
        <f>'20'!Y44*275.3</f>
        <v>0</v>
      </c>
      <c r="Z45" s="133" t="s">
        <v>104</v>
      </c>
      <c r="AA45" s="254">
        <f>262.4*'20'!AA44</f>
        <v>0</v>
      </c>
      <c r="AB45" s="133" t="s">
        <v>104</v>
      </c>
      <c r="AC45" s="254">
        <f>'20'!AC44*277.7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75" customHeight="1">
      <c r="F46" s="257"/>
      <c r="X46" s="196" t="s">
        <v>105</v>
      </c>
      <c r="Y46" s="258">
        <f>'20'!AS6</f>
        <v>1.33</v>
      </c>
      <c r="Z46" s="196" t="s">
        <v>105</v>
      </c>
      <c r="AA46" s="258">
        <f>'20'!Y46</f>
        <v>1.33</v>
      </c>
      <c r="AB46" s="196" t="s">
        <v>105</v>
      </c>
      <c r="AC46" s="258">
        <f>'20'!Y46</f>
        <v>1.33</v>
      </c>
      <c r="AD46" s="196" t="s">
        <v>105</v>
      </c>
      <c r="AE46" s="259">
        <f>'20'!Y46</f>
        <v>1.33</v>
      </c>
      <c r="AF46" s="260" t="s">
        <v>106</v>
      </c>
      <c r="AG46" s="261">
        <f>SUM('20'!Y47,'20'!AA47,'20'!AC47,'20'!AE47)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'20'!Y45*'20'!Y46</f>
        <v>0</v>
      </c>
      <c r="Z47" s="133" t="s">
        <v>108</v>
      </c>
      <c r="AA47" s="254">
        <f>'20'!AA45*'20'!AA46</f>
        <v>0</v>
      </c>
      <c r="AB47" s="133" t="s">
        <v>108</v>
      </c>
      <c r="AC47" s="254">
        <f>'20'!AC45*'20'!AC46</f>
        <v>0</v>
      </c>
      <c r="AD47" s="133" t="s">
        <v>108</v>
      </c>
      <c r="AE47" s="254">
        <f>'20'!AE45*'20'!AE46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COUNTA('20'!O7:O18)</f>
        <v>12</v>
      </c>
      <c r="P51" s="128"/>
      <c r="R51" s="247">
        <f>COUNTIF('20'!O7:O18,"&gt;=0,5")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SUM(Y53,AA53,AC53,AE53)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'20'!Y52*275.3</f>
        <v>0</v>
      </c>
      <c r="Z53" s="133" t="s">
        <v>104</v>
      </c>
      <c r="AA53" s="254">
        <f>262.4*'20'!AA52</f>
        <v>0</v>
      </c>
      <c r="AB53" s="133" t="s">
        <v>104</v>
      </c>
      <c r="AC53" s="276">
        <f>'20'!AC52*277.7</f>
        <v>0</v>
      </c>
      <c r="AD53" s="133" t="s">
        <v>104</v>
      </c>
      <c r="AE53" s="352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'20'!AS7</f>
        <v>1.377</v>
      </c>
      <c r="Z54" s="196" t="s">
        <v>105</v>
      </c>
      <c r="AA54" s="258">
        <f>'20'!Y54</f>
        <v>1.377</v>
      </c>
      <c r="AB54" s="196" t="s">
        <v>105</v>
      </c>
      <c r="AC54" s="258">
        <f>'20'!Y54</f>
        <v>1.377</v>
      </c>
      <c r="AD54" s="196" t="s">
        <v>105</v>
      </c>
      <c r="AE54" s="259">
        <f>'20'!Y54</f>
        <v>1.377</v>
      </c>
      <c r="AF54" s="260" t="s">
        <v>106</v>
      </c>
      <c r="AG54" s="261">
        <f>SUM('20'!Y55,'20'!AA55,'20'!AC55,'20'!AE55)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262.4*'10'!AL53</f>
        <v>0</v>
      </c>
      <c r="AM54" s="133" t="s">
        <v>104</v>
      </c>
      <c r="AN54" s="276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'20'!Y53*'20'!Y54</f>
        <v>0</v>
      </c>
      <c r="Z55" s="133" t="s">
        <v>108</v>
      </c>
      <c r="AA55" s="254">
        <f>'20'!AA53*'20'!AA54</f>
        <v>0</v>
      </c>
      <c r="AB55" s="133" t="s">
        <v>108</v>
      </c>
      <c r="AC55" s="254">
        <f>'20'!AC53*'20'!AC54</f>
        <v>0</v>
      </c>
      <c r="AD55" s="133" t="s">
        <v>108</v>
      </c>
      <c r="AE55" s="254">
        <f>'20'!AE53*'20'!AE54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 t="str">
        <f>'10'!AJ55</f>
        <v/>
      </c>
      <c r="AM55" s="196" t="s">
        <v>105</v>
      </c>
      <c r="AN55" s="258">
        <f>AJ55</f>
        <v>1.377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'10'!AL54*'10'!AL55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COUNTA('20'!N7:N18)</f>
        <v>12</v>
      </c>
      <c r="P57" s="128"/>
      <c r="R57" s="277">
        <f>COUNTIF('20'!N7:N18,"&gt;=6")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44688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-44688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 t="str">
        <f>'19'!$Y$1048576</f>
        <v/>
      </c>
      <c r="Z65" s="43"/>
      <c r="AA65" s="27"/>
      <c r="AB65" s="299" t="s">
        <v>126</v>
      </c>
      <c r="AC65" s="330" t="str">
        <f>'19'!$AC$1048576</f>
        <v/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SUM('20'!AK38,'20'!AP38)</f>
        <v>2411.875</v>
      </c>
      <c r="Z67" s="43"/>
      <c r="AA67" s="27"/>
      <c r="AB67" s="296" t="s">
        <v>124</v>
      </c>
      <c r="AC67" s="254">
        <f>SUM('20'!AM38,'20'!AR38)</f>
        <v>0</v>
      </c>
    </row>
    <row r="68" ht="15.75" customHeight="1">
      <c r="X68" s="294" t="s">
        <v>128</v>
      </c>
      <c r="Y68" s="301">
        <f>SUM('20'!Y63,'20'!Y65)-'20'!Y67</f>
        <v>-2411.875</v>
      </c>
      <c r="Z68" s="16"/>
      <c r="AA68" s="18"/>
      <c r="AB68" s="296" t="s">
        <v>128</v>
      </c>
      <c r="AC68" s="302">
        <f>SUM('20'!AC63,'20'!AC65)-'20'!AC67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p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7" width="8.57"/>
    <col customWidth="1" min="18" max="18" width="6.14"/>
    <col customWidth="1" min="19" max="19" width="7.43"/>
    <col customWidth="1" min="20" max="20" width="6.14"/>
    <col customWidth="1" min="21" max="21" width="8.14"/>
    <col customWidth="1" min="22" max="25" width="8.57"/>
    <col customWidth="1" min="26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140</v>
      </c>
      <c r="AF4" s="32" t="s">
        <v>141</v>
      </c>
      <c r="AG4" s="32" t="s">
        <v>142</v>
      </c>
      <c r="AH4" s="32" t="s">
        <v>143</v>
      </c>
      <c r="AI4" s="32" t="s">
        <v>144</v>
      </c>
      <c r="AJ4" s="32" t="s">
        <v>145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467" t="s">
        <v>34</v>
      </c>
      <c r="AR4" s="284"/>
      <c r="AS4" s="284"/>
      <c r="AT4" s="285"/>
      <c r="AU4" s="468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3429.0</v>
      </c>
      <c r="Z6" s="308">
        <v>1400.0</v>
      </c>
      <c r="AA6" s="125">
        <v>1.0</v>
      </c>
      <c r="AB6" s="58">
        <f>IF('21'!AA6=1,(('21'!Z6*'21'!$AS$6*'21'!$AT$6)/('21'!Y6*0.0036)),IF('21'!AA6=2,(('21'!Z6*'21'!$AS$7*'21'!$AT$7)/('21'!Y6*0.0036))))</f>
        <v>75.41881339</v>
      </c>
      <c r="AC6" s="58"/>
      <c r="AD6" s="59">
        <f>(('21'!AC6*'21'!$Q$10*1000000))/('21'!Y6*3600)</f>
        <v>0</v>
      </c>
      <c r="AE6" s="60"/>
      <c r="AF6" s="61">
        <f>('21'!AE6/24)*0.454</f>
        <v>0</v>
      </c>
      <c r="AG6" s="60"/>
      <c r="AH6" s="61">
        <f>('21'!AG6/24)*0.454</f>
        <v>0</v>
      </c>
      <c r="AI6" s="60">
        <v>5000.0</v>
      </c>
      <c r="AJ6" s="61">
        <f>('21'!AI6/24)*0.454</f>
        <v>94.58333333</v>
      </c>
      <c r="AK6" s="62"/>
      <c r="AL6" s="63">
        <f>('21'!AK6/24)*0.454</f>
        <v>0</v>
      </c>
      <c r="AM6" s="62"/>
      <c r="AN6" s="63">
        <f>('21'!AM6/24)*0.454</f>
        <v>0</v>
      </c>
      <c r="AO6" s="62"/>
      <c r="AP6" s="63">
        <f>('21'!AO6/24)*0.454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469">
        <v>221.0</v>
      </c>
      <c r="C7" s="76">
        <v>18.0</v>
      </c>
      <c r="D7" s="76">
        <v>16.0</v>
      </c>
      <c r="E7" s="76">
        <v>10.0</v>
      </c>
      <c r="F7" s="76">
        <v>88.0</v>
      </c>
      <c r="G7" s="76">
        <v>2.7</v>
      </c>
      <c r="H7" s="76">
        <v>1.5</v>
      </c>
      <c r="I7" s="76">
        <v>0.9</v>
      </c>
      <c r="J7" s="76">
        <v>1.1</v>
      </c>
      <c r="K7" s="76">
        <v>6.9</v>
      </c>
      <c r="L7" s="76">
        <v>6.5</v>
      </c>
      <c r="M7" s="76">
        <v>6.5</v>
      </c>
      <c r="N7" s="76">
        <v>6.2</v>
      </c>
      <c r="O7" s="76">
        <v>3.4</v>
      </c>
      <c r="P7" s="76"/>
      <c r="Q7" s="310"/>
      <c r="R7" s="77">
        <f>'20'!$Z$29</f>
        <v>1400</v>
      </c>
      <c r="S7" s="309">
        <f>'20'!$AB$29</f>
        <v>75.70582878</v>
      </c>
      <c r="T7" s="77">
        <f>'20'!$Y$29</f>
        <v>3416</v>
      </c>
      <c r="U7" s="73" t="str">
        <f>IF('21'!AA6=1,'21'!AR6,'21'!AR7)</f>
        <v>S.A.L</v>
      </c>
      <c r="V7" s="74" t="str">
        <f>ESCALA!$C$22</f>
        <v/>
      </c>
      <c r="W7" s="12"/>
      <c r="X7" s="54">
        <v>0.0833333333333333</v>
      </c>
      <c r="Y7" s="125">
        <v>3416.0</v>
      </c>
      <c r="Z7" s="308">
        <v>1400.0</v>
      </c>
      <c r="AA7" s="125">
        <v>1.0</v>
      </c>
      <c r="AB7" s="58">
        <f>IF('21'!AA7=1,(('21'!Z7*'21'!$AS$6*'21'!$AT$6)/('21'!Y7*0.0036)),IF('21'!AA7=2,(('21'!Z7*'21'!$AS$7*'21'!$AT$7)/('21'!Y7*0.0036))))</f>
        <v>75.70582878</v>
      </c>
      <c r="AC7" s="58"/>
      <c r="AD7" s="59">
        <f>(('21'!AC7*'21'!$Q$10*1000000))/('21'!Y7*3600)</f>
        <v>0</v>
      </c>
      <c r="AE7" s="60"/>
      <c r="AF7" s="61">
        <f>('21'!AE7/24)*0.454</f>
        <v>0</v>
      </c>
      <c r="AG7" s="60"/>
      <c r="AH7" s="61">
        <f>('21'!AG7/24)*0.454</f>
        <v>0</v>
      </c>
      <c r="AI7" s="60">
        <v>5000.0</v>
      </c>
      <c r="AJ7" s="61">
        <f>('21'!AI7/24)*0.454</f>
        <v>94.58333333</v>
      </c>
      <c r="AK7" s="62"/>
      <c r="AL7" s="63">
        <f>('21'!AK7/24)*0.454</f>
        <v>0</v>
      </c>
      <c r="AM7" s="62"/>
      <c r="AN7" s="63">
        <f>('21'!AM7/24)*0.454</f>
        <v>0</v>
      </c>
      <c r="AO7" s="62"/>
      <c r="AP7" s="63">
        <f>('21'!AO7/24)*0.454</f>
        <v>0</v>
      </c>
      <c r="AQ7" s="65">
        <v>2.0</v>
      </c>
      <c r="AR7" s="66" t="s">
        <v>149</v>
      </c>
      <c r="AS7" s="67">
        <v>1.34</v>
      </c>
      <c r="AT7" s="66">
        <v>1.0</v>
      </c>
      <c r="AU7" s="60">
        <v>24.0</v>
      </c>
    </row>
    <row r="8" ht="18.75" customHeight="1">
      <c r="A8" s="69">
        <v>0.0833333333333333</v>
      </c>
      <c r="B8" s="469">
        <v>220.0</v>
      </c>
      <c r="C8" s="76">
        <v>18.0</v>
      </c>
      <c r="D8" s="76">
        <v>15.0</v>
      </c>
      <c r="E8" s="76">
        <v>10.0</v>
      </c>
      <c r="F8" s="76">
        <v>102.0</v>
      </c>
      <c r="G8" s="76">
        <v>2.5</v>
      </c>
      <c r="H8" s="76">
        <v>1.6</v>
      </c>
      <c r="I8" s="76">
        <v>0.8</v>
      </c>
      <c r="J8" s="76">
        <v>1.1</v>
      </c>
      <c r="K8" s="76">
        <v>6.9</v>
      </c>
      <c r="L8" s="76">
        <v>6.5</v>
      </c>
      <c r="M8" s="76">
        <v>6.5</v>
      </c>
      <c r="N8" s="76">
        <v>6.2</v>
      </c>
      <c r="O8" s="76">
        <v>3.2</v>
      </c>
      <c r="P8" s="76"/>
      <c r="Q8" s="310"/>
      <c r="R8" s="75">
        <f>'21'!Z7</f>
        <v>1400</v>
      </c>
      <c r="S8" s="76">
        <f>'21'!AB7</f>
        <v>75.70582878</v>
      </c>
      <c r="T8" s="77">
        <f>'21'!Y7</f>
        <v>3416</v>
      </c>
      <c r="U8" s="73" t="str">
        <f>IF('21'!AA7=1,'21'!AR6,'21'!AR7)</f>
        <v>S.A.L</v>
      </c>
      <c r="V8" s="43"/>
      <c r="W8" s="27"/>
      <c r="X8" s="54">
        <v>0.125</v>
      </c>
      <c r="Y8" s="125">
        <v>3413.0</v>
      </c>
      <c r="Z8" s="308">
        <v>1400.0</v>
      </c>
      <c r="AA8" s="125">
        <v>1.0</v>
      </c>
      <c r="AB8" s="58">
        <f>IF('21'!AA8=1,(('21'!Z8*'21'!$AS$6*'21'!$AT$6)/('21'!Y8*0.0036)),IF('21'!AA8=2,(('21'!Z8*'21'!$AS$7*'21'!$AT$7)/('21'!Y8*0.0036))))</f>
        <v>75.7723736</v>
      </c>
      <c r="AC8" s="58"/>
      <c r="AD8" s="59">
        <f>(('21'!AC8*'21'!$Q$10*1000000))/('21'!Y8*3600)</f>
        <v>0</v>
      </c>
      <c r="AE8" s="60"/>
      <c r="AF8" s="61">
        <f>('21'!AE8/24)*0.454</f>
        <v>0</v>
      </c>
      <c r="AG8" s="60"/>
      <c r="AH8" s="61">
        <f>('21'!AG8/24)*0.454</f>
        <v>0</v>
      </c>
      <c r="AI8" s="60">
        <v>5000.0</v>
      </c>
      <c r="AJ8" s="61">
        <f>('21'!AI8/24)*0.454</f>
        <v>94.58333333</v>
      </c>
      <c r="AK8" s="62"/>
      <c r="AL8" s="63">
        <f>('21'!AK8/24)*0.454</f>
        <v>0</v>
      </c>
      <c r="AM8" s="62"/>
      <c r="AN8" s="63">
        <f>('21'!AM8/24)*0.454</f>
        <v>0</v>
      </c>
      <c r="AO8" s="62"/>
      <c r="AP8" s="63">
        <f>('21'!AO8/24)*0.454</f>
        <v>0</v>
      </c>
      <c r="AQ8" s="470" t="s">
        <v>50</v>
      </c>
      <c r="AR8" s="79"/>
      <c r="AS8" s="79"/>
      <c r="AT8" s="80"/>
    </row>
    <row r="9" ht="18.75" customHeight="1">
      <c r="A9" s="69">
        <v>0.166666666666667</v>
      </c>
      <c r="B9" s="469">
        <v>224.0</v>
      </c>
      <c r="C9" s="76">
        <v>22.0</v>
      </c>
      <c r="D9" s="76">
        <v>16.0</v>
      </c>
      <c r="E9" s="76">
        <v>13.0</v>
      </c>
      <c r="F9" s="76">
        <v>96.0</v>
      </c>
      <c r="G9" s="76">
        <v>2.5</v>
      </c>
      <c r="H9" s="76">
        <v>1.6</v>
      </c>
      <c r="I9" s="76">
        <v>0.8</v>
      </c>
      <c r="J9" s="76">
        <v>1.3</v>
      </c>
      <c r="K9" s="76">
        <v>6.9</v>
      </c>
      <c r="L9" s="76">
        <v>6.5</v>
      </c>
      <c r="M9" s="76">
        <v>6.5</v>
      </c>
      <c r="N9" s="76">
        <v>6.2</v>
      </c>
      <c r="O9" s="76">
        <v>3.2</v>
      </c>
      <c r="P9" s="76"/>
      <c r="Q9" s="310"/>
      <c r="R9" s="77">
        <f>'21'!Z9</f>
        <v>1400</v>
      </c>
      <c r="S9" s="76">
        <f>'21'!AB9</f>
        <v>74.29218935</v>
      </c>
      <c r="T9" s="77">
        <f>'21'!Y9</f>
        <v>3481</v>
      </c>
      <c r="U9" s="73" t="str">
        <f>IF('21'!AA9=1,'21'!AR6,'21'!AR7)</f>
        <v>S.A.L</v>
      </c>
      <c r="V9" s="43"/>
      <c r="W9" s="27"/>
      <c r="X9" s="54">
        <v>0.166666666666667</v>
      </c>
      <c r="Y9" s="125">
        <v>3481.0</v>
      </c>
      <c r="Z9" s="308">
        <v>1400.0</v>
      </c>
      <c r="AA9" s="125">
        <v>1.0</v>
      </c>
      <c r="AB9" s="58">
        <f>IF('21'!AA9=1,(('21'!Z9*'21'!$AS$6*'21'!$AT$6)/('21'!Y9*0.0036)),IF('21'!AA9=2,(('21'!Z9*'21'!$AS$7*'21'!$AT$7)/('21'!Y9*0.0036))))</f>
        <v>74.29218935</v>
      </c>
      <c r="AC9" s="58"/>
      <c r="AD9" s="59">
        <f>(('21'!AC9*'21'!$Q$10*1000000))/('21'!Y9*3600)</f>
        <v>0</v>
      </c>
      <c r="AE9" s="60"/>
      <c r="AF9" s="61">
        <f>('21'!AE9/24)*0.454</f>
        <v>0</v>
      </c>
      <c r="AG9" s="60"/>
      <c r="AH9" s="61">
        <f>('21'!AG9/24)*0.454</f>
        <v>0</v>
      </c>
      <c r="AI9" s="60">
        <v>5000.0</v>
      </c>
      <c r="AJ9" s="61">
        <f>('21'!AI9/24)*0.454</f>
        <v>94.58333333</v>
      </c>
      <c r="AK9" s="62"/>
      <c r="AL9" s="63">
        <f>('21'!AK9/24)*0.454</f>
        <v>0</v>
      </c>
      <c r="AM9" s="62"/>
      <c r="AN9" s="63">
        <f>('21'!AM9/24)*0.454</f>
        <v>0</v>
      </c>
      <c r="AO9" s="62"/>
      <c r="AP9" s="63">
        <f>('21'!AO9/24)*0.454</f>
        <v>0</v>
      </c>
      <c r="AQ9" s="47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469">
        <v>228.0</v>
      </c>
      <c r="C10" s="76">
        <v>23.0</v>
      </c>
      <c r="D10" s="76">
        <v>17.0</v>
      </c>
      <c r="E10" s="76">
        <v>12.0</v>
      </c>
      <c r="F10" s="76">
        <v>90.0</v>
      </c>
      <c r="G10" s="76">
        <v>2.3</v>
      </c>
      <c r="H10" s="76">
        <v>1.6</v>
      </c>
      <c r="I10" s="76">
        <v>0.8</v>
      </c>
      <c r="J10" s="76">
        <v>1.5</v>
      </c>
      <c r="K10" s="76">
        <v>6.9</v>
      </c>
      <c r="L10" s="76">
        <v>6.5</v>
      </c>
      <c r="M10" s="76">
        <v>6.5</v>
      </c>
      <c r="N10" s="76">
        <v>6.2</v>
      </c>
      <c r="O10" s="76">
        <v>3.2</v>
      </c>
      <c r="P10" s="76"/>
      <c r="Q10" s="310"/>
      <c r="R10" s="77">
        <f>'21'!Z11</f>
        <v>1400</v>
      </c>
      <c r="S10" s="76">
        <f>'21'!AB11</f>
        <v>75.48485438</v>
      </c>
      <c r="T10" s="77">
        <f>'21'!Y11</f>
        <v>3426</v>
      </c>
      <c r="U10" s="73" t="str">
        <f>IF('21'!AA11=1,'21'!AR6,'21'!AR7)</f>
        <v>S.A.L</v>
      </c>
      <c r="V10" s="43"/>
      <c r="W10" s="27"/>
      <c r="X10" s="54">
        <v>0.208333333333333</v>
      </c>
      <c r="Y10" s="125">
        <v>3414.0</v>
      </c>
      <c r="Z10" s="308">
        <v>1400.0</v>
      </c>
      <c r="AA10" s="125">
        <v>1.0</v>
      </c>
      <c r="AB10" s="58">
        <f>IF('21'!AA10=1,(('21'!Z10*'21'!$AS$6*'21'!$AT$6)/('21'!Y10*0.0036)),IF('21'!AA10=2,(('21'!Z10*'21'!$AS$7*'21'!$AT$7)/('21'!Y10*0.0036))))</f>
        <v>75.750179</v>
      </c>
      <c r="AC10" s="58"/>
      <c r="AD10" s="59">
        <f>(('21'!AC10*'21'!$Q$10*1000000))/('21'!Y10*3600)</f>
        <v>0</v>
      </c>
      <c r="AE10" s="60"/>
      <c r="AF10" s="61">
        <f>('21'!AE10/24)*0.454</f>
        <v>0</v>
      </c>
      <c r="AG10" s="60"/>
      <c r="AH10" s="61">
        <f>('21'!AG10/24)*0.454</f>
        <v>0</v>
      </c>
      <c r="AI10" s="60">
        <v>5000.0</v>
      </c>
      <c r="AJ10" s="61">
        <f>('21'!AI10/24)*0.454</f>
        <v>94.58333333</v>
      </c>
      <c r="AK10" s="62"/>
      <c r="AL10" s="63">
        <f>('21'!AK10/24)*0.454</f>
        <v>0</v>
      </c>
      <c r="AM10" s="62"/>
      <c r="AN10" s="63">
        <f>('21'!AM10/24)*0.454</f>
        <v>0</v>
      </c>
      <c r="AO10" s="62"/>
      <c r="AP10" s="63">
        <f>('21'!AO10/24)*0.454</f>
        <v>0</v>
      </c>
      <c r="AQ10" s="472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469">
        <v>217.0</v>
      </c>
      <c r="C11" s="76">
        <v>20.0</v>
      </c>
      <c r="D11" s="76">
        <v>16.0</v>
      </c>
      <c r="E11" s="76">
        <v>10.0</v>
      </c>
      <c r="F11" s="76">
        <v>83.0</v>
      </c>
      <c r="G11" s="76">
        <v>2.5</v>
      </c>
      <c r="H11" s="76">
        <v>1.4</v>
      </c>
      <c r="I11" s="76">
        <v>0.5</v>
      </c>
      <c r="J11" s="76">
        <v>0.8</v>
      </c>
      <c r="K11" s="76">
        <v>7.0</v>
      </c>
      <c r="L11" s="76">
        <v>6.5</v>
      </c>
      <c r="M11" s="76">
        <v>6.5</v>
      </c>
      <c r="N11" s="76">
        <v>6.2</v>
      </c>
      <c r="O11" s="76">
        <v>3.2</v>
      </c>
      <c r="P11" s="76"/>
      <c r="Q11" s="310"/>
      <c r="R11" s="77">
        <f>'21'!Z13</f>
        <v>1390</v>
      </c>
      <c r="S11" s="76">
        <f>'21'!AB13</f>
        <v>76.19106495</v>
      </c>
      <c r="T11" s="77">
        <f>'21'!Y13</f>
        <v>3370</v>
      </c>
      <c r="U11" s="73" t="str">
        <f>IF('21'!AA13=1,'21'!AR6,'21'!AR7)</f>
        <v>S.A.L</v>
      </c>
      <c r="V11" s="16"/>
      <c r="W11" s="18"/>
      <c r="X11" s="54">
        <v>0.25</v>
      </c>
      <c r="Y11" s="125">
        <v>3426.0</v>
      </c>
      <c r="Z11" s="308">
        <v>1400.0</v>
      </c>
      <c r="AA11" s="125">
        <v>1.0</v>
      </c>
      <c r="AB11" s="58">
        <f>IF('21'!AA11=1,(('21'!Z11*'21'!$AS$6*'21'!$AT$6)/('21'!Y11*0.0036)),IF('21'!AA11=2,(('21'!Z11*'21'!$AS$7*'21'!$AT$7)/('21'!Y11*0.0036))))</f>
        <v>75.48485438</v>
      </c>
      <c r="AC11" s="58"/>
      <c r="AD11" s="59">
        <f>(('21'!AC11*'21'!$Q$10*1000000))/('21'!Y11*3600)</f>
        <v>0</v>
      </c>
      <c r="AE11" s="60"/>
      <c r="AF11" s="61">
        <f>('21'!AE11/24)*0.454</f>
        <v>0</v>
      </c>
      <c r="AG11" s="60"/>
      <c r="AH11" s="61">
        <f>('21'!AG11/24)*0.454</f>
        <v>0</v>
      </c>
      <c r="AI11" s="60">
        <v>5000.0</v>
      </c>
      <c r="AJ11" s="61">
        <f>('21'!AI11/24)*0.454</f>
        <v>94.58333333</v>
      </c>
      <c r="AK11" s="62"/>
      <c r="AL11" s="63">
        <f>('21'!AK11/24)*0.454</f>
        <v>0</v>
      </c>
      <c r="AM11" s="62"/>
      <c r="AN11" s="63">
        <f>('21'!AM11/24)*0.454</f>
        <v>0</v>
      </c>
      <c r="AO11" s="62"/>
      <c r="AP11" s="63">
        <f>('21'!AO11/24)*0.454</f>
        <v>0</v>
      </c>
    </row>
    <row r="12" ht="18.75" customHeight="1">
      <c r="A12" s="69">
        <v>0.416666666666667</v>
      </c>
      <c r="B12" s="469">
        <v>212.0</v>
      </c>
      <c r="C12" s="76">
        <v>20.0</v>
      </c>
      <c r="D12" s="76">
        <v>16.0</v>
      </c>
      <c r="E12" s="76">
        <v>10.0</v>
      </c>
      <c r="F12" s="76">
        <v>78.0</v>
      </c>
      <c r="G12" s="76">
        <v>2.5</v>
      </c>
      <c r="H12" s="76">
        <v>1.3</v>
      </c>
      <c r="I12" s="76">
        <v>0.5</v>
      </c>
      <c r="J12" s="76">
        <v>0.8</v>
      </c>
      <c r="K12" s="76">
        <v>7.0</v>
      </c>
      <c r="L12" s="76">
        <v>6.5</v>
      </c>
      <c r="M12" s="76">
        <v>6.5</v>
      </c>
      <c r="N12" s="76">
        <v>6.2</v>
      </c>
      <c r="O12" s="76">
        <v>2.8</v>
      </c>
      <c r="P12" s="76"/>
      <c r="Q12" s="310"/>
      <c r="R12" s="77">
        <f>'21'!Z15</f>
        <v>1390</v>
      </c>
      <c r="S12" s="76">
        <f>'21'!AB15</f>
        <v>76.19106495</v>
      </c>
      <c r="T12" s="77">
        <f>'21'!Y15</f>
        <v>3370</v>
      </c>
      <c r="U12" s="73" t="str">
        <f>IF('21'!AA15=1,'21'!AR6,'21'!AR7)</f>
        <v>S.A.L</v>
      </c>
      <c r="V12" s="88" t="str">
        <f>ESCALA!$B$23</f>
        <v/>
      </c>
      <c r="W12" s="89"/>
      <c r="X12" s="54">
        <v>0.291666666666667</v>
      </c>
      <c r="Y12" s="125">
        <v>3370.0</v>
      </c>
      <c r="Z12" s="308">
        <v>1400.0</v>
      </c>
      <c r="AA12" s="125">
        <v>1.0</v>
      </c>
      <c r="AB12" s="58">
        <f>IF('21'!AA12=1,(('21'!Z12*'21'!$AS$6*'21'!$AT$6)/('21'!Y12*0.0036)),IF('21'!AA12=2,(('21'!Z12*'21'!$AS$7*'21'!$AT$7)/('21'!Y12*0.0036))))</f>
        <v>76.73920211</v>
      </c>
      <c r="AC12" s="58"/>
      <c r="AD12" s="59">
        <f>(('21'!AC12*'21'!$Q$10*1000000))/('21'!Y12*3600)</f>
        <v>0</v>
      </c>
      <c r="AE12" s="60"/>
      <c r="AF12" s="61">
        <f>('21'!AE12/24)*0.454</f>
        <v>0</v>
      </c>
      <c r="AG12" s="60"/>
      <c r="AH12" s="61">
        <f>('21'!AG12/24)*0.454</f>
        <v>0</v>
      </c>
      <c r="AI12" s="60">
        <v>5000.0</v>
      </c>
      <c r="AJ12" s="61">
        <f>('21'!AI12/24)*0.454</f>
        <v>94.58333333</v>
      </c>
      <c r="AK12" s="62"/>
      <c r="AL12" s="63">
        <f>('21'!AK12/24)*0.454</f>
        <v>0</v>
      </c>
      <c r="AM12" s="62"/>
      <c r="AN12" s="63">
        <f>('21'!AM12/24)*0.454</f>
        <v>0</v>
      </c>
      <c r="AO12" s="62"/>
      <c r="AP12" s="63">
        <f>('21'!AO12/24)*0.454</f>
        <v>0</v>
      </c>
    </row>
    <row r="13" ht="18.75" customHeight="1">
      <c r="A13" s="69">
        <v>0.5</v>
      </c>
      <c r="B13" s="469">
        <v>218.0</v>
      </c>
      <c r="C13" s="76">
        <v>20.0</v>
      </c>
      <c r="D13" s="76">
        <v>16.0</v>
      </c>
      <c r="E13" s="76">
        <v>8.0</v>
      </c>
      <c r="F13" s="76">
        <v>80.0</v>
      </c>
      <c r="G13" s="76">
        <v>2.4</v>
      </c>
      <c r="H13" s="76">
        <v>1.4</v>
      </c>
      <c r="I13" s="76">
        <v>0.5</v>
      </c>
      <c r="J13" s="76">
        <v>0.7</v>
      </c>
      <c r="K13" s="76">
        <v>7.0</v>
      </c>
      <c r="L13" s="76">
        <v>6.5</v>
      </c>
      <c r="M13" s="76">
        <v>6.5</v>
      </c>
      <c r="N13" s="76">
        <v>6.2</v>
      </c>
      <c r="O13" s="76">
        <v>2.8</v>
      </c>
      <c r="P13" s="76"/>
      <c r="Q13" s="310"/>
      <c r="R13" s="77">
        <f>'21'!Z17</f>
        <v>1390</v>
      </c>
      <c r="S13" s="76">
        <f>'21'!AB17</f>
        <v>76.19106495</v>
      </c>
      <c r="T13" s="77">
        <f>'21'!Y17</f>
        <v>3370</v>
      </c>
      <c r="U13" s="73" t="str">
        <f>IF('21'!AA17=1,'21'!AR6,'21'!AR7)</f>
        <v>S.A.L</v>
      </c>
      <c r="V13" s="43"/>
      <c r="W13" s="27"/>
      <c r="X13" s="54">
        <v>0.333333333333333</v>
      </c>
      <c r="Y13" s="125">
        <v>3370.0</v>
      </c>
      <c r="Z13" s="308">
        <v>1390.0</v>
      </c>
      <c r="AA13" s="125">
        <v>1.0</v>
      </c>
      <c r="AB13" s="58">
        <f>IF('21'!AA13=1,(('21'!Z13*'21'!$AS$6*'21'!$AT$6)/('21'!Y13*0.0036)),IF('21'!AA13=2,(('21'!Z13*'21'!$AS$7*'21'!$AT$7)/('21'!Y13*0.0036))))</f>
        <v>76.19106495</v>
      </c>
      <c r="AC13" s="58"/>
      <c r="AD13" s="59">
        <f>(('21'!AC13*'21'!$Q$10*1000000))/('21'!Y13*3600)</f>
        <v>0</v>
      </c>
      <c r="AE13" s="60"/>
      <c r="AF13" s="61">
        <f>('21'!AE13/24)*0.454</f>
        <v>0</v>
      </c>
      <c r="AG13" s="60"/>
      <c r="AH13" s="61">
        <f>('21'!AG13/24)*0.454</f>
        <v>0</v>
      </c>
      <c r="AI13" s="60">
        <v>5000.0</v>
      </c>
      <c r="AJ13" s="61">
        <f>('21'!AI13/24)*0.454</f>
        <v>94.58333333</v>
      </c>
      <c r="AK13" s="62"/>
      <c r="AL13" s="63">
        <f>('21'!AK13/24)*0.454</f>
        <v>0</v>
      </c>
      <c r="AM13" s="62"/>
      <c r="AN13" s="63">
        <f>('21'!AM13/24)*0.454</f>
        <v>0</v>
      </c>
      <c r="AO13" s="62"/>
      <c r="AP13" s="63">
        <f>('21'!AO13/24)*0.454</f>
        <v>0</v>
      </c>
    </row>
    <row r="14" ht="18.75" customHeight="1">
      <c r="A14" s="69">
        <v>0.583333333333333</v>
      </c>
      <c r="B14" s="469">
        <v>225.0</v>
      </c>
      <c r="C14" s="76">
        <v>20.0</v>
      </c>
      <c r="D14" s="76">
        <v>15.0</v>
      </c>
      <c r="E14" s="76">
        <v>6.0</v>
      </c>
      <c r="F14" s="76">
        <v>84.0</v>
      </c>
      <c r="G14" s="76">
        <v>2.3</v>
      </c>
      <c r="H14" s="76">
        <v>1.6</v>
      </c>
      <c r="I14" s="76">
        <v>0.5</v>
      </c>
      <c r="J14" s="76">
        <v>0.7</v>
      </c>
      <c r="K14" s="76">
        <v>7.0</v>
      </c>
      <c r="L14" s="76">
        <v>6.5</v>
      </c>
      <c r="M14" s="76">
        <v>6.5</v>
      </c>
      <c r="N14" s="76">
        <v>6.2</v>
      </c>
      <c r="O14" s="76">
        <v>3.0</v>
      </c>
      <c r="P14" s="76"/>
      <c r="Q14" s="310"/>
      <c r="R14" s="77">
        <f>'21'!Z19</f>
        <v>1390</v>
      </c>
      <c r="S14" s="76">
        <f>'21'!AB19</f>
        <v>76.19106495</v>
      </c>
      <c r="T14" s="77">
        <f>'21'!Y19</f>
        <v>3370</v>
      </c>
      <c r="U14" s="73" t="str">
        <f>IF('21'!AA19=1,'21'!AR6,'21'!AR7)</f>
        <v>S.A.L</v>
      </c>
      <c r="V14" s="43"/>
      <c r="W14" s="27"/>
      <c r="X14" s="54">
        <v>0.375</v>
      </c>
      <c r="Y14" s="125">
        <v>3370.0</v>
      </c>
      <c r="Z14" s="308">
        <v>1390.0</v>
      </c>
      <c r="AA14" s="125">
        <v>1.0</v>
      </c>
      <c r="AB14" s="58">
        <f>IF('21'!AA14=1,(('21'!Z14*'21'!$AS$6*'21'!$AT$6)/('21'!Y14*0.0036)),IF('21'!AA14=2,(('21'!Z14*'21'!$AS$7*'21'!$AT$7)/('21'!Y14*0.0036))))</f>
        <v>76.19106495</v>
      </c>
      <c r="AC14" s="58"/>
      <c r="AD14" s="59">
        <f>(('21'!AC14*'21'!$Q$10*1000000))/('21'!Y14*3600)</f>
        <v>0</v>
      </c>
      <c r="AE14" s="60"/>
      <c r="AF14" s="61">
        <f>('21'!AE14/24)*0.454</f>
        <v>0</v>
      </c>
      <c r="AG14" s="60"/>
      <c r="AH14" s="61">
        <f>('21'!AG14/24)*0.454</f>
        <v>0</v>
      </c>
      <c r="AI14" s="60">
        <v>5000.0</v>
      </c>
      <c r="AJ14" s="61">
        <f>('21'!AI14/24)*0.454</f>
        <v>94.58333333</v>
      </c>
      <c r="AK14" s="62"/>
      <c r="AL14" s="63">
        <f>('21'!AK14/24)*0.454</f>
        <v>0</v>
      </c>
      <c r="AM14" s="62"/>
      <c r="AN14" s="63">
        <f>('21'!AM14/24)*0.454</f>
        <v>0</v>
      </c>
      <c r="AO14" s="62"/>
      <c r="AP14" s="63">
        <f>('21'!AO14/24)*0.454</f>
        <v>0</v>
      </c>
    </row>
    <row r="15" ht="18.75" customHeight="1">
      <c r="A15" s="69">
        <v>0.666666666666667</v>
      </c>
      <c r="B15" s="469">
        <v>228.0</v>
      </c>
      <c r="C15" s="76">
        <v>19.0</v>
      </c>
      <c r="D15" s="76">
        <v>15.0</v>
      </c>
      <c r="E15" s="76">
        <v>5.0</v>
      </c>
      <c r="F15" s="76">
        <v>85.0</v>
      </c>
      <c r="G15" s="76">
        <v>2.0</v>
      </c>
      <c r="H15" s="76">
        <v>1.7</v>
      </c>
      <c r="I15" s="76">
        <v>0.5</v>
      </c>
      <c r="J15" s="76">
        <v>0.6</v>
      </c>
      <c r="K15" s="76">
        <v>7.0</v>
      </c>
      <c r="L15" s="76">
        <v>6.5</v>
      </c>
      <c r="M15" s="76">
        <v>6.5</v>
      </c>
      <c r="N15" s="76">
        <v>6.2</v>
      </c>
      <c r="O15" s="76">
        <v>3.6</v>
      </c>
      <c r="P15" s="76"/>
      <c r="Q15" s="310"/>
      <c r="R15" s="77">
        <f>'21'!Z21</f>
        <v>1390</v>
      </c>
      <c r="S15" s="76">
        <f>'21'!AB21</f>
        <v>76.19106495</v>
      </c>
      <c r="T15" s="77">
        <f>'21'!Y21</f>
        <v>3370</v>
      </c>
      <c r="U15" s="73" t="str">
        <f>IF('21'!AA21=1,'21'!AR6,'21'!AR7)</f>
        <v>S.A.L</v>
      </c>
      <c r="V15" s="43"/>
      <c r="W15" s="27"/>
      <c r="X15" s="54">
        <v>0.416666666666667</v>
      </c>
      <c r="Y15" s="125">
        <v>3370.0</v>
      </c>
      <c r="Z15" s="308">
        <v>1390.0</v>
      </c>
      <c r="AA15" s="125">
        <v>1.0</v>
      </c>
      <c r="AB15" s="58">
        <f>IF('21'!AA15=1,(('21'!Z15*'21'!$AS$6*'21'!$AT$6)/('21'!Y15*0.0036)),IF('21'!AA15=2,(('21'!Z15*'21'!$AS$7*'21'!$AT$7)/('21'!Y15*0.0036))))</f>
        <v>76.19106495</v>
      </c>
      <c r="AC15" s="58"/>
      <c r="AD15" s="59">
        <f>(('21'!AC15*'21'!$Q$10*1000000))/('21'!Y15*3600)</f>
        <v>0</v>
      </c>
      <c r="AE15" s="60"/>
      <c r="AF15" s="61">
        <f>('21'!AE15/24)*0.454</f>
        <v>0</v>
      </c>
      <c r="AG15" s="60"/>
      <c r="AH15" s="61">
        <f>('21'!AG15/24)*0.454</f>
        <v>0</v>
      </c>
      <c r="AI15" s="60">
        <v>5000.0</v>
      </c>
      <c r="AJ15" s="61">
        <f>('21'!AI15/24)*0.454</f>
        <v>94.58333333</v>
      </c>
      <c r="AK15" s="62"/>
      <c r="AL15" s="63">
        <f>('21'!AK15/24)*0.454</f>
        <v>0</v>
      </c>
      <c r="AM15" s="62"/>
      <c r="AN15" s="63">
        <f>('21'!AM15/24)*0.454</f>
        <v>0</v>
      </c>
      <c r="AO15" s="62"/>
      <c r="AP15" s="63">
        <f>('21'!AO15/24)*0.454</f>
        <v>0</v>
      </c>
    </row>
    <row r="16" ht="18.75" customHeight="1">
      <c r="A16" s="69">
        <v>0.75</v>
      </c>
      <c r="B16" s="469">
        <v>230.0</v>
      </c>
      <c r="C16" s="76">
        <v>19.0</v>
      </c>
      <c r="D16" s="76">
        <v>14.0</v>
      </c>
      <c r="E16" s="76">
        <v>4.0</v>
      </c>
      <c r="F16" s="76">
        <v>86.0</v>
      </c>
      <c r="G16" s="76">
        <v>1.9</v>
      </c>
      <c r="H16" s="76">
        <v>1.8</v>
      </c>
      <c r="I16" s="76">
        <v>0.5</v>
      </c>
      <c r="J16" s="76">
        <v>0.6</v>
      </c>
      <c r="K16" s="76">
        <v>7.0</v>
      </c>
      <c r="L16" s="76">
        <v>6.5</v>
      </c>
      <c r="M16" s="76">
        <v>6.5</v>
      </c>
      <c r="N16" s="76">
        <v>6.2</v>
      </c>
      <c r="O16" s="76">
        <v>3.6</v>
      </c>
      <c r="P16" s="76"/>
      <c r="Q16" s="310"/>
      <c r="R16" s="77">
        <f>'21'!Z23</f>
        <v>1390</v>
      </c>
      <c r="S16" s="76">
        <f>'21'!AB23</f>
        <v>76.19106495</v>
      </c>
      <c r="T16" s="77">
        <f>'21'!Y23</f>
        <v>3370</v>
      </c>
      <c r="U16" s="73" t="str">
        <f>IF('21'!AA23=1,'21'!AR6,'21'!AR7)</f>
        <v>S.A.L</v>
      </c>
      <c r="V16" s="16"/>
      <c r="W16" s="18"/>
      <c r="X16" s="54">
        <v>0.458333333333333</v>
      </c>
      <c r="Y16" s="125">
        <v>3370.0</v>
      </c>
      <c r="Z16" s="308">
        <v>1390.0</v>
      </c>
      <c r="AA16" s="125">
        <v>1.0</v>
      </c>
      <c r="AB16" s="58">
        <f>IF('21'!AA16=1,(('21'!Z16*'21'!$AS$6*'21'!$AT$6)/('21'!Y16*0.0036)),IF('21'!AA16=2,(('21'!Z16*'21'!$AS$7*'21'!$AT$7)/('21'!Y16*0.0036))))</f>
        <v>76.19106495</v>
      </c>
      <c r="AC16" s="58"/>
      <c r="AD16" s="59">
        <f>(('21'!AC16*'21'!$Q$10*1000000))/('21'!Y16*3600)</f>
        <v>0</v>
      </c>
      <c r="AE16" s="60"/>
      <c r="AF16" s="61">
        <f>('21'!AE16/24)*0.454</f>
        <v>0</v>
      </c>
      <c r="AG16" s="60"/>
      <c r="AH16" s="61">
        <f>('21'!AG16/24)*0.454</f>
        <v>0</v>
      </c>
      <c r="AI16" s="60">
        <v>5000.0</v>
      </c>
      <c r="AJ16" s="61">
        <f>('21'!AI16/24)*0.454</f>
        <v>94.58333333</v>
      </c>
      <c r="AK16" s="62"/>
      <c r="AL16" s="63">
        <f>('21'!AK16/24)*0.454</f>
        <v>0</v>
      </c>
      <c r="AM16" s="62"/>
      <c r="AN16" s="63">
        <f>('21'!AM16/24)*0.454</f>
        <v>0</v>
      </c>
      <c r="AO16" s="62"/>
      <c r="AP16" s="63">
        <f>('21'!AO16/24)*0.454</f>
        <v>0</v>
      </c>
    </row>
    <row r="17" ht="18.75" customHeight="1">
      <c r="A17" s="69">
        <v>0.833333333333333</v>
      </c>
      <c r="B17" s="469">
        <v>227.0</v>
      </c>
      <c r="C17" s="76">
        <v>18.0</v>
      </c>
      <c r="D17" s="76">
        <v>15.0</v>
      </c>
      <c r="E17" s="76">
        <v>4.0</v>
      </c>
      <c r="F17" s="76">
        <v>84.0</v>
      </c>
      <c r="G17" s="76">
        <v>1.7</v>
      </c>
      <c r="H17" s="76">
        <v>1.6</v>
      </c>
      <c r="I17" s="76">
        <v>0.5</v>
      </c>
      <c r="J17" s="76">
        <v>0.5</v>
      </c>
      <c r="K17" s="76">
        <v>7.0</v>
      </c>
      <c r="L17" s="76">
        <v>6.5</v>
      </c>
      <c r="M17" s="76">
        <v>6.5</v>
      </c>
      <c r="N17" s="76">
        <v>6.2</v>
      </c>
      <c r="O17" s="76">
        <v>3.0</v>
      </c>
      <c r="P17" s="76"/>
      <c r="Q17" s="310"/>
      <c r="R17" s="77">
        <f>'21'!Z25</f>
        <v>1390</v>
      </c>
      <c r="S17" s="76">
        <f>'21'!AB25</f>
        <v>76.19106495</v>
      </c>
      <c r="T17" s="77">
        <f>'21'!Y25</f>
        <v>3370</v>
      </c>
      <c r="U17" s="73" t="str">
        <f>IF('21'!AA25=1,'21'!AR6,'21'!AR7)</f>
        <v>S.A.L</v>
      </c>
      <c r="V17" s="90" t="str">
        <f>ESCALA!$C$23</f>
        <v/>
      </c>
      <c r="W17" s="89"/>
      <c r="X17" s="54">
        <v>0.5</v>
      </c>
      <c r="Y17" s="125">
        <v>3370.0</v>
      </c>
      <c r="Z17" s="308">
        <v>1390.0</v>
      </c>
      <c r="AA17" s="125">
        <v>1.0</v>
      </c>
      <c r="AB17" s="58">
        <f>IF('21'!AA17=1,(('21'!Z17*'21'!$AS$6*'21'!$AT$6)/('21'!Y17*0.0036)),IF('21'!AA17=2,(('21'!Z17*'21'!$AS$7*'21'!$AT$7)/('21'!Y17*0.0036))))</f>
        <v>76.19106495</v>
      </c>
      <c r="AC17" s="58"/>
      <c r="AD17" s="59">
        <f>(('21'!AC17*'21'!$Q$10*1000000))/('21'!Y17*3600)</f>
        <v>0</v>
      </c>
      <c r="AE17" s="60"/>
      <c r="AF17" s="61">
        <f>('21'!AE17/24)*0.454</f>
        <v>0</v>
      </c>
      <c r="AG17" s="60"/>
      <c r="AH17" s="61">
        <f>('21'!AG17/24)*0.454</f>
        <v>0</v>
      </c>
      <c r="AI17" s="60">
        <v>5000.0</v>
      </c>
      <c r="AJ17" s="61">
        <f>('21'!AI17/24)*0.454</f>
        <v>94.58333333</v>
      </c>
      <c r="AK17" s="62"/>
      <c r="AL17" s="63">
        <f>('21'!AK17/24)*0.454</f>
        <v>0</v>
      </c>
      <c r="AM17" s="62"/>
      <c r="AN17" s="63">
        <f>('21'!AM17/24)*0.454</f>
        <v>0</v>
      </c>
      <c r="AO17" s="62"/>
      <c r="AP17" s="63">
        <f>('21'!AO17/24)*0.454</f>
        <v>0</v>
      </c>
    </row>
    <row r="18" ht="19.5" customHeight="1">
      <c r="A18" s="69">
        <v>0.916666666666667</v>
      </c>
      <c r="B18" s="469">
        <v>232.0</v>
      </c>
      <c r="C18" s="76">
        <v>18.0</v>
      </c>
      <c r="D18" s="76">
        <v>16.0</v>
      </c>
      <c r="E18" s="76">
        <v>4.0</v>
      </c>
      <c r="F18" s="76">
        <v>86.0</v>
      </c>
      <c r="G18" s="76">
        <v>1.4</v>
      </c>
      <c r="H18" s="76">
        <v>1.4</v>
      </c>
      <c r="I18" s="76">
        <v>0.5</v>
      </c>
      <c r="J18" s="76">
        <v>0.5</v>
      </c>
      <c r="K18" s="76">
        <v>7.0</v>
      </c>
      <c r="L18" s="76">
        <v>6.5</v>
      </c>
      <c r="M18" s="76">
        <v>6.5</v>
      </c>
      <c r="N18" s="76">
        <v>6.2</v>
      </c>
      <c r="O18" s="76">
        <v>3.6</v>
      </c>
      <c r="P18" s="76"/>
      <c r="Q18" s="310"/>
      <c r="R18" s="77">
        <f>'21'!Z24</f>
        <v>1390</v>
      </c>
      <c r="S18" s="76">
        <f>'21'!AB27</f>
        <v>76.19106495</v>
      </c>
      <c r="T18" s="77">
        <f>'21'!Y27</f>
        <v>3370</v>
      </c>
      <c r="U18" s="73" t="str">
        <f>IF('21'!AA27=1,'21'!AR6,'21'!AR7)</f>
        <v>S.A.L</v>
      </c>
      <c r="V18" s="16"/>
      <c r="W18" s="18"/>
      <c r="X18" s="54">
        <v>0.541666666666667</v>
      </c>
      <c r="Y18" s="125">
        <v>3370.0</v>
      </c>
      <c r="Z18" s="308">
        <v>1390.0</v>
      </c>
      <c r="AA18" s="125">
        <v>1.0</v>
      </c>
      <c r="AB18" s="58">
        <f>IF('21'!AA18=1,(('21'!Z18*'21'!$AS$6*'21'!$AT$6)/('21'!Y18*0.0036)),IF('21'!AA18=2,(('21'!Z18*'21'!$AS$7*'21'!$AT$7)/('21'!Y18*0.0036))))</f>
        <v>76.19106495</v>
      </c>
      <c r="AC18" s="58"/>
      <c r="AD18" s="59">
        <f>(('21'!AC18*'21'!$Q$10*1000000))/('21'!Y18*3600)</f>
        <v>0</v>
      </c>
      <c r="AE18" s="60"/>
      <c r="AF18" s="61">
        <f>('21'!AE18/24)*0.454</f>
        <v>0</v>
      </c>
      <c r="AG18" s="60"/>
      <c r="AH18" s="61">
        <f>('21'!AG18/24)*0.454</f>
        <v>0</v>
      </c>
      <c r="AI18" s="60">
        <v>5000.0</v>
      </c>
      <c r="AJ18" s="61">
        <f>('21'!AI18/24)*0.454</f>
        <v>94.58333333</v>
      </c>
      <c r="AK18" s="62"/>
      <c r="AL18" s="63">
        <f>('21'!AK18/24)*0.454</f>
        <v>0</v>
      </c>
      <c r="AM18" s="62"/>
      <c r="AN18" s="63">
        <f>('21'!AM18/24)*0.454</f>
        <v>0</v>
      </c>
      <c r="AO18" s="62"/>
      <c r="AP18" s="63">
        <f>('21'!AO18/24)*0.454</f>
        <v>0</v>
      </c>
    </row>
    <row r="19" ht="18.75" customHeight="1">
      <c r="A19" s="51" t="s">
        <v>52</v>
      </c>
      <c r="B19" s="94">
        <f>AVERAGE('21'!B7:B18)</f>
        <v>223.5</v>
      </c>
      <c r="C19" s="94">
        <f>AVERAGE('21'!C7:C18)</f>
        <v>19.58333333</v>
      </c>
      <c r="D19" s="94">
        <f>AVERAGE('21'!D7:D18)</f>
        <v>15.58333333</v>
      </c>
      <c r="E19" s="94">
        <f>AVERAGE('21'!E7:E18)</f>
        <v>8</v>
      </c>
      <c r="F19" s="94">
        <f>AVERAGE('21'!F7:F18)</f>
        <v>86.83333333</v>
      </c>
      <c r="G19" s="94">
        <f>AVERAGE('21'!G7:G18)</f>
        <v>2.225</v>
      </c>
      <c r="H19" s="94">
        <f>AVERAGE('21'!H7:H18)</f>
        <v>1.541666667</v>
      </c>
      <c r="I19" s="94">
        <f>AVERAGE('21'!I7:I18)</f>
        <v>0.6083333333</v>
      </c>
      <c r="J19" s="94">
        <f>AVERAGE('21'!J7:J18)</f>
        <v>0.85</v>
      </c>
      <c r="K19" s="94">
        <f>AVERAGE('21'!K7:K18)</f>
        <v>6.966666667</v>
      </c>
      <c r="L19" s="94">
        <f>AVERAGE('21'!L7:L18)</f>
        <v>6.5</v>
      </c>
      <c r="M19" s="94">
        <f>AVERAGE('21'!M7:M18)</f>
        <v>6.5</v>
      </c>
      <c r="N19" s="94">
        <f>AVERAGE('21'!N7:N18)</f>
        <v>6.2</v>
      </c>
      <c r="O19" s="94">
        <f>AVERAGE('21'!O7:O18)</f>
        <v>3.216666667</v>
      </c>
      <c r="P19" s="94" t="str">
        <f>AVERAGE('21'!P7:P18)</f>
        <v>#DIV/0!</v>
      </c>
      <c r="Q19" s="94" t="str">
        <f>AVERAGE('21'!Q7:Q18)</f>
        <v>#DIV/0!</v>
      </c>
      <c r="R19" s="94">
        <f>AVERAGE('21'!R7:R18)</f>
        <v>1393.333333</v>
      </c>
      <c r="S19" s="94">
        <f>AVERAGE('21'!S7:S18)</f>
        <v>75.89310174</v>
      </c>
      <c r="T19" s="95"/>
      <c r="U19" s="96"/>
      <c r="V19" s="97"/>
      <c r="W19" s="97"/>
      <c r="X19" s="54">
        <v>0.583333333333333</v>
      </c>
      <c r="Y19" s="125">
        <v>3370.0</v>
      </c>
      <c r="Z19" s="308">
        <v>1390.0</v>
      </c>
      <c r="AA19" s="125">
        <v>1.0</v>
      </c>
      <c r="AB19" s="58">
        <f>IF('21'!AA19=1,(('21'!Z19*'21'!$AS$6*'21'!$AT$6)/('21'!Y19*0.0036)),IF('21'!AA19=2,(('21'!Z19*'21'!$AS$7*'21'!$AT$7)/('21'!Y19*0.0036))))</f>
        <v>76.19106495</v>
      </c>
      <c r="AC19" s="58"/>
      <c r="AD19" s="59">
        <f>(('21'!AC19*'21'!$Q$10*1000000))/('21'!Y19*3600)</f>
        <v>0</v>
      </c>
      <c r="AE19" s="60"/>
      <c r="AF19" s="61">
        <f>('21'!AE19/24)*0.454</f>
        <v>0</v>
      </c>
      <c r="AG19" s="60"/>
      <c r="AH19" s="61">
        <f>('21'!AG19/24)*0.454</f>
        <v>0</v>
      </c>
      <c r="AI19" s="60">
        <v>5000.0</v>
      </c>
      <c r="AJ19" s="61">
        <f>('21'!AI19/24)*0.454</f>
        <v>94.58333333</v>
      </c>
      <c r="AK19" s="62"/>
      <c r="AL19" s="63">
        <f>('21'!AK19/24)*0.454</f>
        <v>0</v>
      </c>
      <c r="AM19" s="62"/>
      <c r="AN19" s="63">
        <f>('21'!AM19/24)*0.454</f>
        <v>0</v>
      </c>
      <c r="AO19" s="62"/>
      <c r="AP19" s="63">
        <f>('21'!AO19/24)*0.454</f>
        <v>0</v>
      </c>
    </row>
    <row r="20" ht="18.75" customHeight="1">
      <c r="A20" s="51" t="s">
        <v>53</v>
      </c>
      <c r="B20" s="98">
        <f>MAX('21'!B7:B18)</f>
        <v>232</v>
      </c>
      <c r="C20" s="98">
        <f>MAX('21'!C7:C18)</f>
        <v>23</v>
      </c>
      <c r="D20" s="98">
        <f>MAX('21'!D7:D18)</f>
        <v>17</v>
      </c>
      <c r="E20" s="98">
        <f>MAX('21'!E7:E18)</f>
        <v>13</v>
      </c>
      <c r="F20" s="98">
        <f>MAX('21'!F7:F18)</f>
        <v>102</v>
      </c>
      <c r="G20" s="98">
        <f>MAX('21'!G7:G18)</f>
        <v>2.7</v>
      </c>
      <c r="H20" s="98">
        <f>MAX('21'!H7:H18)</f>
        <v>1.8</v>
      </c>
      <c r="I20" s="98">
        <f>MAX('21'!I7:I18)</f>
        <v>0.9</v>
      </c>
      <c r="J20" s="98">
        <f>MAX('21'!J7:J18)</f>
        <v>1.5</v>
      </c>
      <c r="K20" s="98">
        <f>MAX('21'!K7:K18)</f>
        <v>7</v>
      </c>
      <c r="L20" s="98">
        <f>MAX('21'!L7:L18)</f>
        <v>6.5</v>
      </c>
      <c r="M20" s="98">
        <f>MAX('21'!M7:M18)</f>
        <v>6.5</v>
      </c>
      <c r="N20" s="98">
        <f>MAX('21'!N7:N18)</f>
        <v>6.2</v>
      </c>
      <c r="O20" s="98">
        <f>MAX('21'!O7:O18)</f>
        <v>3.6</v>
      </c>
      <c r="P20" s="98">
        <f>MAX('21'!P7:P18)</f>
        <v>0</v>
      </c>
      <c r="Q20" s="98">
        <f>MAX('21'!Q7:Q18)</f>
        <v>0</v>
      </c>
      <c r="R20" s="98">
        <f>MAX('21'!R7:R18)</f>
        <v>1400</v>
      </c>
      <c r="S20" s="98">
        <f>MAX('21'!S7:S18)</f>
        <v>76.19106495</v>
      </c>
      <c r="T20" s="99"/>
      <c r="U20" s="21"/>
      <c r="X20" s="54">
        <v>0.625</v>
      </c>
      <c r="Y20" s="125">
        <v>3370.0</v>
      </c>
      <c r="Z20" s="308">
        <v>1390.0</v>
      </c>
      <c r="AA20" s="125">
        <v>1.0</v>
      </c>
      <c r="AB20" s="58">
        <f>IF('21'!AA20=1,(('21'!Z20*'21'!$AS$6*'21'!$AT$6)/('21'!Y20*0.0036)),IF('21'!AA20=2,(('21'!Z20*'21'!$AS$7*'21'!$AT$7)/('21'!Y20*0.0036))))</f>
        <v>76.19106495</v>
      </c>
      <c r="AC20" s="58"/>
      <c r="AD20" s="59">
        <f>(('21'!AC20*'21'!$Q$10*1000000))/('21'!Y20*3600)</f>
        <v>0</v>
      </c>
      <c r="AE20" s="60"/>
      <c r="AF20" s="61">
        <f>('21'!AE20/24)*0.454</f>
        <v>0</v>
      </c>
      <c r="AG20" s="60"/>
      <c r="AH20" s="61">
        <f>('21'!AG20/24)*0.454</f>
        <v>0</v>
      </c>
      <c r="AI20" s="60">
        <v>5000.0</v>
      </c>
      <c r="AJ20" s="61">
        <f>('21'!AI20/24)*0.454</f>
        <v>94.58333333</v>
      </c>
      <c r="AK20" s="62"/>
      <c r="AL20" s="63">
        <f>('21'!AK20/24)*0.454</f>
        <v>0</v>
      </c>
      <c r="AM20" s="62"/>
      <c r="AN20" s="63">
        <f>('21'!AM20/24)*0.454</f>
        <v>0</v>
      </c>
      <c r="AO20" s="62"/>
      <c r="AP20" s="63">
        <f>('21'!AO20/24)*0.454</f>
        <v>0</v>
      </c>
    </row>
    <row r="21" ht="19.5" customHeight="1">
      <c r="A21" s="51" t="s">
        <v>54</v>
      </c>
      <c r="B21" s="101">
        <f>MIN('21'!B7:B18)</f>
        <v>212</v>
      </c>
      <c r="C21" s="101">
        <f>MIN('21'!C7:C18)</f>
        <v>18</v>
      </c>
      <c r="D21" s="101">
        <f>MIN('21'!D7:D18)</f>
        <v>14</v>
      </c>
      <c r="E21" s="101">
        <f>MIN('21'!E7:E18)</f>
        <v>4</v>
      </c>
      <c r="F21" s="101">
        <f>MIN('21'!F7:F18)</f>
        <v>78</v>
      </c>
      <c r="G21" s="101">
        <f>MIN('21'!G7:G18)</f>
        <v>1.4</v>
      </c>
      <c r="H21" s="101">
        <f>MIN('21'!H7:H18)</f>
        <v>1.3</v>
      </c>
      <c r="I21" s="101">
        <f>MIN('21'!I7:I18)</f>
        <v>0.5</v>
      </c>
      <c r="J21" s="101">
        <f>MIN('21'!J7:J18)</f>
        <v>0.5</v>
      </c>
      <c r="K21" s="101">
        <f>MIN('21'!K7:K18)</f>
        <v>6.9</v>
      </c>
      <c r="L21" s="101">
        <f>MIN('21'!L7:L18)</f>
        <v>6.5</v>
      </c>
      <c r="M21" s="101">
        <f>MIN('21'!M7:M18)</f>
        <v>6.5</v>
      </c>
      <c r="N21" s="101">
        <f>MIN('21'!N7:N18)</f>
        <v>6.2</v>
      </c>
      <c r="O21" s="101">
        <f>MIN('21'!O7:O18)</f>
        <v>2.8</v>
      </c>
      <c r="P21" s="101">
        <f>MIN('21'!P7:P18)</f>
        <v>0</v>
      </c>
      <c r="Q21" s="101">
        <f>MIN('21'!Q7:Q18)</f>
        <v>0</v>
      </c>
      <c r="R21" s="101">
        <f>MIN('21'!R7:R18)</f>
        <v>1390</v>
      </c>
      <c r="S21" s="101">
        <f>MIN('21'!S7:S18)</f>
        <v>74.29218935</v>
      </c>
      <c r="T21" s="99"/>
      <c r="U21" s="21"/>
      <c r="X21" s="54">
        <v>0.666666666666667</v>
      </c>
      <c r="Y21" s="125">
        <v>3370.0</v>
      </c>
      <c r="Z21" s="308">
        <v>1390.0</v>
      </c>
      <c r="AA21" s="125">
        <v>1.0</v>
      </c>
      <c r="AB21" s="58">
        <f>IF('21'!AA21=1,(('21'!Z21*'21'!$AS$6*'21'!$AT$6)/('21'!Y21*0.0036)),IF('21'!AA21=2,(('21'!Z21*'21'!$AS$7*'21'!$AT$7)/('21'!Y21*0.0036))))</f>
        <v>76.19106495</v>
      </c>
      <c r="AC21" s="58"/>
      <c r="AD21" s="59">
        <f>(('21'!AC21*'21'!$Q$10*1000000))/('21'!Y21*3600)</f>
        <v>0</v>
      </c>
      <c r="AE21" s="60"/>
      <c r="AF21" s="61">
        <f>('21'!AE21/24)*0.454</f>
        <v>0</v>
      </c>
      <c r="AG21" s="60"/>
      <c r="AH21" s="61">
        <f>('21'!AG21/24)*0.454</f>
        <v>0</v>
      </c>
      <c r="AI21" s="60">
        <v>5000.0</v>
      </c>
      <c r="AJ21" s="61">
        <f>('21'!AI21/24)*0.454</f>
        <v>94.58333333</v>
      </c>
      <c r="AK21" s="62"/>
      <c r="AL21" s="63">
        <f>('21'!AK21/24)*0.454</f>
        <v>0</v>
      </c>
      <c r="AM21" s="62"/>
      <c r="AN21" s="63">
        <f>('21'!AM21/24)*0.454</f>
        <v>0</v>
      </c>
      <c r="AO21" s="62"/>
      <c r="AP21" s="63">
        <f>('21'!AO21/24)*0.454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3370.0</v>
      </c>
      <c r="Z22" s="308">
        <v>1390.0</v>
      </c>
      <c r="AA22" s="125">
        <v>1.0</v>
      </c>
      <c r="AB22" s="58">
        <f>IF('21'!AA22=1,(('21'!Z22*'21'!$AS$6*'21'!$AT$6)/('21'!Y22*0.0036)),IF('21'!AA22=2,(('21'!Z22*'21'!$AS$7*'21'!$AT$7)/('21'!Y22*0.0036))))</f>
        <v>76.19106495</v>
      </c>
      <c r="AC22" s="58"/>
      <c r="AD22" s="59">
        <f>(('21'!AC22*'21'!$Q$10*1000000))/('21'!Y22*3600)</f>
        <v>0</v>
      </c>
      <c r="AE22" s="60"/>
      <c r="AF22" s="61">
        <f>('21'!AE22/24)*0.454</f>
        <v>0</v>
      </c>
      <c r="AG22" s="60"/>
      <c r="AH22" s="61">
        <f>('21'!AG22/24)*0.454</f>
        <v>0</v>
      </c>
      <c r="AI22" s="60">
        <v>5000.0</v>
      </c>
      <c r="AJ22" s="61">
        <f>('21'!AI22/24)*0.454</f>
        <v>94.58333333</v>
      </c>
      <c r="AK22" s="62"/>
      <c r="AL22" s="63">
        <f>('21'!AK22/24)*0.454</f>
        <v>0</v>
      </c>
      <c r="AM22" s="62"/>
      <c r="AN22" s="63">
        <f>('21'!AM22/24)*0.454</f>
        <v>0</v>
      </c>
      <c r="AO22" s="62"/>
      <c r="AP22" s="63">
        <f>('21'!AO22/24)*0.454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3370.0</v>
      </c>
      <c r="Z23" s="308">
        <v>1390.0</v>
      </c>
      <c r="AA23" s="125">
        <v>1.0</v>
      </c>
      <c r="AB23" s="58">
        <f>IF('21'!AA23=1,(('21'!Z23*'21'!$AS$6*'21'!$AT$6)/('21'!Y23*0.0036)),IF('21'!AA23=2,(('21'!Z23*'21'!$AS$7*'21'!$AT$7)/('21'!Y23*0.0036))))</f>
        <v>76.19106495</v>
      </c>
      <c r="AC23" s="58"/>
      <c r="AD23" s="59">
        <f>(('21'!AC23*'21'!$Q$10*1000000))/('21'!Y23*3600)</f>
        <v>0</v>
      </c>
      <c r="AE23" s="60"/>
      <c r="AF23" s="61">
        <f>('21'!AE23/24)*0.454</f>
        <v>0</v>
      </c>
      <c r="AG23" s="60"/>
      <c r="AH23" s="61">
        <f>('21'!AG23/24)*0.454</f>
        <v>0</v>
      </c>
      <c r="AI23" s="60">
        <v>5000.0</v>
      </c>
      <c r="AJ23" s="61">
        <f>('21'!AI23/24)*0.454</f>
        <v>94.58333333</v>
      </c>
      <c r="AK23" s="62"/>
      <c r="AL23" s="63">
        <f>('21'!AK23/24)*0.454</f>
        <v>0</v>
      </c>
      <c r="AM23" s="62"/>
      <c r="AN23" s="63">
        <f>('21'!AM23/24)*0.454</f>
        <v>0</v>
      </c>
      <c r="AO23" s="62"/>
      <c r="AP23" s="63">
        <f>('21'!AO23/24)*0.454</f>
        <v>0</v>
      </c>
    </row>
    <row r="24" ht="19.5" customHeight="1">
      <c r="A24" s="51" t="s">
        <v>7</v>
      </c>
      <c r="B24" s="108">
        <v>5.0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3370.0</v>
      </c>
      <c r="Z24" s="308">
        <v>1390.0</v>
      </c>
      <c r="AA24" s="125">
        <v>1.0</v>
      </c>
      <c r="AB24" s="57">
        <f>IF('21'!AA24=1,(('21'!Z24*'21'!$AS$6*'21'!$AT$6)/('21'!Y24*0.0036)),IF('21'!AA24=2,(('21'!Z24*'21'!$AS$7*'21'!$AT$7)/('21'!Y24*0.0036))))</f>
        <v>76.19106495</v>
      </c>
      <c r="AC24" s="57"/>
      <c r="AD24" s="154">
        <f>(('21'!AC24*'21'!$Q$10*1000000))/('21'!Y24*3600)</f>
        <v>0</v>
      </c>
      <c r="AE24" s="60"/>
      <c r="AF24" s="311">
        <f>('21'!AE24/24)*0.454</f>
        <v>0</v>
      </c>
      <c r="AG24" s="125"/>
      <c r="AH24" s="311">
        <f>('21'!AG24/24)*0.454</f>
        <v>0</v>
      </c>
      <c r="AI24" s="60">
        <v>5000.0</v>
      </c>
      <c r="AJ24" s="311">
        <f>('21'!AI24/24)*0.454</f>
        <v>94.58333333</v>
      </c>
      <c r="AK24" s="62"/>
      <c r="AL24" s="110">
        <f>('21'!AK24/24)*0.454</f>
        <v>0</v>
      </c>
      <c r="AM24" s="312"/>
      <c r="AN24" s="110">
        <f>('21'!AM24/24)*0.454</f>
        <v>0</v>
      </c>
      <c r="AO24" s="62"/>
      <c r="AP24" s="110">
        <f>('21'!AO24/24)*0.454</f>
        <v>0</v>
      </c>
    </row>
    <row r="25" ht="19.5" customHeight="1">
      <c r="A25" s="111">
        <v>0.416666666666667</v>
      </c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112" t="str">
        <f t="shared" ref="R25:R26" si="1">#DIV/0!</f>
        <v>#DIV/0!</v>
      </c>
      <c r="S25" s="113"/>
      <c r="T25" s="397" t="s">
        <v>0</v>
      </c>
      <c r="U25" s="361">
        <f>ESCALA!$A$23</f>
        <v>43942</v>
      </c>
      <c r="X25" s="54">
        <v>0.833333333333333</v>
      </c>
      <c r="Y25" s="125">
        <v>3370.0</v>
      </c>
      <c r="Z25" s="308">
        <v>1390.0</v>
      </c>
      <c r="AA25" s="125">
        <v>1.0</v>
      </c>
      <c r="AB25" s="58">
        <f>IF('21'!AA25=1,(('21'!Z25*'21'!$AS$6*'21'!$AT$6)/('21'!Y25*0.0036)),IF('21'!AA25=2,(('21'!Z25*'21'!$AS$7*'21'!$AT$7)/('21'!Y25*0.0036))))</f>
        <v>76.19106495</v>
      </c>
      <c r="AC25" s="58"/>
      <c r="AD25" s="59">
        <f>(('21'!AC25*'21'!$Q$10*1000000))/('21'!Y25*3600)</f>
        <v>0</v>
      </c>
      <c r="AE25" s="60"/>
      <c r="AF25" s="61">
        <f>('21'!AE25/24)*0.454</f>
        <v>0</v>
      </c>
      <c r="AG25" s="60"/>
      <c r="AH25" s="61">
        <f>('21'!AG25/24)*0.454</f>
        <v>0</v>
      </c>
      <c r="AI25" s="60">
        <v>5000.0</v>
      </c>
      <c r="AJ25" s="61">
        <f>('21'!AI25/24)*0.454</f>
        <v>94.58333333</v>
      </c>
      <c r="AK25" s="62"/>
      <c r="AL25" s="63">
        <f>('21'!AK25/24)*0.454</f>
        <v>0</v>
      </c>
      <c r="AM25" s="62"/>
      <c r="AN25" s="63">
        <f>('21'!AM25/24)*0.454</f>
        <v>0</v>
      </c>
      <c r="AO25" s="62"/>
      <c r="AP25" s="63">
        <f>('21'!AO25/24)*0.454</f>
        <v>0</v>
      </c>
    </row>
    <row r="26" ht="19.5" customHeight="1">
      <c r="A26" s="111">
        <v>0.666666666666667</v>
      </c>
      <c r="B26" s="313"/>
      <c r="C26" s="313"/>
      <c r="D26" s="313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3370.0</v>
      </c>
      <c r="Z26" s="308">
        <v>1390.0</v>
      </c>
      <c r="AA26" s="125">
        <v>1.0</v>
      </c>
      <c r="AB26" s="58">
        <f>IF('21'!AA26=1,(('21'!Z26*'21'!$AS$6*'21'!$AT$6)/('21'!Y26*0.0036)),IF('21'!AA26=2,(('21'!Z26*'21'!$AS$7*'21'!$AT$7)/('21'!Y26*0.0036))))</f>
        <v>76.19106495</v>
      </c>
      <c r="AC26" s="58"/>
      <c r="AD26" s="59">
        <f>(('21'!AC26*'21'!$Q$10*1000000))/('21'!Y26*3600)</f>
        <v>0</v>
      </c>
      <c r="AE26" s="60"/>
      <c r="AF26" s="61">
        <f>('21'!AE26/24)*0.454</f>
        <v>0</v>
      </c>
      <c r="AG26" s="60"/>
      <c r="AH26" s="61">
        <f>('21'!AG26/24)*0.454</f>
        <v>0</v>
      </c>
      <c r="AI26" s="60">
        <v>5000.0</v>
      </c>
      <c r="AJ26" s="61">
        <f>('21'!AI26/24)*0.454</f>
        <v>94.58333333</v>
      </c>
      <c r="AK26" s="62"/>
      <c r="AL26" s="63">
        <f>('21'!AK26/24)*0.454</f>
        <v>0</v>
      </c>
      <c r="AM26" s="62"/>
      <c r="AN26" s="63">
        <f>('21'!AM26/24)*0.454</f>
        <v>0</v>
      </c>
      <c r="AO26" s="62"/>
      <c r="AP26" s="63">
        <f>('21'!AO26/24)*0.454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3370.0</v>
      </c>
      <c r="Z27" s="308">
        <v>1390.0</v>
      </c>
      <c r="AA27" s="125">
        <v>1.0</v>
      </c>
      <c r="AB27" s="58">
        <f>IF('21'!AA27=1,(('21'!Z24*'21'!$AS$6*'21'!$AT$6)/('21'!Y27*0.0036)),IF('21'!AA27=2,(('21'!Z24*'21'!$AS$7*'21'!$AT$7)/('21'!Y27*0.0036))))</f>
        <v>76.19106495</v>
      </c>
      <c r="AC27" s="58"/>
      <c r="AD27" s="59">
        <f>(('21'!AC27*'21'!$Q$10*1000000))/('21'!Y27*3600)</f>
        <v>0</v>
      </c>
      <c r="AE27" s="60"/>
      <c r="AF27" s="61">
        <f>('21'!AE27/24)*0.454</f>
        <v>0</v>
      </c>
      <c r="AG27" s="60"/>
      <c r="AH27" s="61">
        <f>('21'!AG27/24)*0.454</f>
        <v>0</v>
      </c>
      <c r="AI27" s="60">
        <v>5000.0</v>
      </c>
      <c r="AJ27" s="61">
        <f>('21'!AI27/24)*0.454</f>
        <v>94.58333333</v>
      </c>
      <c r="AK27" s="62"/>
      <c r="AL27" s="63">
        <f>('21'!AK27/24)*0.454</f>
        <v>0</v>
      </c>
      <c r="AM27" s="62"/>
      <c r="AN27" s="63">
        <f>('21'!AM27/24)*0.454</f>
        <v>0</v>
      </c>
      <c r="AO27" s="62"/>
      <c r="AP27" s="63">
        <f>('21'!AO27/24)*0.454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3370.0</v>
      </c>
      <c r="Z28" s="308">
        <v>1390.0</v>
      </c>
      <c r="AA28" s="125">
        <v>1.0</v>
      </c>
      <c r="AB28" s="58">
        <f>IF('21'!AA28=1,(('21'!Z25*'21'!$AS$6*'21'!$AT$6)/('21'!Y28*0.0036)),IF('21'!AA28=2,(('21'!Z25*'21'!$AS$7*'21'!$AT$7)/('21'!Y28*0.0036))))</f>
        <v>76.19106495</v>
      </c>
      <c r="AC28" s="58"/>
      <c r="AD28" s="59">
        <f>(('21'!AC28*'21'!$Q$10*1000000))/('21'!Y28*3600)</f>
        <v>0</v>
      </c>
      <c r="AE28" s="60"/>
      <c r="AF28" s="61">
        <f>('21'!AE28/24)*0.454</f>
        <v>0</v>
      </c>
      <c r="AG28" s="60"/>
      <c r="AH28" s="61">
        <f>('21'!AG28/24)*0.454</f>
        <v>0</v>
      </c>
      <c r="AI28" s="60">
        <v>5000.0</v>
      </c>
      <c r="AJ28" s="61">
        <f>('21'!AI28/24)*0.454</f>
        <v>94.58333333</v>
      </c>
      <c r="AK28" s="62"/>
      <c r="AL28" s="63">
        <f>('21'!AK28/24)*0.454</f>
        <v>0</v>
      </c>
      <c r="AM28" s="62"/>
      <c r="AN28" s="63">
        <f>('21'!AM28/24)*0.454</f>
        <v>0</v>
      </c>
      <c r="AO28" s="62"/>
      <c r="AP28" s="63">
        <f>('21'!AO28/24)*0.454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3370.0</v>
      </c>
      <c r="Z29" s="308">
        <v>1390.0</v>
      </c>
      <c r="AA29" s="125">
        <v>1.0</v>
      </c>
      <c r="AB29" s="58">
        <f>IF('21'!AA29=1,(('21'!Z26*'21'!$AS$6*'21'!$AT$6)/('21'!Y29*0.0036)),IF('21'!AA29=2,(('21'!Z26*'21'!$AS$7*'21'!$AT$7)/('21'!Y29*0.0036))))</f>
        <v>76.19106495</v>
      </c>
      <c r="AC29" s="58"/>
      <c r="AD29" s="59">
        <f>(('21'!AC29*'21'!$Q$10*1000000))/('21'!Y29*3600)</f>
        <v>0</v>
      </c>
      <c r="AE29" s="60"/>
      <c r="AF29" s="61">
        <f>('21'!AE29/24)*0.454</f>
        <v>0</v>
      </c>
      <c r="AG29" s="60"/>
      <c r="AH29" s="61">
        <f>('21'!AG29/24)*0.454</f>
        <v>0</v>
      </c>
      <c r="AI29" s="60">
        <v>5000.0</v>
      </c>
      <c r="AJ29" s="61">
        <f>('21'!AI29/24)*0.454</f>
        <v>94.58333333</v>
      </c>
      <c r="AK29" s="62"/>
      <c r="AL29" s="63">
        <f>('21'!AK29/24)*0.454</f>
        <v>0</v>
      </c>
      <c r="AM29" s="62"/>
      <c r="AN29" s="63">
        <f>('21'!AM29/24)*0.454</f>
        <v>0</v>
      </c>
      <c r="AO29" s="62"/>
      <c r="AP29" s="63">
        <f>('21'!AO29/24)*0.454</f>
        <v>0</v>
      </c>
    </row>
    <row r="30" ht="18.75" customHeight="1">
      <c r="A30" s="43"/>
      <c r="U30" s="27"/>
      <c r="X30" s="130" t="s">
        <v>55</v>
      </c>
      <c r="Y30" s="131">
        <f>SUM('21'!Y6:Y29)*3.6</f>
        <v>292460.4</v>
      </c>
      <c r="Z30" s="132">
        <f>SUM('21'!Z6:Z29)</f>
        <v>33430</v>
      </c>
      <c r="AA30" s="133"/>
      <c r="AB30" s="132"/>
      <c r="AC30" s="133"/>
      <c r="AD30" s="132"/>
      <c r="AE30" s="60"/>
      <c r="AF30" s="61">
        <f>SUM('21'!AF6:AF29)</f>
        <v>0</v>
      </c>
      <c r="AG30" s="60"/>
      <c r="AH30" s="61">
        <f>SUM('21'!AH6:AH29)</f>
        <v>0</v>
      </c>
      <c r="AI30" s="60"/>
      <c r="AJ30" s="61">
        <f>SUM('21'!AJ6:AJ29)</f>
        <v>2270</v>
      </c>
      <c r="AK30" s="62"/>
      <c r="AL30" s="63">
        <f>SUM('21'!AL6:AL29)</f>
        <v>0</v>
      </c>
      <c r="AM30" s="62"/>
      <c r="AN30" s="63">
        <f>SUM('21'!AN6:AN29)</f>
        <v>0</v>
      </c>
      <c r="AO30" s="62"/>
      <c r="AP30" s="63">
        <f>SUM('21'!AP6:AP29)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</row>
    <row r="32" ht="15.0" customHeight="1">
      <c r="A32" s="43"/>
      <c r="U32" s="27"/>
      <c r="X32" s="138" t="s">
        <v>60</v>
      </c>
      <c r="Y32" s="80"/>
      <c r="Z32" s="132">
        <f>SUMIF('21'!AA6:AA29,"=1",'21'!Z6:Z29)</f>
        <v>33430</v>
      </c>
      <c r="AA32" s="132">
        <f>'21'!Z32*'21'!AS6</f>
        <v>44461.9</v>
      </c>
      <c r="AB32" s="139">
        <f>SUMIF('21'!$AA$6:$AA$29,"=1",'21'!$AB$6:$AB$29)/COUNTIF('21'!$AA$6:$AA$29,"=1")</f>
        <v>76.0171477</v>
      </c>
      <c r="AC32" s="140">
        <f>SUMIF('21'!AA6:AA29,"=1",'21'!AC6:AC29)</f>
        <v>0</v>
      </c>
      <c r="AD32" s="140"/>
      <c r="AE32" s="141"/>
      <c r="AF32" s="142"/>
      <c r="AG32" s="141"/>
      <c r="AH32" s="142"/>
      <c r="AI32" s="141"/>
      <c r="AJ32" s="143"/>
    </row>
    <row r="33" ht="15.0" customHeight="1">
      <c r="A33" s="43"/>
      <c r="U33" s="27"/>
      <c r="X33" s="138" t="s">
        <v>61</v>
      </c>
      <c r="Y33" s="80"/>
      <c r="Z33" s="132">
        <f>SUMIF('21'!AA6:AA29,"=2",'21'!Z6:Z29)</f>
        <v>0</v>
      </c>
      <c r="AA33" s="132">
        <f>'21'!Z33*'21'!AS7</f>
        <v>0</v>
      </c>
      <c r="AB33" s="139" t="str">
        <f>SUMIF('21'!$AA$6:$AA$29,"=2",'21'!$AB$6:$AB$29)/COUNTIF('21'!$AA$6:$AA$29,"=2")</f>
        <v>#DIV/0!</v>
      </c>
      <c r="AC33" s="145">
        <f>SUMIF('21'!AA6:AA29,"=2",'21'!AC6:AC29)</f>
        <v>0</v>
      </c>
      <c r="AD33" s="145"/>
      <c r="AE33" s="146"/>
      <c r="AF33" s="147"/>
      <c r="AG33" s="146"/>
      <c r="AH33" s="147"/>
      <c r="AI33" s="146"/>
      <c r="AJ33" s="148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AVERAGE('21'!Y6:Y29)</f>
        <v>3384.958333</v>
      </c>
      <c r="Z34" s="56">
        <f>AVERAGE('21'!Z6:Z29)</f>
        <v>1392.916667</v>
      </c>
      <c r="AA34" s="152"/>
      <c r="AB34" s="152"/>
      <c r="AC34" s="153" t="str">
        <f>SUM('21'!AC6:AC29)/COUNTIF('21'!AC6:AC29,"&lt;&gt;0")</f>
        <v>#DIV/0!</v>
      </c>
      <c r="AD34" s="154" t="str">
        <f>SUM('21'!AD6:AD29)/COUNTIF('21'!AD6:AD29,"&lt;&gt;0")</f>
        <v>#DIV/0!</v>
      </c>
      <c r="AE34" s="133"/>
      <c r="AF34" s="153">
        <f>AVERAGE('21'!AF6:AF29)</f>
        <v>0</v>
      </c>
      <c r="AG34" s="153"/>
      <c r="AH34" s="153">
        <f>AVERAGE('21'!AH6:AH29)</f>
        <v>0</v>
      </c>
      <c r="AI34" s="153"/>
      <c r="AJ34" s="153">
        <f>'21'!AJ30/24</f>
        <v>94.58333333</v>
      </c>
      <c r="AK34" s="153"/>
      <c r="AL34" s="153">
        <f>AVERAGE('21'!AL6:AL29)</f>
        <v>0</v>
      </c>
      <c r="AM34" s="153"/>
      <c r="AN34" s="153">
        <f>AVERAGE('21'!AN6:AN29)</f>
        <v>0</v>
      </c>
      <c r="AO34" s="153"/>
      <c r="AP34" s="153">
        <f>AVERAGE('21'!AP6:AP29)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58.2</v>
      </c>
      <c r="D37" s="76">
        <v>33.1</v>
      </c>
      <c r="E37" s="76">
        <v>27.1</v>
      </c>
      <c r="F37" s="76">
        <v>1.2</v>
      </c>
      <c r="G37" s="60">
        <v>1.2</v>
      </c>
      <c r="H37" s="60">
        <v>0.2</v>
      </c>
      <c r="I37" s="60">
        <v>0.1</v>
      </c>
      <c r="J37" s="60">
        <v>0.1</v>
      </c>
      <c r="K37" s="60">
        <v>0.03</v>
      </c>
      <c r="L37" s="52">
        <v>0.15</v>
      </c>
      <c r="M37" s="106"/>
      <c r="N37" s="157"/>
      <c r="O37" s="51"/>
      <c r="P37" s="51"/>
      <c r="Q37" s="51"/>
      <c r="R37" s="51"/>
      <c r="S37" s="51"/>
      <c r="T37" s="51"/>
      <c r="U37" s="365" t="str">
        <f>'21'!V12</f>
        <v/>
      </c>
      <c r="X37" s="169" t="s">
        <v>75</v>
      </c>
      <c r="Y37" s="128"/>
      <c r="Z37" s="170">
        <f>COUNTA('21'!Z6:Z29)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SUM('21'!AF30+'21'!AH30)</f>
        <v>0</v>
      </c>
      <c r="AL38" s="178" t="s">
        <v>78</v>
      </c>
      <c r="AM38" s="179">
        <f>SUM('21'!AL30+'21'!AN30)</f>
        <v>0</v>
      </c>
      <c r="AO38" s="178" t="s">
        <v>78</v>
      </c>
      <c r="AP38" s="180">
        <f>'21'!AJ30</f>
        <v>2270</v>
      </c>
      <c r="AQ38" s="178" t="s">
        <v>78</v>
      </c>
      <c r="AR38" s="179">
        <f>'21'!AP30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('21'!AK38/'21'!Y30)*1000</f>
        <v>0</v>
      </c>
      <c r="AL39" s="327" t="s">
        <v>86</v>
      </c>
      <c r="AM39" s="328">
        <f>('21'!AM38/'21'!Y30)*1000</f>
        <v>0</v>
      </c>
      <c r="AO39" s="325" t="s">
        <v>86</v>
      </c>
      <c r="AP39" s="326">
        <f>('21'!AP38/'21'!Y30)*1000</f>
        <v>7.76173458</v>
      </c>
      <c r="AQ39" s="327" t="s">
        <v>86</v>
      </c>
      <c r="AR39" s="328">
        <f>('21'!AR38/'21'!Y30)*1000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SUM('21'!AK38,'21'!AM38)</f>
        <v>0</v>
      </c>
      <c r="AM40" s="128"/>
      <c r="AO40" s="210" t="s">
        <v>90</v>
      </c>
      <c r="AP40" s="128"/>
      <c r="AQ40" s="211">
        <f>SUM('21'!AP38,'21'!AR38)</f>
        <v>2270</v>
      </c>
      <c r="AR40" s="128"/>
    </row>
    <row r="41" ht="16.5" customHeight="1">
      <c r="A41" s="212">
        <f>COUNTA('21'!E7:E18)</f>
        <v>12</v>
      </c>
      <c r="B41" s="213">
        <f>COUNTA('21'!I7:I18)</f>
        <v>12</v>
      </c>
      <c r="C41" s="214">
        <f>COUNTA('21'!J7:J18)</f>
        <v>12</v>
      </c>
      <c r="D41" s="80"/>
      <c r="E41" s="214">
        <f>COUNTIF('21'!E7:E18,"&gt;15")</f>
        <v>0</v>
      </c>
      <c r="F41" s="80"/>
      <c r="G41" s="214">
        <f>COUNTIF('21'!J7:J18,"&gt;1")</f>
        <v>4</v>
      </c>
      <c r="H41" s="80"/>
      <c r="I41" s="215"/>
      <c r="J41" s="214">
        <f>'21'!A41-'21'!E41</f>
        <v>12</v>
      </c>
      <c r="K41" s="80"/>
      <c r="L41" s="214">
        <f>'21'!C41-'21'!G41</f>
        <v>8</v>
      </c>
      <c r="M41" s="80"/>
      <c r="N41" s="215"/>
      <c r="O41" s="216">
        <f>COUNTIF('21'!J7:J18,"&lt;=0,5")</f>
        <v>2</v>
      </c>
      <c r="P41" s="217"/>
      <c r="Q41" s="218"/>
      <c r="R41" s="219"/>
      <c r="S41" s="220">
        <f>COUNTIF('21'!J7:J18,"&lt;=1,0")</f>
        <v>8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SUM(('21'!AK38+'21'!AM38)/'21'!Y30)*1000</f>
        <v>0</v>
      </c>
      <c r="AM41" s="128"/>
      <c r="AO41" s="210" t="s">
        <v>91</v>
      </c>
      <c r="AP41" s="128"/>
      <c r="AQ41" s="223">
        <f>SUM(('21'!AP38+'21'!AR38)/'21'!Y30)*1000</f>
        <v>7.76173458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SUM('21'!Y45,'21'!AA45,'21'!AC45,'21'!AE45)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COUNTIF('21'!I7:I18,"&lt;=5,0")</f>
        <v>12</v>
      </c>
      <c r="I45" s="127"/>
      <c r="J45" s="128"/>
      <c r="K45" s="215"/>
      <c r="L45" s="208">
        <f>COUNTA('21'!L37)</f>
        <v>1</v>
      </c>
      <c r="M45" s="128"/>
      <c r="O45" s="248"/>
      <c r="P45" s="249"/>
      <c r="Q45" s="250">
        <f>'21'!S41-'21'!O41</f>
        <v>6</v>
      </c>
      <c r="R45" s="251"/>
      <c r="S45" s="252"/>
      <c r="T45" s="253"/>
      <c r="X45" s="133" t="s">
        <v>104</v>
      </c>
      <c r="Y45" s="254">
        <f>'21'!Y44*275.3</f>
        <v>0</v>
      </c>
      <c r="Z45" s="133" t="s">
        <v>104</v>
      </c>
      <c r="AA45" s="254">
        <f>262.4*'21'!AA44</f>
        <v>0</v>
      </c>
      <c r="AB45" s="133" t="s">
        <v>104</v>
      </c>
      <c r="AC45" s="254">
        <f>'21'!AC44*277.7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0" customHeight="1">
      <c r="F46" s="257"/>
      <c r="X46" s="196" t="s">
        <v>105</v>
      </c>
      <c r="Y46" s="258">
        <f>'21'!AS6</f>
        <v>1.33</v>
      </c>
      <c r="Z46" s="196" t="s">
        <v>105</v>
      </c>
      <c r="AA46" s="258">
        <f>'21'!Y46</f>
        <v>1.33</v>
      </c>
      <c r="AB46" s="196" t="s">
        <v>105</v>
      </c>
      <c r="AC46" s="258">
        <f>'21'!Y46</f>
        <v>1.33</v>
      </c>
      <c r="AD46" s="196" t="s">
        <v>105</v>
      </c>
      <c r="AE46" s="259">
        <f>'21'!Y46</f>
        <v>1.33</v>
      </c>
      <c r="AF46" s="260" t="s">
        <v>106</v>
      </c>
      <c r="AG46" s="261">
        <f>SUM('21'!Y47,'21'!AA47,'21'!AC47,'21'!AE47)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'21'!Y45*'21'!Y46</f>
        <v>0</v>
      </c>
      <c r="Z47" s="133" t="s">
        <v>108</v>
      </c>
      <c r="AA47" s="254">
        <f>'21'!AA45*'21'!AA46</f>
        <v>0</v>
      </c>
      <c r="AB47" s="133" t="s">
        <v>108</v>
      </c>
      <c r="AC47" s="254">
        <f>'21'!AC45*'21'!AC46</f>
        <v>0</v>
      </c>
      <c r="AD47" s="133" t="s">
        <v>108</v>
      </c>
      <c r="AE47" s="254">
        <f>'21'!AE45*'21'!AE46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COUNTA('21'!O7:O18)</f>
        <v>12</v>
      </c>
      <c r="P51" s="128"/>
      <c r="R51" s="247">
        <f>COUNTIF('21'!O7:O18,"&gt;=0,5")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SUM('21'!Y53,'21'!AA53,'21'!AC53,'21'!AE53)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'21'!Y52*275.3</f>
        <v>0</v>
      </c>
      <c r="Z53" s="133" t="s">
        <v>104</v>
      </c>
      <c r="AA53" s="254">
        <f>262.4*'21'!AA52</f>
        <v>0</v>
      </c>
      <c r="AB53" s="133" t="s">
        <v>104</v>
      </c>
      <c r="AC53" s="276">
        <f>'21'!AC52*277.7</f>
        <v>0</v>
      </c>
      <c r="AD53" s="133" t="s">
        <v>104</v>
      </c>
      <c r="AE53" s="352"/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'21'!AS7</f>
        <v>1.34</v>
      </c>
      <c r="Z54" s="196" t="s">
        <v>105</v>
      </c>
      <c r="AA54" s="258">
        <f>'21'!Y54</f>
        <v>1.34</v>
      </c>
      <c r="AB54" s="196" t="s">
        <v>105</v>
      </c>
      <c r="AC54" s="258">
        <f>'21'!Y54</f>
        <v>1.34</v>
      </c>
      <c r="AD54" s="196" t="s">
        <v>105</v>
      </c>
      <c r="AE54" s="259">
        <f>'21'!Y54</f>
        <v>1.34</v>
      </c>
      <c r="AF54" s="260" t="s">
        <v>106</v>
      </c>
      <c r="AG54" s="261">
        <f>SUM('21'!Y55,'21'!AA55,'21'!AC55,'21'!AE55)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262.4*'10'!AL53</f>
        <v>0</v>
      </c>
      <c r="AM54" s="133" t="s">
        <v>104</v>
      </c>
      <c r="AN54" s="276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'21'!Y53*'21'!Y54</f>
        <v>0</v>
      </c>
      <c r="Z55" s="133" t="s">
        <v>108</v>
      </c>
      <c r="AA55" s="254">
        <f>'21'!AA53*'21'!AA54</f>
        <v>0</v>
      </c>
      <c r="AB55" s="133" t="s">
        <v>108</v>
      </c>
      <c r="AC55" s="254">
        <f>'21'!AC53*'21'!AC54</f>
        <v>0</v>
      </c>
      <c r="AD55" s="133" t="s">
        <v>108</v>
      </c>
      <c r="AE55" s="254">
        <f>'21'!AE53*'21'!AE54</f>
        <v>0</v>
      </c>
      <c r="AF55" s="46"/>
      <c r="AG55" s="46"/>
      <c r="AI55" s="196" t="s">
        <v>105</v>
      </c>
      <c r="AJ55" s="258">
        <f>Y54</f>
        <v>1.34</v>
      </c>
      <c r="AK55" s="196" t="s">
        <v>105</v>
      </c>
      <c r="AL55" s="258" t="str">
        <f>'10'!AJ55</f>
        <v/>
      </c>
      <c r="AM55" s="196" t="s">
        <v>105</v>
      </c>
      <c r="AN55" s="258">
        <f>AJ55</f>
        <v>1.34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'10'!AL54*'10'!AL55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COUNTA('21'!N7:N18)</f>
        <v>12</v>
      </c>
      <c r="P57" s="128"/>
      <c r="R57" s="277">
        <f>COUNTIF('21'!N7:N18,"&gt;=6")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  <c r="AF58" s="303" t="s">
        <v>150</v>
      </c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54">
        <f>AJ49+AL49+AN49</f>
        <v>0</v>
      </c>
      <c r="AR61" s="254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473">
        <f>AA32</f>
        <v>44461.9</v>
      </c>
      <c r="AR62" s="473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54">
        <f>AQ61-AQ62</f>
        <v>-44461.9</v>
      </c>
      <c r="AR63" s="254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'20'!$Y$68</f>
        <v>-2411.875</v>
      </c>
      <c r="Z65" s="43"/>
      <c r="AA65" s="27"/>
      <c r="AB65" s="299" t="s">
        <v>126</v>
      </c>
      <c r="AC65" s="330">
        <f>'20'!$AC$68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SUM('21'!AK38,'21'!AP38)</f>
        <v>2270</v>
      </c>
      <c r="Z67" s="43"/>
      <c r="AA67" s="27"/>
      <c r="AB67" s="296" t="s">
        <v>124</v>
      </c>
      <c r="AC67" s="254">
        <f>SUM('21'!AM38,'21'!AR38)</f>
        <v>0</v>
      </c>
    </row>
    <row r="68" ht="15.75" customHeight="1">
      <c r="X68" s="294" t="s">
        <v>128</v>
      </c>
      <c r="Y68" s="301">
        <f>SUM('21'!Y63,'21'!Y65)-'21'!Y67</f>
        <v>-4681.875</v>
      </c>
      <c r="Z68" s="16"/>
      <c r="AA68" s="18"/>
      <c r="AB68" s="296" t="s">
        <v>128</v>
      </c>
      <c r="AC68" s="302">
        <f>SUM('21'!AC63,'21'!AC65)-'21'!AC67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Q$61:$AQ$63"/>
  <mergeCells count="168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O3"/>
    <mergeCell ref="A4:A6"/>
    <mergeCell ref="B4:E5"/>
    <mergeCell ref="AO4:AO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AI61:AK61"/>
    <mergeCell ref="AI62:AK62"/>
    <mergeCell ref="AL62:AM62"/>
    <mergeCell ref="AN62:AP62"/>
    <mergeCell ref="AI63:AK63"/>
    <mergeCell ref="AL63:AM63"/>
    <mergeCell ref="X62:Y62"/>
    <mergeCell ref="X66:Y66"/>
    <mergeCell ref="AB60:AC60"/>
    <mergeCell ref="X61:AC61"/>
    <mergeCell ref="AL61:AM61"/>
    <mergeCell ref="AN61:AP61"/>
    <mergeCell ref="Z62:AA68"/>
    <mergeCell ref="AB62:AC62"/>
    <mergeCell ref="AN63:AP63"/>
    <mergeCell ref="AB66:AC66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printOptions/>
  <pageMargins bottom="0.7875" footer="0.0" header="0.0" left="0.511805555555556" right="0.511805555555556" top="0.78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0" width="8.14"/>
    <col customWidth="1" min="21" max="22" width="8.57"/>
    <col customWidth="1" min="23" max="24" width="8.71"/>
    <col customWidth="1" min="25" max="25" width="6.14"/>
    <col customWidth="1" min="26" max="27" width="8.14"/>
    <col customWidth="1" min="28" max="28" width="6.14"/>
    <col customWidth="1" min="29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47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427">
        <v>3401.0</v>
      </c>
      <c r="Z6" s="308">
        <v>1390.0</v>
      </c>
      <c r="AA6" s="56">
        <v>1.0</v>
      </c>
      <c r="AB6" s="58">
        <f>IF('22'!AA6=1,(('22'!Z6*'22'!$AS$6*'22'!$AT$6)/('22'!Y6*0.0036)),IF('22'!AA6=2,(('22'!Z6*'22'!$AS$7*'22'!$AT$7)/('22'!Y6*0.0036))))</f>
        <v>75.49658597</v>
      </c>
      <c r="AC6" s="58"/>
      <c r="AD6" s="59">
        <f>(('22'!AC6*'22'!$Q$10*1000000))/('22'!Y6*3600)</f>
        <v>0</v>
      </c>
      <c r="AE6" s="60"/>
      <c r="AF6" s="61">
        <f>('22'!AE6/24)*0.454</f>
        <v>0</v>
      </c>
      <c r="AG6" s="60"/>
      <c r="AH6" s="61">
        <f>('22'!AG6/24)*0.454</f>
        <v>0</v>
      </c>
      <c r="AI6" s="60">
        <v>5000.0</v>
      </c>
      <c r="AJ6" s="61">
        <f>('22'!AI6/24)*0.454</f>
        <v>94.58333333</v>
      </c>
      <c r="AK6" s="62"/>
      <c r="AL6" s="63">
        <f>('22'!AK6/24)*0.454</f>
        <v>0</v>
      </c>
      <c r="AM6" s="62"/>
      <c r="AN6" s="63">
        <f>('22'!AM6/24)*0.454</f>
        <v>0</v>
      </c>
      <c r="AO6" s="62"/>
      <c r="AP6" s="63">
        <f>('22'!AO6/24)*0.454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51">
        <v>238.0</v>
      </c>
      <c r="C7" s="76">
        <v>17.0</v>
      </c>
      <c r="D7" s="76">
        <v>16.0</v>
      </c>
      <c r="E7" s="76">
        <v>5.0</v>
      </c>
      <c r="F7" s="76">
        <v>88.0</v>
      </c>
      <c r="G7" s="76">
        <v>1.5</v>
      </c>
      <c r="H7" s="76">
        <v>1.4</v>
      </c>
      <c r="I7" s="76">
        <v>0.5</v>
      </c>
      <c r="J7" s="76">
        <v>0.5</v>
      </c>
      <c r="K7" s="76">
        <v>7.0</v>
      </c>
      <c r="L7" s="76">
        <v>6.5</v>
      </c>
      <c r="M7" s="76">
        <v>6.5</v>
      </c>
      <c r="N7" s="76">
        <v>6.2</v>
      </c>
      <c r="O7" s="76">
        <v>3.6</v>
      </c>
      <c r="P7" s="76"/>
      <c r="Q7" s="310"/>
      <c r="R7" s="77">
        <f>'21'!$Z$26</f>
        <v>1390</v>
      </c>
      <c r="S7" s="309">
        <f>'21'!$AB$29</f>
        <v>76.19106495</v>
      </c>
      <c r="T7" s="77">
        <f>'21'!$Y$29</f>
        <v>3370</v>
      </c>
      <c r="U7" s="73" t="str">
        <f>IF('22'!AA6=1,'22'!AR6,'22'!AR7)</f>
        <v>S.A.L</v>
      </c>
      <c r="V7" s="74" t="str">
        <f>ESCALA!$C$23</f>
        <v/>
      </c>
      <c r="W7" s="12"/>
      <c r="X7" s="54">
        <v>0.0833333333333333</v>
      </c>
      <c r="Y7" s="427">
        <v>3408.0</v>
      </c>
      <c r="Z7" s="308">
        <v>1390.0</v>
      </c>
      <c r="AA7" s="56">
        <v>1.0</v>
      </c>
      <c r="AB7" s="58">
        <f>IF('22'!AA7=1,(('22'!Z7*'22'!$AS$6*'22'!$AT$6)/('22'!Y7*0.0036)),IF('22'!AA7=2,(('22'!Z7*'22'!$AS$7*'22'!$AT$7)/('22'!Y7*0.0036))))</f>
        <v>75.34151669</v>
      </c>
      <c r="AC7" s="58"/>
      <c r="AD7" s="59">
        <f>(('22'!AC7*'22'!$Q$10*1000000))/('22'!Y7*3600)</f>
        <v>0</v>
      </c>
      <c r="AE7" s="60"/>
      <c r="AF7" s="61">
        <f>('22'!AE7/24)*0.454</f>
        <v>0</v>
      </c>
      <c r="AG7" s="60"/>
      <c r="AH7" s="61">
        <f>('22'!AG7/24)*0.454</f>
        <v>0</v>
      </c>
      <c r="AI7" s="60">
        <v>5000.0</v>
      </c>
      <c r="AJ7" s="61">
        <f>('22'!AI9/24)*0.454</f>
        <v>94.58333333</v>
      </c>
      <c r="AK7" s="62"/>
      <c r="AL7" s="63">
        <f>('22'!AK7/24)*0.454</f>
        <v>0</v>
      </c>
      <c r="AM7" s="62"/>
      <c r="AN7" s="63">
        <f>('22'!AM7/24)*0.454</f>
        <v>0</v>
      </c>
      <c r="AO7" s="62"/>
      <c r="AP7" s="63">
        <f>('22'!AO7/24)*0.454</f>
        <v>0</v>
      </c>
      <c r="AQ7" s="65">
        <v>2.0</v>
      </c>
      <c r="AR7" s="66" t="s">
        <v>149</v>
      </c>
      <c r="AS7" s="67">
        <v>1.374</v>
      </c>
      <c r="AT7" s="66">
        <v>1.0</v>
      </c>
      <c r="AU7" s="60">
        <v>24.0</v>
      </c>
    </row>
    <row r="8" ht="18.75" customHeight="1">
      <c r="A8" s="69">
        <v>0.0833333333333333</v>
      </c>
      <c r="B8" s="51">
        <v>246.0</v>
      </c>
      <c r="C8" s="76">
        <v>16.0</v>
      </c>
      <c r="D8" s="76">
        <v>16.0</v>
      </c>
      <c r="E8" s="76">
        <v>5.0</v>
      </c>
      <c r="F8" s="76">
        <v>91.0</v>
      </c>
      <c r="G8" s="76">
        <v>1.7</v>
      </c>
      <c r="H8" s="76">
        <v>1.4</v>
      </c>
      <c r="I8" s="76">
        <v>0.5</v>
      </c>
      <c r="J8" s="76">
        <v>0.5</v>
      </c>
      <c r="K8" s="76">
        <v>7.0</v>
      </c>
      <c r="L8" s="76">
        <v>6.5</v>
      </c>
      <c r="M8" s="76">
        <v>6.5</v>
      </c>
      <c r="N8" s="76">
        <v>6.2</v>
      </c>
      <c r="O8" s="76">
        <v>3.6</v>
      </c>
      <c r="P8" s="76"/>
      <c r="Q8" s="310"/>
      <c r="R8" s="75">
        <f>'22'!Z8</f>
        <v>1390</v>
      </c>
      <c r="S8" s="76">
        <f>'22'!AB7</f>
        <v>75.34151669</v>
      </c>
      <c r="T8" s="77">
        <f>'22'!Y7</f>
        <v>3408</v>
      </c>
      <c r="U8" s="73" t="str">
        <f>IF('22'!AA7=1,'22'!AR6,'22'!AR7)</f>
        <v>S.A.L</v>
      </c>
      <c r="V8" s="43"/>
      <c r="W8" s="27"/>
      <c r="X8" s="54">
        <v>0.125</v>
      </c>
      <c r="Y8" s="427">
        <v>3439.0</v>
      </c>
      <c r="Z8" s="308">
        <v>1390.0</v>
      </c>
      <c r="AA8" s="56">
        <v>1.0</v>
      </c>
      <c r="AB8" s="58">
        <f>IF('22'!AA8=1,(('22'!Z8*'22'!$AS$6*'22'!$AT$6)/('22'!Y8*0.0036)),IF('22'!AA8=2,(('22'!Z8*'22'!$AS$7*'22'!$AT$7)/('22'!Y8*0.0036))))</f>
        <v>74.66236955</v>
      </c>
      <c r="AC8" s="58"/>
      <c r="AD8" s="59">
        <f>(('22'!AC8*'22'!$Q$10*1000000))/('22'!Y8*3600)</f>
        <v>0</v>
      </c>
      <c r="AE8" s="60"/>
      <c r="AF8" s="61">
        <f>('22'!AE8/24)*0.454</f>
        <v>0</v>
      </c>
      <c r="AG8" s="60"/>
      <c r="AH8" s="61">
        <f>('22'!AG8/24)*0.454</f>
        <v>0</v>
      </c>
      <c r="AI8" s="60">
        <v>5000.0</v>
      </c>
      <c r="AJ8" s="61">
        <f>('22'!AI10/24)*0.454</f>
        <v>94.58333333</v>
      </c>
      <c r="AK8" s="62"/>
      <c r="AL8" s="63">
        <f>('22'!AK8/24)*0.454</f>
        <v>0</v>
      </c>
      <c r="AM8" s="62"/>
      <c r="AN8" s="63">
        <f>('22'!AM8/24)*0.454</f>
        <v>0</v>
      </c>
      <c r="AO8" s="62"/>
      <c r="AP8" s="63">
        <f>('22'!AO8/24)*0.454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51">
        <v>252.0</v>
      </c>
      <c r="C9" s="76">
        <v>16.0</v>
      </c>
      <c r="D9" s="76">
        <v>16.0</v>
      </c>
      <c r="E9" s="76">
        <v>6.0</v>
      </c>
      <c r="F9" s="76">
        <v>94.0</v>
      </c>
      <c r="G9" s="76">
        <v>1.8</v>
      </c>
      <c r="H9" s="76">
        <v>1.3</v>
      </c>
      <c r="I9" s="76">
        <v>0.5</v>
      </c>
      <c r="J9" s="76">
        <v>0.5</v>
      </c>
      <c r="K9" s="76">
        <v>7.0</v>
      </c>
      <c r="L9" s="76">
        <v>6.5</v>
      </c>
      <c r="M9" s="76">
        <v>6.5</v>
      </c>
      <c r="N9" s="76">
        <v>6.2</v>
      </c>
      <c r="O9" s="76">
        <v>3.6</v>
      </c>
      <c r="P9" s="76"/>
      <c r="Q9" s="310"/>
      <c r="R9" s="75">
        <f>'22'!Z10</f>
        <v>1390</v>
      </c>
      <c r="S9" s="76">
        <f>'22'!AB9</f>
        <v>74.66236955</v>
      </c>
      <c r="T9" s="77">
        <f>'22'!Y9</f>
        <v>3439</v>
      </c>
      <c r="U9" s="73" t="str">
        <f>IF('22'!AA9=1,'22'!AR6,'22'!AR7)</f>
        <v>S.A.L</v>
      </c>
      <c r="V9" s="43"/>
      <c r="W9" s="27"/>
      <c r="X9" s="54">
        <v>0.166666666666667</v>
      </c>
      <c r="Y9" s="427">
        <v>3439.0</v>
      </c>
      <c r="Z9" s="308">
        <v>1390.0</v>
      </c>
      <c r="AA9" s="56">
        <v>1.0</v>
      </c>
      <c r="AB9" s="58">
        <f>IF('22'!AA9=1,(('22'!Z9*'22'!$AS$6*'22'!$AT$6)/('22'!Y9*0.0036)),IF('22'!AA9=2,(('22'!Z9*'22'!$AS$7*'22'!$AT$7)/('22'!Y9*0.0036))))</f>
        <v>74.66236955</v>
      </c>
      <c r="AC9" s="58"/>
      <c r="AD9" s="59">
        <f>(('22'!AC9*'22'!$Q$10*1000000))/('22'!Y9*3600)</f>
        <v>0</v>
      </c>
      <c r="AE9" s="60"/>
      <c r="AF9" s="61">
        <f>('22'!AE9/24)*0.454</f>
        <v>0</v>
      </c>
      <c r="AG9" s="60"/>
      <c r="AH9" s="61">
        <f>('22'!AG9/24)*0.454</f>
        <v>0</v>
      </c>
      <c r="AI9" s="60">
        <v>5000.0</v>
      </c>
      <c r="AJ9" s="61">
        <f>('22'!AI11/24)*0.454</f>
        <v>94.58333333</v>
      </c>
      <c r="AK9" s="62"/>
      <c r="AL9" s="63">
        <f>('22'!AK9/24)*0.454</f>
        <v>0</v>
      </c>
      <c r="AM9" s="62"/>
      <c r="AN9" s="63">
        <f>('22'!AM9/24)*0.454</f>
        <v>0</v>
      </c>
      <c r="AO9" s="62"/>
      <c r="AP9" s="63">
        <f>('22'!AO9/24)*0.454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51">
        <v>256.0</v>
      </c>
      <c r="C10" s="76">
        <v>15.0</v>
      </c>
      <c r="D10" s="76">
        <v>16.0</v>
      </c>
      <c r="E10" s="76">
        <v>6.0</v>
      </c>
      <c r="F10" s="76">
        <v>96.0</v>
      </c>
      <c r="G10" s="76">
        <v>1.9</v>
      </c>
      <c r="H10" s="76">
        <v>1.3</v>
      </c>
      <c r="I10" s="76">
        <v>0.5</v>
      </c>
      <c r="J10" s="76">
        <v>0.5</v>
      </c>
      <c r="K10" s="76">
        <v>7.0</v>
      </c>
      <c r="L10" s="76">
        <v>6.5</v>
      </c>
      <c r="M10" s="76">
        <v>6.5</v>
      </c>
      <c r="N10" s="76">
        <v>6.2</v>
      </c>
      <c r="O10" s="76">
        <v>3.6</v>
      </c>
      <c r="P10" s="76"/>
      <c r="Q10" s="310"/>
      <c r="R10" s="77">
        <f>'22'!Z12</f>
        <v>1390</v>
      </c>
      <c r="S10" s="76">
        <f>'22'!AB11</f>
        <v>74.03803024</v>
      </c>
      <c r="T10" s="77">
        <f>'22'!Y11</f>
        <v>3468</v>
      </c>
      <c r="U10" s="73" t="str">
        <f>IF('22'!AA11=1,'22'!AR6,'22'!AR7)</f>
        <v>S.A.L</v>
      </c>
      <c r="V10" s="43"/>
      <c r="W10" s="27"/>
      <c r="X10" s="54">
        <v>0.208333333333333</v>
      </c>
      <c r="Y10" s="427">
        <v>3429.0</v>
      </c>
      <c r="Z10" s="308">
        <v>1390.0</v>
      </c>
      <c r="AA10" s="56">
        <v>1.0</v>
      </c>
      <c r="AB10" s="58">
        <f>IF('22'!AA10=1,(('22'!Z10*'22'!$AS$6*'22'!$AT$6)/('22'!Y10*0.0036)),IF('22'!AA10=2,(('22'!Z10*'22'!$AS$7*'22'!$AT$7)/('22'!Y10*0.0036))))</f>
        <v>74.88010758</v>
      </c>
      <c r="AC10" s="58"/>
      <c r="AD10" s="59">
        <f>(('22'!AC10*'22'!$Q$10*1000000))/('22'!Y10*3600)</f>
        <v>0</v>
      </c>
      <c r="AE10" s="60"/>
      <c r="AF10" s="61">
        <f>('22'!AE10/24)*0.454</f>
        <v>0</v>
      </c>
      <c r="AG10" s="60"/>
      <c r="AH10" s="61">
        <f>('22'!AG10/24)*0.454</f>
        <v>0</v>
      </c>
      <c r="AI10" s="60">
        <v>5000.0</v>
      </c>
      <c r="AJ10" s="61">
        <f>('22'!AI12/24)*0.454</f>
        <v>94.58333333</v>
      </c>
      <c r="AK10" s="62"/>
      <c r="AL10" s="63">
        <f>('22'!AK10/24)*0.454</f>
        <v>0</v>
      </c>
      <c r="AM10" s="62"/>
      <c r="AN10" s="63">
        <f>('22'!AM10/24)*0.454</f>
        <v>0</v>
      </c>
      <c r="AO10" s="62"/>
      <c r="AP10" s="63">
        <f>('22'!AO10/24)*0.454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51">
        <v>242.0</v>
      </c>
      <c r="C11" s="76">
        <v>12.0</v>
      </c>
      <c r="D11" s="76">
        <v>11.0</v>
      </c>
      <c r="E11" s="76">
        <v>4.0</v>
      </c>
      <c r="F11" s="76">
        <v>99.0</v>
      </c>
      <c r="G11" s="76">
        <v>1.7</v>
      </c>
      <c r="H11" s="76">
        <v>1.3</v>
      </c>
      <c r="I11" s="76">
        <v>0.5</v>
      </c>
      <c r="J11" s="76">
        <v>0.5</v>
      </c>
      <c r="K11" s="76">
        <v>6.9</v>
      </c>
      <c r="L11" s="76">
        <v>6.3</v>
      </c>
      <c r="M11" s="76">
        <v>6.4</v>
      </c>
      <c r="N11" s="76">
        <v>6.0</v>
      </c>
      <c r="O11" s="76">
        <v>3.6</v>
      </c>
      <c r="P11" s="76"/>
      <c r="Q11" s="310"/>
      <c r="R11" s="77">
        <f>'22'!Z14</f>
        <v>1390</v>
      </c>
      <c r="S11" s="76">
        <f>'22'!AB13</f>
        <v>74.51070484</v>
      </c>
      <c r="T11" s="77">
        <f>'22'!Y13</f>
        <v>3446</v>
      </c>
      <c r="U11" s="73" t="str">
        <f>IF('22'!AA13=1,'22'!AR6,'22'!AR7)</f>
        <v>S.A.L</v>
      </c>
      <c r="V11" s="16"/>
      <c r="W11" s="18"/>
      <c r="X11" s="54">
        <v>0.25</v>
      </c>
      <c r="Y11" s="427">
        <v>3468.0</v>
      </c>
      <c r="Z11" s="308">
        <v>1390.0</v>
      </c>
      <c r="AA11" s="56">
        <v>1.0</v>
      </c>
      <c r="AB11" s="58">
        <f>IF('22'!AA11=1,(('22'!Z11*'22'!$AS$6*'22'!$AT$6)/('22'!Y11*0.0036)),IF('22'!AA11=2,(('22'!Z11*'22'!$AS$7*'22'!$AT$7)/('22'!Y11*0.0036))))</f>
        <v>74.03803024</v>
      </c>
      <c r="AC11" s="58"/>
      <c r="AD11" s="59">
        <f>(('22'!AC11*'22'!$Q$10*1000000))/('22'!Y11*3600)</f>
        <v>0</v>
      </c>
      <c r="AE11" s="60"/>
      <c r="AF11" s="61">
        <f>('22'!AE11/24)*0.454</f>
        <v>0</v>
      </c>
      <c r="AG11" s="60"/>
      <c r="AH11" s="61">
        <f>('22'!AG11/24)*0.454</f>
        <v>0</v>
      </c>
      <c r="AI11" s="60">
        <v>5000.0</v>
      </c>
      <c r="AJ11" s="61">
        <f>('22'!AI13/24)*0.454</f>
        <v>94.58333333</v>
      </c>
      <c r="AK11" s="62"/>
      <c r="AL11" s="63">
        <f>('22'!AK11/24)*0.454</f>
        <v>0</v>
      </c>
      <c r="AM11" s="62"/>
      <c r="AN11" s="63">
        <f>('22'!AM11/24)*0.454</f>
        <v>0</v>
      </c>
      <c r="AO11" s="62"/>
      <c r="AP11" s="63">
        <f>('22'!AO11/24)*0.454</f>
        <v>0</v>
      </c>
    </row>
    <row r="12" ht="18.75" customHeight="1">
      <c r="A12" s="69">
        <v>0.416666666666667</v>
      </c>
      <c r="B12" s="51">
        <v>243.0</v>
      </c>
      <c r="C12" s="76">
        <v>12.0</v>
      </c>
      <c r="D12" s="76">
        <v>11.0</v>
      </c>
      <c r="E12" s="76">
        <v>4.0</v>
      </c>
      <c r="F12" s="76">
        <v>98.0</v>
      </c>
      <c r="G12" s="76">
        <v>1.7</v>
      </c>
      <c r="H12" s="76">
        <v>1.3</v>
      </c>
      <c r="I12" s="76">
        <v>0.5</v>
      </c>
      <c r="J12" s="76">
        <v>0.5</v>
      </c>
      <c r="K12" s="76">
        <v>6.9</v>
      </c>
      <c r="L12" s="76">
        <v>6.3</v>
      </c>
      <c r="M12" s="76">
        <v>6.4</v>
      </c>
      <c r="N12" s="76">
        <v>6.0</v>
      </c>
      <c r="O12" s="76">
        <v>3.6</v>
      </c>
      <c r="P12" s="76"/>
      <c r="Q12" s="310"/>
      <c r="R12" s="77">
        <f>'22'!Z16</f>
        <v>1390</v>
      </c>
      <c r="S12" s="76">
        <f>'22'!AB15</f>
        <v>74.85827664</v>
      </c>
      <c r="T12" s="77">
        <f>'22'!Y15</f>
        <v>3430</v>
      </c>
      <c r="U12" s="73" t="str">
        <f>IF('22'!AA15=1,'22'!AR6,'22'!AR7)</f>
        <v>S.A.L</v>
      </c>
      <c r="V12" s="88" t="str">
        <f>ESCALA!$B$24</f>
        <v/>
      </c>
      <c r="W12" s="89"/>
      <c r="X12" s="54">
        <v>0.291666666666667</v>
      </c>
      <c r="Y12" s="427">
        <v>3227.0</v>
      </c>
      <c r="Z12" s="308">
        <v>1390.0</v>
      </c>
      <c r="AA12" s="56">
        <v>1.0</v>
      </c>
      <c r="AB12" s="58">
        <f>IF('22'!AA12=1,(('22'!Z12*'22'!$AS$6*'22'!$AT$6)/('22'!Y12*0.0036)),IF('22'!AA12=2,(('22'!Z12*'22'!$AS$7*'22'!$AT$7)/('22'!Y12*0.0036))))</f>
        <v>79.56736563</v>
      </c>
      <c r="AC12" s="58"/>
      <c r="AD12" s="59">
        <f>(('22'!AC12*'22'!$Q$10*1000000))/('22'!Y12*3600)</f>
        <v>0</v>
      </c>
      <c r="AE12" s="60"/>
      <c r="AF12" s="61">
        <f>('22'!AE12/24)*0.454</f>
        <v>0</v>
      </c>
      <c r="AG12" s="60"/>
      <c r="AH12" s="61">
        <f>('22'!AG12/24)*0.454</f>
        <v>0</v>
      </c>
      <c r="AI12" s="60">
        <v>5000.0</v>
      </c>
      <c r="AJ12" s="61">
        <f>('22'!AI14/24)*0.454</f>
        <v>94.58333333</v>
      </c>
      <c r="AK12" s="62"/>
      <c r="AL12" s="63">
        <f>('22'!AK12/24)*0.454</f>
        <v>0</v>
      </c>
      <c r="AM12" s="62"/>
      <c r="AN12" s="63">
        <f>('22'!AM12/24)*0.454</f>
        <v>0</v>
      </c>
      <c r="AO12" s="62"/>
      <c r="AP12" s="63">
        <f>('22'!AO12/24)*0.454</f>
        <v>0</v>
      </c>
    </row>
    <row r="13" ht="18.75" customHeight="1">
      <c r="A13" s="69">
        <v>0.5</v>
      </c>
      <c r="B13" s="51">
        <v>239.0</v>
      </c>
      <c r="C13" s="76">
        <v>14.0</v>
      </c>
      <c r="D13" s="76">
        <v>11.0</v>
      </c>
      <c r="E13" s="76">
        <v>4.0</v>
      </c>
      <c r="F13" s="76">
        <v>89.0</v>
      </c>
      <c r="G13" s="76">
        <v>2.0</v>
      </c>
      <c r="H13" s="76">
        <v>1.4</v>
      </c>
      <c r="I13" s="76">
        <v>0.5</v>
      </c>
      <c r="J13" s="76">
        <v>0.5</v>
      </c>
      <c r="K13" s="76">
        <v>6.9</v>
      </c>
      <c r="L13" s="76">
        <v>6.3</v>
      </c>
      <c r="M13" s="76">
        <v>6.4</v>
      </c>
      <c r="N13" s="76">
        <v>6.0</v>
      </c>
      <c r="O13" s="76">
        <v>3.6</v>
      </c>
      <c r="P13" s="76"/>
      <c r="Q13" s="310"/>
      <c r="R13" s="77">
        <f>'22'!Z18</f>
        <v>1390</v>
      </c>
      <c r="S13" s="76">
        <f>'22'!AB17</f>
        <v>74.64066537</v>
      </c>
      <c r="T13" s="77">
        <f>'22'!Y17</f>
        <v>3440</v>
      </c>
      <c r="U13" s="73" t="str">
        <f>IF('22'!AA17=1,'22'!AR6,'22'!AR7)</f>
        <v>S.A.L</v>
      </c>
      <c r="V13" s="43"/>
      <c r="W13" s="27"/>
      <c r="X13" s="54">
        <v>0.333333333333333</v>
      </c>
      <c r="Y13" s="427">
        <v>3446.0</v>
      </c>
      <c r="Z13" s="308">
        <v>1390.0</v>
      </c>
      <c r="AA13" s="56">
        <v>1.0</v>
      </c>
      <c r="AB13" s="58">
        <f>IF('22'!AA13=1,(('22'!Z13*'22'!$AS$6*'22'!$AT$6)/('22'!Y13*0.0036)),IF('22'!AA13=2,(('22'!Z13*'22'!$AS$7*'22'!$AT$7)/('22'!Y13*0.0036))))</f>
        <v>74.51070484</v>
      </c>
      <c r="AC13" s="58"/>
      <c r="AD13" s="59">
        <f>(('22'!AC13*'22'!$Q$10*1000000))/('22'!Y13*3600)</f>
        <v>0</v>
      </c>
      <c r="AE13" s="60"/>
      <c r="AF13" s="61">
        <f>('22'!AE13/24)*0.454</f>
        <v>0</v>
      </c>
      <c r="AG13" s="60"/>
      <c r="AH13" s="61">
        <f>('22'!AG13/24)*0.454</f>
        <v>0</v>
      </c>
      <c r="AI13" s="60">
        <v>5000.0</v>
      </c>
      <c r="AJ13" s="61">
        <f>('22'!AI15/24)*0.454</f>
        <v>94.58333333</v>
      </c>
      <c r="AK13" s="62"/>
      <c r="AL13" s="63">
        <f>('22'!AK13/24)*0.454</f>
        <v>0</v>
      </c>
      <c r="AM13" s="62"/>
      <c r="AN13" s="63">
        <f>('22'!AM13/24)*0.454</f>
        <v>0</v>
      </c>
      <c r="AO13" s="62"/>
      <c r="AP13" s="63">
        <f>('22'!AO13/24)*0.454</f>
        <v>0</v>
      </c>
    </row>
    <row r="14" ht="18.75" customHeight="1">
      <c r="A14" s="69">
        <v>0.583333333333333</v>
      </c>
      <c r="B14" s="51">
        <v>246.0</v>
      </c>
      <c r="C14" s="76">
        <v>15.0</v>
      </c>
      <c r="D14" s="76">
        <v>12.0</v>
      </c>
      <c r="E14" s="76">
        <v>5.0</v>
      </c>
      <c r="F14" s="76">
        <v>88.0</v>
      </c>
      <c r="G14" s="76">
        <v>2.1</v>
      </c>
      <c r="H14" s="76">
        <v>1.5</v>
      </c>
      <c r="I14" s="76">
        <v>0.5</v>
      </c>
      <c r="J14" s="76">
        <v>0.5</v>
      </c>
      <c r="K14" s="76">
        <v>6.9</v>
      </c>
      <c r="L14" s="76">
        <v>6.3</v>
      </c>
      <c r="M14" s="76">
        <v>6.4</v>
      </c>
      <c r="N14" s="76">
        <v>6.0</v>
      </c>
      <c r="O14" s="76">
        <v>3.6</v>
      </c>
      <c r="P14" s="76"/>
      <c r="Q14" s="310"/>
      <c r="R14" s="77">
        <f>'22'!Z20</f>
        <v>1390</v>
      </c>
      <c r="S14" s="76">
        <f>'22'!AB19</f>
        <v>74.64066537</v>
      </c>
      <c r="T14" s="77">
        <f>'22'!Y19</f>
        <v>3440</v>
      </c>
      <c r="U14" s="73" t="str">
        <f>IF('22'!AA19=1,'22'!AR6,'22'!AR7)</f>
        <v>S.A.L</v>
      </c>
      <c r="V14" s="43"/>
      <c r="W14" s="27"/>
      <c r="X14" s="54">
        <v>0.375</v>
      </c>
      <c r="Y14" s="427">
        <v>3468.0</v>
      </c>
      <c r="Z14" s="308">
        <v>1390.0</v>
      </c>
      <c r="AA14" s="56">
        <v>1.0</v>
      </c>
      <c r="AB14" s="58">
        <f>IF('22'!AA14=1,(('22'!Z14*'22'!$AS$6*'22'!$AT$6)/('22'!Y14*0.0036)),IF('22'!AA14=2,(('22'!Z14*'22'!$AS$7*'22'!$AT$7)/('22'!Y14*0.0036))))</f>
        <v>74.03803024</v>
      </c>
      <c r="AC14" s="58"/>
      <c r="AD14" s="59">
        <f>(('22'!AC14*'22'!$Q$10*1000000))/('22'!Y14*3600)</f>
        <v>0</v>
      </c>
      <c r="AE14" s="60"/>
      <c r="AF14" s="61">
        <f>('22'!AE14/24)*0.454</f>
        <v>0</v>
      </c>
      <c r="AG14" s="60"/>
      <c r="AH14" s="61">
        <f>('22'!AG14/24)*0.454</f>
        <v>0</v>
      </c>
      <c r="AI14" s="60">
        <v>5000.0</v>
      </c>
      <c r="AJ14" s="61">
        <f>('22'!AI16/24)*0.454</f>
        <v>94.58333333</v>
      </c>
      <c r="AK14" s="62"/>
      <c r="AL14" s="63">
        <f>('22'!AK14/24)*0.454</f>
        <v>0</v>
      </c>
      <c r="AM14" s="62"/>
      <c r="AN14" s="63">
        <f>('22'!AM14/24)*0.454</f>
        <v>0</v>
      </c>
      <c r="AO14" s="62"/>
      <c r="AP14" s="63">
        <f>('22'!AO14/24)*0.454</f>
        <v>0</v>
      </c>
    </row>
    <row r="15" ht="18.75" customHeight="1">
      <c r="A15" s="69">
        <v>0.666666666666667</v>
      </c>
      <c r="B15" s="51">
        <v>243.0</v>
      </c>
      <c r="C15" s="76">
        <v>15.0</v>
      </c>
      <c r="D15" s="76">
        <v>12.0</v>
      </c>
      <c r="E15" s="76">
        <v>5.0</v>
      </c>
      <c r="F15" s="76">
        <v>95.0</v>
      </c>
      <c r="G15" s="76">
        <v>2.2</v>
      </c>
      <c r="H15" s="76">
        <v>1.3</v>
      </c>
      <c r="I15" s="76">
        <v>0.5</v>
      </c>
      <c r="J15" s="76">
        <v>0.6</v>
      </c>
      <c r="K15" s="76">
        <v>6.9</v>
      </c>
      <c r="L15" s="76">
        <v>6.3</v>
      </c>
      <c r="M15" s="76">
        <v>6.4</v>
      </c>
      <c r="N15" s="76">
        <v>6.0</v>
      </c>
      <c r="O15" s="76">
        <v>3.6</v>
      </c>
      <c r="P15" s="76"/>
      <c r="Q15" s="310"/>
      <c r="R15" s="77">
        <f>'22'!Z22</f>
        <v>1390</v>
      </c>
      <c r="S15" s="76">
        <f>'22'!AB21</f>
        <v>74.55397471</v>
      </c>
      <c r="T15" s="77">
        <f>'22'!Y21</f>
        <v>3444</v>
      </c>
      <c r="U15" s="73" t="str">
        <f>IF('22'!AA21=1,'22'!AR6,'22'!AR7)</f>
        <v>S.A.L</v>
      </c>
      <c r="V15" s="43"/>
      <c r="W15" s="27"/>
      <c r="X15" s="54">
        <v>0.416666666666667</v>
      </c>
      <c r="Y15" s="427">
        <v>3430.0</v>
      </c>
      <c r="Z15" s="308">
        <v>1390.0</v>
      </c>
      <c r="AA15" s="56">
        <v>1.0</v>
      </c>
      <c r="AB15" s="58">
        <f>IF('22'!AA15=1,(('22'!Z15*'22'!$AS$6*'22'!$AT$6)/('22'!Y15*0.0036)),IF('22'!AA15=2,(('22'!Z15*'22'!$AS$7*'22'!$AT$7)/('22'!Y15*0.0036))))</f>
        <v>74.85827664</v>
      </c>
      <c r="AC15" s="58"/>
      <c r="AD15" s="59">
        <f>(('22'!AC15*'22'!$Q$10*1000000))/('22'!Y15*3600)</f>
        <v>0</v>
      </c>
      <c r="AE15" s="60"/>
      <c r="AF15" s="61">
        <f>('22'!AE15/24)*0.454</f>
        <v>0</v>
      </c>
      <c r="AG15" s="60"/>
      <c r="AH15" s="61">
        <f>('22'!AG15/24)*0.454</f>
        <v>0</v>
      </c>
      <c r="AI15" s="60">
        <v>5000.0</v>
      </c>
      <c r="AJ15" s="61">
        <f>('22'!AI17/24)*0.454</f>
        <v>94.58333333</v>
      </c>
      <c r="AK15" s="62"/>
      <c r="AL15" s="63">
        <f>('22'!AK15/24)*0.454</f>
        <v>0</v>
      </c>
      <c r="AM15" s="62"/>
      <c r="AN15" s="63">
        <f>('22'!AM15/24)*0.454</f>
        <v>0</v>
      </c>
      <c r="AO15" s="62"/>
      <c r="AP15" s="63">
        <f>('22'!AO15/24)*0.454</f>
        <v>0</v>
      </c>
    </row>
    <row r="16" ht="18.75" customHeight="1">
      <c r="A16" s="69">
        <v>0.75</v>
      </c>
      <c r="B16" s="51">
        <v>240.0</v>
      </c>
      <c r="C16" s="76">
        <v>14.0</v>
      </c>
      <c r="D16" s="76">
        <v>12.0</v>
      </c>
      <c r="E16" s="76">
        <v>5.0</v>
      </c>
      <c r="F16" s="76">
        <v>103.0</v>
      </c>
      <c r="G16" s="76">
        <v>2.3</v>
      </c>
      <c r="H16" s="76">
        <v>1.2</v>
      </c>
      <c r="I16" s="76">
        <v>0.5</v>
      </c>
      <c r="J16" s="76">
        <v>0.8</v>
      </c>
      <c r="K16" s="76">
        <v>6.9</v>
      </c>
      <c r="L16" s="76">
        <v>6.3</v>
      </c>
      <c r="M16" s="76">
        <v>6.4</v>
      </c>
      <c r="N16" s="76">
        <v>6.0</v>
      </c>
      <c r="O16" s="76">
        <v>3.6</v>
      </c>
      <c r="P16" s="76"/>
      <c r="Q16" s="310"/>
      <c r="R16" s="77">
        <f>'22'!Z24</f>
        <v>1390</v>
      </c>
      <c r="S16" s="76">
        <f>'22'!AB23</f>
        <v>75.0991193</v>
      </c>
      <c r="T16" s="77">
        <f>'22'!Y23</f>
        <v>3419</v>
      </c>
      <c r="U16" s="73" t="str">
        <f>IF('22'!AA23=1,'22'!AR6,'22'!AR7)</f>
        <v>S.A.L</v>
      </c>
      <c r="V16" s="16"/>
      <c r="W16" s="18"/>
      <c r="X16" s="54">
        <v>0.458333333333333</v>
      </c>
      <c r="Y16" s="427">
        <v>3446.0</v>
      </c>
      <c r="Z16" s="308">
        <v>1390.0</v>
      </c>
      <c r="AA16" s="56">
        <v>1.0</v>
      </c>
      <c r="AB16" s="58">
        <f>IF('22'!AA16=1,(('22'!Z16*'22'!$AS$6*'22'!$AT$6)/('22'!Y16*0.0036)),IF('22'!AA16=2,(('22'!Z16*'22'!$AS$7*'22'!$AT$7)/('22'!Y16*0.0036))))</f>
        <v>74.51070484</v>
      </c>
      <c r="AC16" s="58"/>
      <c r="AD16" s="59">
        <f>(('22'!AC16*'22'!$Q$10*1000000))/('22'!Y16*3600)</f>
        <v>0</v>
      </c>
      <c r="AE16" s="60"/>
      <c r="AF16" s="61">
        <f>('22'!AE16/24)*0.454</f>
        <v>0</v>
      </c>
      <c r="AG16" s="60"/>
      <c r="AH16" s="61">
        <f>('22'!AG16/24)*0.454</f>
        <v>0</v>
      </c>
      <c r="AI16" s="60">
        <v>5000.0</v>
      </c>
      <c r="AJ16" s="61">
        <f>('22'!AI16/24)*0.454</f>
        <v>94.58333333</v>
      </c>
      <c r="AK16" s="62"/>
      <c r="AL16" s="63">
        <f>('22'!AK16/24)*0.454</f>
        <v>0</v>
      </c>
      <c r="AM16" s="62"/>
      <c r="AN16" s="63">
        <f>('22'!AM16/24)*0.454</f>
        <v>0</v>
      </c>
      <c r="AO16" s="62"/>
      <c r="AP16" s="63">
        <f>('22'!AO16/24)*0.454</f>
        <v>0</v>
      </c>
    </row>
    <row r="17" ht="18.75" customHeight="1">
      <c r="A17" s="69">
        <v>0.833333333333333</v>
      </c>
      <c r="B17" s="51">
        <v>241.0</v>
      </c>
      <c r="C17" s="76">
        <v>14.0</v>
      </c>
      <c r="D17" s="76">
        <v>12.0</v>
      </c>
      <c r="E17" s="76">
        <v>5.0</v>
      </c>
      <c r="F17" s="76">
        <v>101.0</v>
      </c>
      <c r="G17" s="76">
        <v>2.3</v>
      </c>
      <c r="H17" s="76">
        <v>1.2</v>
      </c>
      <c r="I17" s="76">
        <v>0.6</v>
      </c>
      <c r="J17" s="76">
        <v>0.8</v>
      </c>
      <c r="K17" s="76">
        <v>6.9</v>
      </c>
      <c r="L17" s="76">
        <v>6.3</v>
      </c>
      <c r="M17" s="76">
        <v>6.4</v>
      </c>
      <c r="N17" s="76">
        <v>6.0</v>
      </c>
      <c r="O17" s="76">
        <v>3.6</v>
      </c>
      <c r="P17" s="76"/>
      <c r="Q17" s="310"/>
      <c r="R17" s="77">
        <f>'22'!Z26</f>
        <v>1390</v>
      </c>
      <c r="S17" s="76">
        <f>'22'!AB25</f>
        <v>74.94567685</v>
      </c>
      <c r="T17" s="77">
        <f>'22'!Y25</f>
        <v>3426</v>
      </c>
      <c r="U17" s="73" t="str">
        <f>IF('22'!AA25=1,'22'!AR6,'22'!AR7)</f>
        <v>S.A.L</v>
      </c>
      <c r="V17" s="90" t="str">
        <f>ESCALA!$C$24</f>
        <v/>
      </c>
      <c r="W17" s="89"/>
      <c r="X17" s="54">
        <v>0.5</v>
      </c>
      <c r="Y17" s="427">
        <v>3440.0</v>
      </c>
      <c r="Z17" s="308">
        <v>1390.0</v>
      </c>
      <c r="AA17" s="56">
        <v>1.0</v>
      </c>
      <c r="AB17" s="58">
        <f>IF('22'!AA17=1,(('22'!Z17*'22'!$AS$6*'22'!$AT$6)/('22'!Y17*0.0036)),IF('22'!AA17=2,(('22'!Z17*'22'!$AS$7*'22'!$AT$7)/('22'!Y17*0.0036))))</f>
        <v>74.64066537</v>
      </c>
      <c r="AC17" s="58"/>
      <c r="AD17" s="59">
        <f>(('22'!AC17*'22'!$Q$10*1000000))/('22'!Y17*3600)</f>
        <v>0</v>
      </c>
      <c r="AE17" s="60"/>
      <c r="AF17" s="61">
        <f>('22'!AE17/24)*0.454</f>
        <v>0</v>
      </c>
      <c r="AG17" s="60"/>
      <c r="AH17" s="61">
        <f>('22'!AG17/24)*0.454</f>
        <v>0</v>
      </c>
      <c r="AI17" s="60">
        <v>5000.0</v>
      </c>
      <c r="AJ17" s="61">
        <f>('22'!AI17/24)*0.454</f>
        <v>94.58333333</v>
      </c>
      <c r="AK17" s="62"/>
      <c r="AL17" s="63">
        <f>('22'!AK17/24)*0.454</f>
        <v>0</v>
      </c>
      <c r="AM17" s="62"/>
      <c r="AN17" s="63">
        <f>('22'!AM17/24)*0.454</f>
        <v>0</v>
      </c>
      <c r="AO17" s="62"/>
      <c r="AP17" s="63">
        <f>('22'!AO17/24)*0.454</f>
        <v>0</v>
      </c>
    </row>
    <row r="18" ht="19.5" customHeight="1">
      <c r="A18" s="69">
        <v>0.916666666666667</v>
      </c>
      <c r="B18" s="51">
        <v>239.0</v>
      </c>
      <c r="C18" s="76">
        <v>14.0</v>
      </c>
      <c r="D18" s="76">
        <v>12.0</v>
      </c>
      <c r="E18" s="76">
        <v>5.0</v>
      </c>
      <c r="F18" s="76">
        <v>96.0</v>
      </c>
      <c r="G18" s="76">
        <v>2.3</v>
      </c>
      <c r="H18" s="76">
        <v>1.3</v>
      </c>
      <c r="I18" s="76">
        <v>0.6</v>
      </c>
      <c r="J18" s="76">
        <v>0.7</v>
      </c>
      <c r="K18" s="76">
        <v>6.9</v>
      </c>
      <c r="L18" s="76">
        <v>6.3</v>
      </c>
      <c r="M18" s="76">
        <v>6.4</v>
      </c>
      <c r="N18" s="76">
        <v>6.0</v>
      </c>
      <c r="O18" s="76">
        <v>3.6</v>
      </c>
      <c r="P18" s="76"/>
      <c r="Q18" s="310"/>
      <c r="R18" s="77">
        <f>'22'!Z28</f>
        <v>1390</v>
      </c>
      <c r="S18" s="76">
        <f>'22'!AB27</f>
        <v>74.72755788</v>
      </c>
      <c r="T18" s="77">
        <f>'22'!Y27</f>
        <v>3436</v>
      </c>
      <c r="U18" s="73" t="str">
        <f>IF('22'!AA27=1,'22'!AR6,'22'!AR7)</f>
        <v>S.A.L</v>
      </c>
      <c r="V18" s="16"/>
      <c r="W18" s="18"/>
      <c r="X18" s="54">
        <v>0.541666666666667</v>
      </c>
      <c r="Y18" s="427">
        <v>3500.0</v>
      </c>
      <c r="Z18" s="308">
        <v>1390.0</v>
      </c>
      <c r="AA18" s="56">
        <v>1.0</v>
      </c>
      <c r="AB18" s="58">
        <f>IF('22'!AA18=1,(('22'!Z18*'22'!$AS$6*'22'!$AT$6)/('22'!Y18*0.0036)),IF('22'!AA18=2,(('22'!Z18*'22'!$AS$7*'22'!$AT$7)/('22'!Y18*0.0036))))</f>
        <v>73.36111111</v>
      </c>
      <c r="AC18" s="58"/>
      <c r="AD18" s="59">
        <f>(('22'!AC18*'22'!$Q$10*1000000))/('22'!Y18*3600)</f>
        <v>0</v>
      </c>
      <c r="AE18" s="60"/>
      <c r="AF18" s="61">
        <f>('22'!AE18/24)*0.454</f>
        <v>0</v>
      </c>
      <c r="AG18" s="60"/>
      <c r="AH18" s="61">
        <f>('22'!AG18/24)*0.454</f>
        <v>0</v>
      </c>
      <c r="AI18" s="60">
        <v>5000.0</v>
      </c>
      <c r="AJ18" s="61">
        <f>('22'!AI18/24)*0.454</f>
        <v>94.58333333</v>
      </c>
      <c r="AK18" s="62"/>
      <c r="AL18" s="63">
        <f>('22'!AK18/24)*0.454</f>
        <v>0</v>
      </c>
      <c r="AM18" s="62"/>
      <c r="AN18" s="63">
        <f>('22'!AM18/24)*0.454</f>
        <v>0</v>
      </c>
      <c r="AO18" s="62"/>
      <c r="AP18" s="63">
        <f>('22'!AO18/24)*0.454</f>
        <v>0</v>
      </c>
    </row>
    <row r="19" ht="18.75" customHeight="1">
      <c r="A19" s="51" t="s">
        <v>52</v>
      </c>
      <c r="B19" s="91">
        <f>AVERAGE('22'!B7:B18)</f>
        <v>243.75</v>
      </c>
      <c r="C19" s="92">
        <f>AVERAGE('22'!C7:C18)</f>
        <v>14.5</v>
      </c>
      <c r="D19" s="92">
        <f>AVERAGE('22'!D7:D18)</f>
        <v>13.08333333</v>
      </c>
      <c r="E19" s="92">
        <f>AVERAGE('22'!E7:E18)</f>
        <v>4.916666667</v>
      </c>
      <c r="F19" s="92">
        <f>AVERAGE('22'!F7:F18)</f>
        <v>94.83333333</v>
      </c>
      <c r="G19" s="92">
        <f>AVERAGE('22'!G7:G18)</f>
        <v>1.958333333</v>
      </c>
      <c r="H19" s="92">
        <f>AVERAGE('22'!H7:H18)</f>
        <v>1.325</v>
      </c>
      <c r="I19" s="92">
        <f>AVERAGE('22'!I7:I18)</f>
        <v>0.5166666667</v>
      </c>
      <c r="J19" s="92">
        <f>AVERAGE('22'!J7:J18)</f>
        <v>0.575</v>
      </c>
      <c r="K19" s="92">
        <f>AVERAGE('22'!K7:K18)</f>
        <v>6.933333333</v>
      </c>
      <c r="L19" s="92">
        <f>AVERAGE('22'!L7:L18)</f>
        <v>6.366666667</v>
      </c>
      <c r="M19" s="92">
        <f>AVERAGE('22'!M7:M18)</f>
        <v>6.433333333</v>
      </c>
      <c r="N19" s="92">
        <f>AVERAGE('22'!N7:N18)</f>
        <v>6.066666667</v>
      </c>
      <c r="O19" s="92">
        <f>AVERAGE('22'!O7:O18)</f>
        <v>3.6</v>
      </c>
      <c r="P19" s="93" t="str">
        <f>AVERAGE('22'!P7:P18)</f>
        <v>#DIV/0!</v>
      </c>
      <c r="Q19" s="94" t="str">
        <f>AVERAGE('22'!Q7:Q18)</f>
        <v>#DIV/0!</v>
      </c>
      <c r="R19" s="94">
        <f>AVERAGE('22'!R7:R18)</f>
        <v>1390</v>
      </c>
      <c r="S19" s="94">
        <f>AVERAGE('22'!S7:S18)</f>
        <v>74.85080187</v>
      </c>
      <c r="T19" s="95"/>
      <c r="U19" s="96"/>
      <c r="V19" s="97"/>
      <c r="W19" s="97"/>
      <c r="X19" s="54">
        <v>0.583333333333333</v>
      </c>
      <c r="Y19" s="427">
        <v>3440.0</v>
      </c>
      <c r="Z19" s="308">
        <v>1390.0</v>
      </c>
      <c r="AA19" s="56">
        <v>1.0</v>
      </c>
      <c r="AB19" s="58">
        <f>IF('22'!AA19=1,(('22'!Z19*'22'!$AS$6*'22'!$AT$6)/('22'!Y19*0.0036)),IF('22'!AA19=2,(('22'!Z19*'22'!$AS$7*'22'!$AT$7)/('22'!Y19*0.0036))))</f>
        <v>74.64066537</v>
      </c>
      <c r="AC19" s="58"/>
      <c r="AD19" s="59">
        <f>(('22'!AC19*'22'!$Q$10*1000000))/('22'!Y19*3600)</f>
        <v>0</v>
      </c>
      <c r="AE19" s="60"/>
      <c r="AF19" s="61">
        <f>('22'!AE19/24)*0.454</f>
        <v>0</v>
      </c>
      <c r="AG19" s="60"/>
      <c r="AH19" s="61">
        <f>('22'!AG19/24)*0.454</f>
        <v>0</v>
      </c>
      <c r="AI19" s="60">
        <v>5000.0</v>
      </c>
      <c r="AJ19" s="61">
        <f>('22'!AI19/24)*0.454</f>
        <v>94.58333333</v>
      </c>
      <c r="AK19" s="62"/>
      <c r="AL19" s="63">
        <f>('22'!AK19/24)*0.454</f>
        <v>0</v>
      </c>
      <c r="AM19" s="62"/>
      <c r="AN19" s="63">
        <f>('22'!AM19/24)*0.454</f>
        <v>0</v>
      </c>
      <c r="AO19" s="62"/>
      <c r="AP19" s="63">
        <f>('22'!AO19/24)*0.454</f>
        <v>0</v>
      </c>
    </row>
    <row r="20" ht="18.75" customHeight="1">
      <c r="A20" s="51" t="s">
        <v>53</v>
      </c>
      <c r="B20" s="91">
        <f>MAX('22'!B7:B18)</f>
        <v>256</v>
      </c>
      <c r="C20" s="91">
        <f>MAX('22'!C7:C18)</f>
        <v>17</v>
      </c>
      <c r="D20" s="92">
        <f>MAX('22'!D7:D18)</f>
        <v>16</v>
      </c>
      <c r="E20" s="92">
        <f>MAX('22'!E7:E18)</f>
        <v>6</v>
      </c>
      <c r="F20" s="92">
        <f>MAX('22'!F7:F18)</f>
        <v>103</v>
      </c>
      <c r="G20" s="92">
        <f>MAX('22'!G7:G18)</f>
        <v>2.3</v>
      </c>
      <c r="H20" s="92">
        <f>MAX('22'!H7:H18)</f>
        <v>1.5</v>
      </c>
      <c r="I20" s="92">
        <f>MAX('22'!I7:I18)</f>
        <v>0.6</v>
      </c>
      <c r="J20" s="92">
        <f>MAX('22'!J7:J18)</f>
        <v>0.8</v>
      </c>
      <c r="K20" s="92">
        <f>MAX('22'!K7:K18)</f>
        <v>7</v>
      </c>
      <c r="L20" s="92">
        <f>MAX('22'!L7:L18)</f>
        <v>6.5</v>
      </c>
      <c r="M20" s="92">
        <f>MAX('22'!M7:M18)</f>
        <v>6.5</v>
      </c>
      <c r="N20" s="92">
        <f>MAX('22'!N7:N18)</f>
        <v>6.2</v>
      </c>
      <c r="O20" s="98">
        <f>MAX('22'!O7:O18)</f>
        <v>3.6</v>
      </c>
      <c r="P20" s="98">
        <f>MAX('22'!P7:P18)</f>
        <v>0</v>
      </c>
      <c r="Q20" s="98">
        <f>MAX('22'!Q7:Q18)</f>
        <v>0</v>
      </c>
      <c r="R20" s="98">
        <f>MAX('22'!R7:R18)</f>
        <v>1390</v>
      </c>
      <c r="S20" s="98">
        <f>MAX('22'!S7:S18)</f>
        <v>76.19106495</v>
      </c>
      <c r="T20" s="99"/>
      <c r="U20" s="21"/>
      <c r="X20" s="54">
        <v>0.625</v>
      </c>
      <c r="Y20" s="427">
        <v>3427.0</v>
      </c>
      <c r="Z20" s="308">
        <v>1390.0</v>
      </c>
      <c r="AA20" s="56">
        <v>1.0</v>
      </c>
      <c r="AB20" s="58">
        <f>IF('22'!AA20=1,(('22'!Z20*'22'!$AS$6*'22'!$AT$6)/('22'!Y20*0.0036)),IF('22'!AA20=2,(('22'!Z20*'22'!$AS$7*'22'!$AT$7)/('22'!Y20*0.0036))))</f>
        <v>74.92380767</v>
      </c>
      <c r="AC20" s="58"/>
      <c r="AD20" s="59">
        <f>(('22'!AC20*'22'!$Q$10*1000000))/('22'!Y20*3600)</f>
        <v>0</v>
      </c>
      <c r="AE20" s="60"/>
      <c r="AF20" s="61">
        <f>('22'!AE20/24)*0.454</f>
        <v>0</v>
      </c>
      <c r="AG20" s="60"/>
      <c r="AH20" s="61">
        <f>('22'!AG20/24)*0.454</f>
        <v>0</v>
      </c>
      <c r="AI20" s="60">
        <v>5000.0</v>
      </c>
      <c r="AJ20" s="61">
        <f>('22'!AI20/24)*0.454</f>
        <v>94.58333333</v>
      </c>
      <c r="AK20" s="62"/>
      <c r="AL20" s="63">
        <f>('22'!AK20/24)*0.454</f>
        <v>0</v>
      </c>
      <c r="AM20" s="62"/>
      <c r="AN20" s="63">
        <f>('22'!AM20/24)*0.454</f>
        <v>0</v>
      </c>
      <c r="AO20" s="62"/>
      <c r="AP20" s="63">
        <f>('22'!AO20/24)*0.454</f>
        <v>0</v>
      </c>
    </row>
    <row r="21" ht="19.5" customHeight="1">
      <c r="A21" s="51" t="s">
        <v>54</v>
      </c>
      <c r="B21" s="91">
        <f>MIN('22'!B7:B18)</f>
        <v>238</v>
      </c>
      <c r="C21" s="92">
        <f>MIN('22'!C7:C18)</f>
        <v>12</v>
      </c>
      <c r="D21" s="92">
        <f>MIN('22'!D7:D18)</f>
        <v>11</v>
      </c>
      <c r="E21" s="92">
        <f>MIN('22'!E7:E18)</f>
        <v>4</v>
      </c>
      <c r="F21" s="92">
        <f>MIN('22'!F7:F18)</f>
        <v>88</v>
      </c>
      <c r="G21" s="100">
        <f>MIN('22'!G7:G18)</f>
        <v>1.5</v>
      </c>
      <c r="H21" s="474">
        <f>MIN('22'!H7:H18)</f>
        <v>1.2</v>
      </c>
      <c r="I21" s="100">
        <f>MIN('22'!I7:I18)</f>
        <v>0.5</v>
      </c>
      <c r="J21" s="100">
        <f>MIN('22'!J7:J18)</f>
        <v>0.5</v>
      </c>
      <c r="K21" s="100">
        <f>MIN('22'!K7:K18)</f>
        <v>6.9</v>
      </c>
      <c r="L21" s="100">
        <f>MIN('22'!L7:L18)</f>
        <v>6.3</v>
      </c>
      <c r="M21" s="100">
        <f>MIN('22'!M7:M18)</f>
        <v>6.4</v>
      </c>
      <c r="N21" s="100">
        <f>MIN('22'!N7:N18)</f>
        <v>6</v>
      </c>
      <c r="O21" s="101">
        <f>MIN('22'!O7:O18)</f>
        <v>3.6</v>
      </c>
      <c r="P21" s="101">
        <f>MIN('22'!P7:P18)</f>
        <v>0</v>
      </c>
      <c r="Q21" s="101">
        <f>MIN('22'!Q7:Q18)</f>
        <v>0</v>
      </c>
      <c r="R21" s="101">
        <f>MIN('22'!R7:R18)</f>
        <v>1390</v>
      </c>
      <c r="S21" s="101">
        <f>MIN('22'!S7:S18)</f>
        <v>74.03803024</v>
      </c>
      <c r="T21" s="99"/>
      <c r="U21" s="21"/>
      <c r="X21" s="54">
        <v>0.666666666666667</v>
      </c>
      <c r="Y21" s="427">
        <v>3444.0</v>
      </c>
      <c r="Z21" s="308">
        <v>1390.0</v>
      </c>
      <c r="AA21" s="56">
        <v>1.0</v>
      </c>
      <c r="AB21" s="58">
        <f>IF('22'!AA21=1,(('22'!Z21*'22'!$AS$6*'22'!$AT$6)/('22'!Y21*0.0036)),IF('22'!AA21=2,(('22'!Z21*'22'!$AS$7*'22'!$AT$7)/('22'!Y21*0.0036))))</f>
        <v>74.55397471</v>
      </c>
      <c r="AC21" s="58"/>
      <c r="AD21" s="59">
        <f>(('22'!AC21*'22'!$Q$10*1000000))/('22'!Y21*3600)</f>
        <v>0</v>
      </c>
      <c r="AE21" s="60"/>
      <c r="AF21" s="61">
        <f>('22'!AE21/24)*0.454</f>
        <v>0</v>
      </c>
      <c r="AG21" s="60"/>
      <c r="AH21" s="61">
        <f>('22'!AG21/24)*0.454</f>
        <v>0</v>
      </c>
      <c r="AI21" s="60">
        <v>5000.0</v>
      </c>
      <c r="AJ21" s="61">
        <f>('22'!AI21/24)*0.454</f>
        <v>94.58333333</v>
      </c>
      <c r="AK21" s="62"/>
      <c r="AL21" s="63">
        <f>('22'!AK21/24)*0.454</f>
        <v>0</v>
      </c>
      <c r="AM21" s="62"/>
      <c r="AN21" s="63">
        <f>('22'!AM21/24)*0.454</f>
        <v>0</v>
      </c>
      <c r="AO21" s="62"/>
      <c r="AP21" s="63">
        <f>('22'!AO21/24)*0.454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475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427">
        <v>3397.0</v>
      </c>
      <c r="Z22" s="308">
        <v>1390.0</v>
      </c>
      <c r="AA22" s="56">
        <v>1.0</v>
      </c>
      <c r="AB22" s="58">
        <f>IF('22'!AA22=1,(('22'!Z22*'22'!$AS$6*'22'!$AT$6)/('22'!Y22*0.0036)),IF('22'!AA22=2,(('22'!Z22*'22'!$AS$7*'22'!$AT$7)/('22'!Y22*0.0036))))</f>
        <v>75.58548392</v>
      </c>
      <c r="AC22" s="58"/>
      <c r="AD22" s="59">
        <f>(('22'!AC22*'22'!$Q$10*1000000))/('22'!Y22*3600)</f>
        <v>0</v>
      </c>
      <c r="AE22" s="60"/>
      <c r="AF22" s="61">
        <f>('22'!AE22/24)*0.454</f>
        <v>0</v>
      </c>
      <c r="AG22" s="60"/>
      <c r="AH22" s="61">
        <f>('22'!AG22/24)*0.454</f>
        <v>0</v>
      </c>
      <c r="AI22" s="60">
        <v>5000.0</v>
      </c>
      <c r="AJ22" s="61">
        <f>('22'!AI22/24)*0.454</f>
        <v>94.58333333</v>
      </c>
      <c r="AK22" s="62"/>
      <c r="AL22" s="63">
        <f>('22'!AK22/24)*0.454</f>
        <v>0</v>
      </c>
      <c r="AM22" s="62"/>
      <c r="AN22" s="63">
        <f>('22'!AM22/24)*0.454</f>
        <v>0</v>
      </c>
      <c r="AO22" s="62"/>
      <c r="AP22" s="63">
        <f>('22'!AO22/24)*0.454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427">
        <v>3419.0</v>
      </c>
      <c r="Z23" s="308">
        <v>1390.0</v>
      </c>
      <c r="AA23" s="56">
        <v>1.0</v>
      </c>
      <c r="AB23" s="58">
        <f>IF('22'!AA23=1,(('22'!Z23*'22'!$AS$6*'22'!$AT$6)/('22'!Y23*0.0036)),IF('22'!AA23=2,(('22'!Z23*'22'!$AS$7*'22'!$AT$7)/('22'!Y23*0.0036))))</f>
        <v>75.0991193</v>
      </c>
      <c r="AC23" s="58"/>
      <c r="AD23" s="59">
        <f>(('22'!AC23*'22'!$Q$10*1000000))/('22'!Y23*3600)</f>
        <v>0</v>
      </c>
      <c r="AE23" s="60"/>
      <c r="AF23" s="61">
        <f>('22'!AE23/24)*0.454</f>
        <v>0</v>
      </c>
      <c r="AG23" s="60"/>
      <c r="AH23" s="61">
        <f>('22'!AG23/24)*0.454</f>
        <v>0</v>
      </c>
      <c r="AI23" s="60">
        <v>5000.0</v>
      </c>
      <c r="AJ23" s="61">
        <f>('22'!AI23/24)*0.454</f>
        <v>94.58333333</v>
      </c>
      <c r="AK23" s="62"/>
      <c r="AL23" s="63">
        <f>('22'!AK23/24)*0.454</f>
        <v>0</v>
      </c>
      <c r="AM23" s="62"/>
      <c r="AN23" s="63">
        <f>('22'!AM23/24)*0.454</f>
        <v>0</v>
      </c>
      <c r="AO23" s="62"/>
      <c r="AP23" s="63">
        <f>('22'!AO23/24)*0.454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427">
        <v>3408.0</v>
      </c>
      <c r="Z24" s="308">
        <v>1390.0</v>
      </c>
      <c r="AA24" s="56">
        <v>1.0</v>
      </c>
      <c r="AB24" s="57">
        <f>IF('22'!AA24=1,(('22'!Z24*'22'!$AS$6*'22'!$AT$6)/('22'!Y24*0.0036)),IF('22'!AA24=2,(('22'!Z24*'22'!$AS$7*'22'!$AT$7)/('22'!Y24*0.0036))))</f>
        <v>75.34151669</v>
      </c>
      <c r="AC24" s="57"/>
      <c r="AD24" s="154">
        <f>(('22'!AC24*'22'!$Q$10*1000000))/('22'!Y24*3600)</f>
        <v>0</v>
      </c>
      <c r="AE24" s="60"/>
      <c r="AF24" s="311">
        <f>('22'!AE24/24)*0.454</f>
        <v>0</v>
      </c>
      <c r="AG24" s="125"/>
      <c r="AH24" s="311">
        <f>('22'!AG24/24)*0.454</f>
        <v>0</v>
      </c>
      <c r="AI24" s="60">
        <v>5000.0</v>
      </c>
      <c r="AJ24" s="311">
        <f>('22'!AI24/24)*0.454</f>
        <v>94.58333333</v>
      </c>
      <c r="AK24" s="62"/>
      <c r="AL24" s="110">
        <f>('22'!AK24/24)*0.454</f>
        <v>0</v>
      </c>
      <c r="AM24" s="312"/>
      <c r="AN24" s="110">
        <f>('22'!AM24/24)*0.454</f>
        <v>0</v>
      </c>
      <c r="AO24" s="62"/>
      <c r="AP24" s="110">
        <f>('22'!AO24/24)*0.454</f>
        <v>0</v>
      </c>
    </row>
    <row r="25" ht="19.5" customHeight="1">
      <c r="A25" s="111">
        <v>0.416666666666667</v>
      </c>
      <c r="B25" s="313">
        <v>0.34</v>
      </c>
      <c r="C25" s="108">
        <v>0.53</v>
      </c>
      <c r="D25" s="108">
        <v>0.43</v>
      </c>
      <c r="E25" s="313">
        <v>0.32</v>
      </c>
      <c r="F25" s="313">
        <v>0.36</v>
      </c>
      <c r="G25" s="313"/>
      <c r="H25" s="313">
        <v>0.4</v>
      </c>
      <c r="I25" s="313">
        <v>0.39</v>
      </c>
      <c r="J25" s="313"/>
      <c r="K25" s="313">
        <v>0.34</v>
      </c>
      <c r="L25" s="313">
        <v>0.5</v>
      </c>
      <c r="M25" s="313">
        <v>0.48</v>
      </c>
      <c r="N25" s="313">
        <v>0.46</v>
      </c>
      <c r="O25" s="313">
        <v>0.38</v>
      </c>
      <c r="P25" s="313">
        <v>0.55</v>
      </c>
      <c r="Q25" s="313"/>
      <c r="R25" s="112" t="str">
        <f t="shared" ref="R25:R26" si="1">#DIV/0!</f>
        <v>#DIV/0!</v>
      </c>
      <c r="S25" s="113"/>
      <c r="T25" s="348" t="s">
        <v>0</v>
      </c>
      <c r="U25" s="361">
        <f>ESCALA!$A$24</f>
        <v>43943</v>
      </c>
      <c r="X25" s="54">
        <v>0.833333333333333</v>
      </c>
      <c r="Y25" s="427">
        <v>3426.0</v>
      </c>
      <c r="Z25" s="308">
        <v>1390.0</v>
      </c>
      <c r="AA25" s="56">
        <v>1.0</v>
      </c>
      <c r="AB25" s="58">
        <f>IF('22'!AA25=1,(('22'!Z25*'22'!$AS$6*'22'!$AT$6)/('22'!Y25*0.0036)),IF('22'!AA25=2,(('22'!Z25*'22'!$AS$7*'22'!$AT$7)/('22'!Y25*0.0036))))</f>
        <v>74.94567685</v>
      </c>
      <c r="AC25" s="58"/>
      <c r="AD25" s="59">
        <f>(('22'!AC25*'22'!$Q$10*1000000))/('22'!Y25*3600)</f>
        <v>0</v>
      </c>
      <c r="AE25" s="60"/>
      <c r="AF25" s="61">
        <f>('22'!AE25/24)*0.454</f>
        <v>0</v>
      </c>
      <c r="AG25" s="60"/>
      <c r="AH25" s="61">
        <f>('22'!AG25/24)*0.454</f>
        <v>0</v>
      </c>
      <c r="AI25" s="60">
        <v>5000.0</v>
      </c>
      <c r="AJ25" s="61">
        <f>('22'!AI25/24)*0.454</f>
        <v>94.58333333</v>
      </c>
      <c r="AK25" s="62"/>
      <c r="AL25" s="63">
        <f>('22'!AK25/24)*0.454</f>
        <v>0</v>
      </c>
      <c r="AM25" s="62"/>
      <c r="AN25" s="63">
        <f>('22'!AM25/24)*0.454</f>
        <v>0</v>
      </c>
      <c r="AO25" s="62"/>
      <c r="AP25" s="63">
        <f>('22'!AO25/24)*0.454</f>
        <v>0</v>
      </c>
    </row>
    <row r="26" ht="19.5" customHeight="1">
      <c r="A26" s="111">
        <v>0.666666666666667</v>
      </c>
      <c r="B26" s="396"/>
      <c r="C26" s="396"/>
      <c r="D26" s="396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427">
        <v>3436.0</v>
      </c>
      <c r="Z26" s="308">
        <v>1390.0</v>
      </c>
      <c r="AA26" s="56">
        <v>1.0</v>
      </c>
      <c r="AB26" s="57">
        <f>IF('22'!AA26=1,(('22'!Z26*'22'!$AS$6*'22'!$AT$6)/('22'!Y26*0.0036)),IF('22'!AA26=2,(('22'!Z26*'22'!$AS$7*'22'!$AT$7)/('22'!Y26*0.0036))))</f>
        <v>74.72755788</v>
      </c>
      <c r="AC26" s="58"/>
      <c r="AD26" s="59">
        <f>(('22'!AC26*'22'!$Q$10*1000000))/('22'!Y26*3600)</f>
        <v>0</v>
      </c>
      <c r="AE26" s="60"/>
      <c r="AF26" s="61">
        <f>('22'!AE26/24)*0.454</f>
        <v>0</v>
      </c>
      <c r="AG26" s="60"/>
      <c r="AH26" s="61">
        <f>('22'!AG26/24)*0.454</f>
        <v>0</v>
      </c>
      <c r="AI26" s="60">
        <v>5000.0</v>
      </c>
      <c r="AJ26" s="61">
        <f>('22'!AI26/24)*0.454</f>
        <v>94.58333333</v>
      </c>
      <c r="AK26" s="62"/>
      <c r="AL26" s="63">
        <f>('22'!AK26/24)*0.454</f>
        <v>0</v>
      </c>
      <c r="AM26" s="62"/>
      <c r="AN26" s="63">
        <f>('22'!AM26/24)*0.454</f>
        <v>0</v>
      </c>
      <c r="AO26" s="62"/>
      <c r="AP26" s="63">
        <f>('22'!AO26/24)*0.454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427">
        <v>3436.0</v>
      </c>
      <c r="Z27" s="308">
        <v>1390.0</v>
      </c>
      <c r="AA27" s="56">
        <v>1.0</v>
      </c>
      <c r="AB27" s="58">
        <f>IF('22'!AA27=1,(('22'!Z27*'22'!$AS$6*'22'!$AT$6)/('22'!Y27*0.0036)),IF('22'!AA27=2,(('22'!Z27*'22'!$AS$7*'22'!$AT$7)/('22'!Y27*0.0036))))</f>
        <v>74.72755788</v>
      </c>
      <c r="AC27" s="58"/>
      <c r="AD27" s="59">
        <f>(('22'!AC27*'22'!$Q$10*1000000))/('22'!Y27*3600)</f>
        <v>0</v>
      </c>
      <c r="AE27" s="60"/>
      <c r="AF27" s="61">
        <f>('22'!AE27/24)*0.454</f>
        <v>0</v>
      </c>
      <c r="AG27" s="60"/>
      <c r="AH27" s="61">
        <f>('22'!AG27/24)*0.454</f>
        <v>0</v>
      </c>
      <c r="AI27" s="60">
        <v>5000.0</v>
      </c>
      <c r="AJ27" s="61">
        <f>('22'!AI27/24)*0.454</f>
        <v>94.58333333</v>
      </c>
      <c r="AK27" s="62"/>
      <c r="AL27" s="63">
        <f>('22'!AK27/24)*0.454</f>
        <v>0</v>
      </c>
      <c r="AM27" s="62"/>
      <c r="AN27" s="63">
        <f>('22'!AM27/24)*0.454</f>
        <v>0</v>
      </c>
      <c r="AO27" s="62"/>
      <c r="AP27" s="63">
        <f>('22'!AO27/24)*0.454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427">
        <v>3411.0</v>
      </c>
      <c r="Z28" s="308">
        <v>1390.0</v>
      </c>
      <c r="AA28" s="56">
        <v>1.0</v>
      </c>
      <c r="AB28" s="58">
        <f>IF('22'!AA28=1,(('22'!Z28*'22'!$AS$6*'22'!$AT$6)/('22'!Y28*0.0036)),IF('22'!AA28=2,(('22'!Z28*'22'!$AS$7*'22'!$AT$7)/('22'!Y28*0.0036))))</f>
        <v>75.27525327</v>
      </c>
      <c r="AC28" s="58"/>
      <c r="AD28" s="59">
        <f>(('22'!AC28*'22'!$Q$10*1000000))/('22'!Y28*3600)</f>
        <v>0</v>
      </c>
      <c r="AE28" s="60"/>
      <c r="AF28" s="61">
        <f>('22'!AE28/24)*0.454</f>
        <v>0</v>
      </c>
      <c r="AG28" s="60"/>
      <c r="AH28" s="61">
        <f>('22'!AG28/24)*0.454</f>
        <v>0</v>
      </c>
      <c r="AI28" s="60">
        <v>5000.0</v>
      </c>
      <c r="AJ28" s="61">
        <f>('22'!AI28/24)*0.454</f>
        <v>94.58333333</v>
      </c>
      <c r="AK28" s="62"/>
      <c r="AL28" s="63">
        <f>('22'!AK28/24)*0.454</f>
        <v>0</v>
      </c>
      <c r="AM28" s="62"/>
      <c r="AN28" s="63">
        <f>('22'!AM28/24)*0.454</f>
        <v>0</v>
      </c>
      <c r="AO28" s="62"/>
      <c r="AP28" s="63">
        <f>('22'!AO28/24)*0.454</f>
        <v>0</v>
      </c>
    </row>
    <row r="29" ht="18.75" customHeight="1">
      <c r="A29" s="129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427">
        <v>3442.0</v>
      </c>
      <c r="Z29" s="308">
        <v>1390.0</v>
      </c>
      <c r="AA29" s="56">
        <v>1.0</v>
      </c>
      <c r="AB29" s="58">
        <f>IF('22'!AA29=1,(('22'!Z29*'22'!$AS$6*'22'!$AT$6)/('22'!Y29*0.0036)),IF('22'!AA29=2,(('22'!Z29*'22'!$AS$7*'22'!$AT$7)/('22'!Y29*0.0036))))</f>
        <v>74.59729485</v>
      </c>
      <c r="AC29" s="58"/>
      <c r="AD29" s="59">
        <f>(('22'!AC29*'22'!$Q$10*1000000))/('22'!Y29*3600)</f>
        <v>0</v>
      </c>
      <c r="AE29" s="60"/>
      <c r="AF29" s="61">
        <f>('22'!AE29/24)*0.454</f>
        <v>0</v>
      </c>
      <c r="AG29" s="60"/>
      <c r="AH29" s="61">
        <f>('22'!AG29/24)*0.454</f>
        <v>0</v>
      </c>
      <c r="AI29" s="60">
        <v>5000.0</v>
      </c>
      <c r="AJ29" s="61">
        <f>('22'!AI29/24)*0.454</f>
        <v>94.58333333</v>
      </c>
      <c r="AK29" s="62"/>
      <c r="AL29" s="63">
        <f>('22'!AK29/24)*0.454</f>
        <v>0</v>
      </c>
      <c r="AM29" s="62"/>
      <c r="AN29" s="63">
        <f>('22'!AM29/24)*0.454</f>
        <v>0</v>
      </c>
      <c r="AO29" s="62"/>
      <c r="AP29" s="63">
        <f>('22'!AO29/24)*0.454</f>
        <v>0</v>
      </c>
    </row>
    <row r="30" ht="18.75" customHeight="1">
      <c r="A30" s="43"/>
      <c r="U30" s="27"/>
      <c r="X30" s="130" t="s">
        <v>55</v>
      </c>
      <c r="Y30" s="131">
        <f>SUM('22'!Y6:Y29)*3.6</f>
        <v>296017.2</v>
      </c>
      <c r="Z30" s="132">
        <f>SUM('22'!Z6:Z29)</f>
        <v>33360</v>
      </c>
      <c r="AA30" s="133"/>
      <c r="AB30" s="132"/>
      <c r="AC30" s="133"/>
      <c r="AD30" s="132"/>
      <c r="AE30" s="60"/>
      <c r="AF30" s="61">
        <f>SUM('22'!AF6:AF29)</f>
        <v>0</v>
      </c>
      <c r="AG30" s="60"/>
      <c r="AH30" s="61">
        <f>SUM('22'!AH6:AH29)</f>
        <v>0</v>
      </c>
      <c r="AI30" s="60"/>
      <c r="AJ30" s="61">
        <f>SUM('22'!AJ6:AJ29)</f>
        <v>2270</v>
      </c>
      <c r="AK30" s="62"/>
      <c r="AL30" s="63">
        <f>SUM('22'!AL6:AL29)</f>
        <v>0</v>
      </c>
      <c r="AM30" s="62"/>
      <c r="AN30" s="63">
        <f>SUM('22'!AN6:AN29)</f>
        <v>0</v>
      </c>
      <c r="AO30" s="62"/>
      <c r="AP30" s="63">
        <f>SUM('22'!AP6:AP29)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SUMIF('22'!AA6:AA29,"=1",'22'!Z6:Z29)</f>
        <v>33360</v>
      </c>
      <c r="AA32" s="132">
        <f>'22'!Z32*'22'!AS6</f>
        <v>44368.8</v>
      </c>
      <c r="AB32" s="139">
        <f>SUMIF('22'!$AA$6:$AA$29,"=1",'22'!$AB$6:$AB$29)/COUNTIF('22'!$AA$6:$AA$29,"=1")</f>
        <v>74.95773945</v>
      </c>
      <c r="AC32" s="140">
        <f>SUMIF('22'!AA6:AA29,"=1",'22'!AC6:AC29)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151</v>
      </c>
      <c r="Y33" s="80"/>
      <c r="Z33" s="132">
        <f>SUMIF('22'!AA6:AA29,"=2",'22'!Z6:Z29)</f>
        <v>0</v>
      </c>
      <c r="AA33" s="132">
        <f>'22'!Z33*'22'!AS7</f>
        <v>0</v>
      </c>
      <c r="AB33" s="139" t="str">
        <f>SUMIF('22'!$AA$6:$AA$29,"=2",'22'!$AB$6:$AB$29)/COUNTIF('22'!$AA$6:$AA$29,"=2")</f>
        <v>#DIV/0!</v>
      </c>
      <c r="AC33" s="145">
        <f>SUMIF('22'!AA6:AA29,"=2",'22'!AC6:AC29)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AVERAGE('22'!Y6:Y29)</f>
        <v>3426.125</v>
      </c>
      <c r="Z34" s="56">
        <f>AVERAGE('22'!Z6:Z29)</f>
        <v>1390</v>
      </c>
      <c r="AA34" s="152"/>
      <c r="AB34" s="152"/>
      <c r="AC34" s="153" t="str">
        <f>SUM('22'!AC6:AC29)/COUNTIF('22'!AC6:AC29,"&lt;&gt;0")</f>
        <v>#DIV/0!</v>
      </c>
      <c r="AD34" s="154" t="str">
        <f>SUM('22'!AD6:AD29)/COUNTIF('22'!AD6:AD29,"&lt;&gt;0")</f>
        <v>#DIV/0!</v>
      </c>
      <c r="AE34" s="133"/>
      <c r="AF34" s="153">
        <f>AVERAGE('22'!AF6:AF29)</f>
        <v>0</v>
      </c>
      <c r="AG34" s="153"/>
      <c r="AH34" s="153">
        <f>AVERAGE('22'!AH6:AH29)</f>
        <v>0</v>
      </c>
      <c r="AI34" s="153"/>
      <c r="AJ34" s="153">
        <f>'22'!AJ30/24</f>
        <v>94.58333333</v>
      </c>
      <c r="AK34" s="153"/>
      <c r="AL34" s="153">
        <f>AVERAGE('22'!AL6:AL29)</f>
        <v>0</v>
      </c>
      <c r="AM34" s="153"/>
      <c r="AN34" s="153">
        <f>AVERAGE('22'!AN6:AN29)</f>
        <v>0</v>
      </c>
      <c r="AO34" s="153"/>
      <c r="AP34" s="153">
        <f>AVERAGE('22'!AP6:AP29)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>
        <v>0.0</v>
      </c>
      <c r="Z36" s="164"/>
      <c r="AA36" s="165" t="s">
        <v>74</v>
      </c>
      <c r="AB36" s="163">
        <v>6.0</v>
      </c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54.2</v>
      </c>
      <c r="D37" s="76">
        <v>30.1</v>
      </c>
      <c r="E37" s="76">
        <v>24.1</v>
      </c>
      <c r="F37" s="76">
        <v>1.0</v>
      </c>
      <c r="G37" s="60">
        <v>0.1</v>
      </c>
      <c r="H37" s="60">
        <v>0.1</v>
      </c>
      <c r="I37" s="60">
        <v>0.1</v>
      </c>
      <c r="J37" s="60">
        <v>0.1</v>
      </c>
      <c r="K37" s="60">
        <v>0.0</v>
      </c>
      <c r="L37" s="52"/>
      <c r="M37" s="106"/>
      <c r="N37" s="157"/>
      <c r="O37" s="51"/>
      <c r="P37" s="51"/>
      <c r="Q37" s="51"/>
      <c r="R37" s="51"/>
      <c r="S37" s="51"/>
      <c r="T37" s="51"/>
      <c r="U37" s="365" t="str">
        <f>'22'!V12</f>
        <v/>
      </c>
      <c r="X37" s="169" t="s">
        <v>75</v>
      </c>
      <c r="Y37" s="128"/>
      <c r="Z37" s="170">
        <f>COUNTA('22'!Z6:Z29)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SUM('22'!AF30+'22'!AH30)</f>
        <v>0</v>
      </c>
      <c r="AL38" s="178" t="s">
        <v>78</v>
      </c>
      <c r="AM38" s="179">
        <f>SUM('22'!AL30+'22'!AN30)</f>
        <v>0</v>
      </c>
      <c r="AO38" s="178" t="s">
        <v>78</v>
      </c>
      <c r="AP38" s="180">
        <f>'22'!AJ30</f>
        <v>2270</v>
      </c>
      <c r="AQ38" s="178" t="s">
        <v>78</v>
      </c>
      <c r="AR38" s="179">
        <f>'22'!AP30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('22'!AK38/'22'!Y30)*1000</f>
        <v>0</v>
      </c>
      <c r="AL39" s="327" t="s">
        <v>86</v>
      </c>
      <c r="AM39" s="328">
        <f>('22'!AM38/'22'!Y30)*1000</f>
        <v>0</v>
      </c>
      <c r="AO39" s="325" t="s">
        <v>86</v>
      </c>
      <c r="AP39" s="326">
        <f>('22'!AP38/'22'!Y30)*1000</f>
        <v>7.668473318</v>
      </c>
      <c r="AQ39" s="327" t="s">
        <v>86</v>
      </c>
      <c r="AR39" s="328">
        <f>('22'!AR38/'22'!Y30)*1000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SUM('22'!AK38,'22'!AM38)</f>
        <v>0</v>
      </c>
      <c r="AM40" s="128"/>
      <c r="AO40" s="210" t="s">
        <v>90</v>
      </c>
      <c r="AP40" s="128"/>
      <c r="AQ40" s="211">
        <f>SUM(AP38,AR38)</f>
        <v>2270</v>
      </c>
      <c r="AR40" s="128"/>
    </row>
    <row r="41" ht="16.5" customHeight="1">
      <c r="A41" s="212">
        <f>COUNTA('22'!E7:E18)</f>
        <v>12</v>
      </c>
      <c r="B41" s="213">
        <f>COUNTA('22'!I7:I18)</f>
        <v>12</v>
      </c>
      <c r="C41" s="214">
        <f>COUNTA('22'!J7:J18)</f>
        <v>12</v>
      </c>
      <c r="D41" s="80"/>
      <c r="E41" s="214">
        <f>COUNTIF('22'!E7:E18,"&gt;15")</f>
        <v>0</v>
      </c>
      <c r="F41" s="80"/>
      <c r="G41" s="214">
        <f>COUNTIF('22'!J7:J18,"&gt;1")</f>
        <v>0</v>
      </c>
      <c r="H41" s="80"/>
      <c r="I41" s="215"/>
      <c r="J41" s="214">
        <f>'22'!A41-'22'!E41</f>
        <v>12</v>
      </c>
      <c r="K41" s="80"/>
      <c r="L41" s="214">
        <f>'22'!C41-'22'!G41</f>
        <v>12</v>
      </c>
      <c r="M41" s="80"/>
      <c r="N41" s="215"/>
      <c r="O41" s="216">
        <f>COUNTIF('22'!J7:J18,"&lt;=0,5")</f>
        <v>8</v>
      </c>
      <c r="P41" s="217"/>
      <c r="Q41" s="218"/>
      <c r="R41" s="219"/>
      <c r="S41" s="220">
        <f>COUNTIF('22'!J7:J18,"&lt;=1,0")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SUM(('22'!AK38+'22'!AM38)/'22'!Y30)*1000</f>
        <v>0</v>
      </c>
      <c r="AM41" s="128"/>
      <c r="AO41" s="210" t="s">
        <v>91</v>
      </c>
      <c r="AP41" s="128"/>
      <c r="AQ41" s="223">
        <f>SUM(('22'!AP38+'22'!AR38)/'22'!Y30)*1000</f>
        <v>7.668473318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>
        <v>42.0</v>
      </c>
      <c r="Z44" s="68" t="s">
        <v>101</v>
      </c>
      <c r="AA44" s="241">
        <v>0.0</v>
      </c>
      <c r="AB44" s="68" t="s">
        <v>101</v>
      </c>
      <c r="AC44" s="241">
        <v>141.0</v>
      </c>
      <c r="AD44" s="242"/>
      <c r="AE44" s="243"/>
      <c r="AF44" s="244" t="s">
        <v>102</v>
      </c>
      <c r="AG44" s="245">
        <f>SUM('22'!Y45,'22'!AA45,'22'!AC45,'22'!AE45)</f>
        <v>185738.3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COUNTIF('22'!I7:I18,"&lt;=5,0")</f>
        <v>12</v>
      </c>
      <c r="I45" s="127"/>
      <c r="J45" s="128"/>
      <c r="K45" s="215"/>
      <c r="L45" s="208">
        <f>COUNTA('22'!L37)</f>
        <v>0</v>
      </c>
      <c r="M45" s="128"/>
      <c r="O45" s="248"/>
      <c r="P45" s="249"/>
      <c r="Q45" s="250">
        <f>'22'!S41-'22'!O41</f>
        <v>4</v>
      </c>
      <c r="R45" s="251"/>
      <c r="S45" s="252"/>
      <c r="T45" s="253"/>
      <c r="X45" s="133" t="s">
        <v>104</v>
      </c>
      <c r="Y45" s="254">
        <f>'22'!Y44*275.3</f>
        <v>11562.6</v>
      </c>
      <c r="Z45" s="133" t="s">
        <v>104</v>
      </c>
      <c r="AA45" s="254">
        <f>262.4*'22'!AA44</f>
        <v>0</v>
      </c>
      <c r="AB45" s="133" t="s">
        <v>104</v>
      </c>
      <c r="AC45" s="254">
        <f>'22'!AC44*277.7</f>
        <v>39155.7</v>
      </c>
      <c r="AD45" s="133" t="s">
        <v>104</v>
      </c>
      <c r="AE45" s="255">
        <v>135020.0</v>
      </c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422"/>
      <c r="AP45" s="89"/>
      <c r="AQ45" s="237"/>
      <c r="AR45" s="238"/>
    </row>
    <row r="46" ht="15.0" customHeight="1">
      <c r="F46" s="257"/>
      <c r="X46" s="196" t="s">
        <v>105</v>
      </c>
      <c r="Y46" s="258">
        <f>'22'!AS6</f>
        <v>1.33</v>
      </c>
      <c r="Z46" s="196" t="s">
        <v>105</v>
      </c>
      <c r="AA46" s="258">
        <f>'22'!Y46</f>
        <v>1.33</v>
      </c>
      <c r="AB46" s="196" t="s">
        <v>105</v>
      </c>
      <c r="AC46" s="258">
        <f>'22'!Y46</f>
        <v>1.33</v>
      </c>
      <c r="AD46" s="196" t="s">
        <v>105</v>
      </c>
      <c r="AE46" s="259">
        <f>'22'!Y46</f>
        <v>1.33</v>
      </c>
      <c r="AF46" s="260" t="s">
        <v>106</v>
      </c>
      <c r="AG46" s="261">
        <f>SUM('22'!Y47,'22'!AA47,'22'!AC47,'22'!AE47)</f>
        <v>247031.939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P46" s="27"/>
      <c r="AQ46" s="244" t="s">
        <v>102</v>
      </c>
      <c r="AR46" s="245">
        <f>SUM('10'!AJ47,'10'!AL47,'10'!AN47,'10'!AP47)</f>
        <v>0</v>
      </c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'22'!Y45*'22'!Y46</f>
        <v>15378.258</v>
      </c>
      <c r="Z47" s="133" t="s">
        <v>108</v>
      </c>
      <c r="AA47" s="254">
        <f>'22'!AA45*'22'!AA46</f>
        <v>0</v>
      </c>
      <c r="AB47" s="133" t="s">
        <v>108</v>
      </c>
      <c r="AC47" s="254">
        <f>'22'!AC45*'22'!AC46</f>
        <v>52077.081</v>
      </c>
      <c r="AD47" s="133" t="s">
        <v>108</v>
      </c>
      <c r="AE47" s="254">
        <f>'22'!AE45*'22'!AE46</f>
        <v>179576.6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P47" s="27"/>
      <c r="AQ47" s="46"/>
      <c r="AR47" s="46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P48" s="27"/>
      <c r="AQ48" s="260" t="s">
        <v>106</v>
      </c>
      <c r="AR48" s="261">
        <f>SUM('10'!AJ49,'10'!AL49,'10'!AN49,'10'!AP49)</f>
        <v>0</v>
      </c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8"/>
      <c r="AQ49" s="46"/>
      <c r="AR49" s="46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COUNTA('22'!O7:O18)</f>
        <v>12</v>
      </c>
      <c r="P51" s="128"/>
      <c r="R51" s="247">
        <f>COUNTIF('22'!O7:O18,"&gt;=0,5")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SUM('22'!Y53,'22'!AA53,'22'!AC53,'22'!AE53)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422"/>
      <c r="AP52" s="89"/>
      <c r="AQ52" s="270"/>
      <c r="AR52" s="271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'22'!Y52*275.3</f>
        <v>0</v>
      </c>
      <c r="Z53" s="133" t="s">
        <v>104</v>
      </c>
      <c r="AA53" s="254">
        <f>262.4*'22'!AA52</f>
        <v>0</v>
      </c>
      <c r="AB53" s="133" t="s">
        <v>104</v>
      </c>
      <c r="AC53" s="276">
        <f>'22'!AC52*277.7</f>
        <v>0</v>
      </c>
      <c r="AD53" s="133" t="s">
        <v>104</v>
      </c>
      <c r="AE53" s="352">
        <v>0.0</v>
      </c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P53" s="27"/>
      <c r="AQ53" s="244" t="s">
        <v>102</v>
      </c>
      <c r="AR53" s="245">
        <f>'10'!AJ54+'10'!AL54+'10'!AN54+'10'!AP54</f>
        <v>0</v>
      </c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'22'!AS7</f>
        <v>1.374</v>
      </c>
      <c r="Z54" s="196" t="s">
        <v>105</v>
      </c>
      <c r="AA54" s="258">
        <f>'22'!Y54</f>
        <v>1.374</v>
      </c>
      <c r="AB54" s="196" t="s">
        <v>105</v>
      </c>
      <c r="AC54" s="258">
        <f>'22'!Y54</f>
        <v>1.374</v>
      </c>
      <c r="AD54" s="196" t="s">
        <v>105</v>
      </c>
      <c r="AE54" s="259">
        <f>'22'!Y54</f>
        <v>1.374</v>
      </c>
      <c r="AF54" s="260" t="s">
        <v>106</v>
      </c>
      <c r="AG54" s="261">
        <f>SUM('22'!Y55,'22'!AA55,'22'!AC55,'22'!AE55)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262.4*AL53</f>
        <v>0</v>
      </c>
      <c r="AM54" s="133" t="s">
        <v>104</v>
      </c>
      <c r="AN54" s="276">
        <f>AN53*277.7</f>
        <v>0</v>
      </c>
      <c r="AO54" s="43"/>
      <c r="AP54" s="27"/>
      <c r="AQ54" s="46"/>
      <c r="AR54" s="46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'22'!Y53*'22'!Y54</f>
        <v>0</v>
      </c>
      <c r="Z55" s="133" t="s">
        <v>108</v>
      </c>
      <c r="AA55" s="254">
        <f>'22'!AA53*'22'!AA54</f>
        <v>0</v>
      </c>
      <c r="AB55" s="133" t="s">
        <v>108</v>
      </c>
      <c r="AC55" s="254">
        <f>'22'!AC53*'22'!AC54</f>
        <v>0</v>
      </c>
      <c r="AD55" s="133" t="s">
        <v>108</v>
      </c>
      <c r="AE55" s="254">
        <f>'22'!AE53*'22'!AE54</f>
        <v>0</v>
      </c>
      <c r="AF55" s="46"/>
      <c r="AG55" s="46"/>
      <c r="AI55" s="196" t="s">
        <v>105</v>
      </c>
      <c r="AJ55" s="258">
        <f>Y54</f>
        <v>1.374</v>
      </c>
      <c r="AK55" s="196" t="s">
        <v>105</v>
      </c>
      <c r="AL55" s="258" t="str">
        <f>'10'!AJ55</f>
        <v/>
      </c>
      <c r="AM55" s="196" t="s">
        <v>105</v>
      </c>
      <c r="AN55" s="258">
        <f>AJ55</f>
        <v>1.374</v>
      </c>
      <c r="AO55" s="43"/>
      <c r="AP55" s="27"/>
      <c r="AQ55" s="260" t="s">
        <v>106</v>
      </c>
      <c r="AR55" s="261">
        <f>SUM('10'!AJ56,'10'!AL56,'10'!AN56,'10'!AP56)</f>
        <v>0</v>
      </c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AL54*AL55</f>
        <v>0</v>
      </c>
      <c r="AM56" s="133" t="s">
        <v>108</v>
      </c>
      <c r="AN56" s="254">
        <f>AN54*AN55</f>
        <v>0</v>
      </c>
      <c r="AO56" s="16"/>
      <c r="AP56" s="18"/>
      <c r="AQ56" s="46"/>
      <c r="AR56" s="46"/>
    </row>
    <row r="57" ht="15.75" customHeight="1">
      <c r="O57" s="169">
        <f>COUNTA('22'!N7:N18)</f>
        <v>12</v>
      </c>
      <c r="P57" s="128"/>
      <c r="R57" s="277">
        <f>COUNTIF('22'!N7:N18,"&gt;=6")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92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44368.8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-44368.8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'21'!$Y$68</f>
        <v>-4681.875</v>
      </c>
      <c r="Z65" s="43"/>
      <c r="AA65" s="27"/>
      <c r="AB65" s="299" t="s">
        <v>126</v>
      </c>
      <c r="AC65" s="330">
        <f>'21'!$AC$68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SUM('22'!AK38,'22'!AP38)</f>
        <v>2270</v>
      </c>
      <c r="Z67" s="43"/>
      <c r="AA67" s="27"/>
      <c r="AB67" s="296" t="s">
        <v>124</v>
      </c>
      <c r="AC67" s="254">
        <f>SUM('22'!AM38,'22'!AR38)</f>
        <v>0</v>
      </c>
    </row>
    <row r="68" ht="15.75" customHeight="1">
      <c r="X68" s="294" t="s">
        <v>128</v>
      </c>
      <c r="Y68" s="301">
        <f>SUM('22'!Y63,'22'!Y65)-'22'!Y67</f>
        <v>-6951.875</v>
      </c>
      <c r="Z68" s="16"/>
      <c r="AA68" s="18"/>
      <c r="AB68" s="296" t="s">
        <v>128</v>
      </c>
      <c r="AC68" s="302">
        <f>SUM('22'!AC63,'22'!AC65)-'22'!AC67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9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AO40:AP40"/>
    <mergeCell ref="AO41:AP41"/>
    <mergeCell ref="AI44:AR44"/>
    <mergeCell ref="X41:AG41"/>
    <mergeCell ref="X42:AG42"/>
    <mergeCell ref="E40:F40"/>
    <mergeCell ref="G40:H40"/>
    <mergeCell ref="X40:AG40"/>
    <mergeCell ref="AL40:AM40"/>
    <mergeCell ref="AQ40:AR40"/>
    <mergeCell ref="AL41:AM41"/>
    <mergeCell ref="AQ41:AR41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J40:K40"/>
    <mergeCell ref="L40:M40"/>
    <mergeCell ref="O39:Q40"/>
    <mergeCell ref="O41:Q41"/>
    <mergeCell ref="O42:T42"/>
    <mergeCell ref="Q43:S44"/>
    <mergeCell ref="X43:Y43"/>
    <mergeCell ref="Z43:AA43"/>
    <mergeCell ref="AB43:AC43"/>
    <mergeCell ref="AQ53:AQ54"/>
    <mergeCell ref="AR53:AR54"/>
    <mergeCell ref="AQ55:AQ56"/>
    <mergeCell ref="AR55:AR56"/>
    <mergeCell ref="AF54:AF55"/>
    <mergeCell ref="AG54:AG55"/>
    <mergeCell ref="O55:P56"/>
    <mergeCell ref="R55:T56"/>
    <mergeCell ref="O57:P57"/>
    <mergeCell ref="R57:T57"/>
    <mergeCell ref="X58:AC58"/>
    <mergeCell ref="AD52:AE52"/>
    <mergeCell ref="AF52:AF53"/>
    <mergeCell ref="AG52:AG53"/>
    <mergeCell ref="AI52:AJ52"/>
    <mergeCell ref="AK52:AL52"/>
    <mergeCell ref="AM52:AN52"/>
    <mergeCell ref="AO52:AP56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59:AR59"/>
    <mergeCell ref="AI60:AM60"/>
    <mergeCell ref="AN60:AR60"/>
    <mergeCell ref="AI61:AK61"/>
    <mergeCell ref="AL61:AM61"/>
    <mergeCell ref="AN61:AP61"/>
    <mergeCell ref="AQ61:AR61"/>
    <mergeCell ref="X62:Y62"/>
    <mergeCell ref="X66:Y66"/>
    <mergeCell ref="X59:AC59"/>
    <mergeCell ref="X60:Y60"/>
    <mergeCell ref="Z60:AA60"/>
    <mergeCell ref="AB60:AC60"/>
    <mergeCell ref="X61:AC61"/>
    <mergeCell ref="Z62:AA68"/>
    <mergeCell ref="AB62:AC62"/>
    <mergeCell ref="AB66:AC66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O45:AP49"/>
    <mergeCell ref="AQ46:AQ47"/>
    <mergeCell ref="AR46:AR47"/>
    <mergeCell ref="AQ48:AQ49"/>
    <mergeCell ref="AR48:AR49"/>
    <mergeCell ref="AI51:AR51"/>
    <mergeCell ref="AD43:AE43"/>
    <mergeCell ref="AD44:AE44"/>
    <mergeCell ref="AG44:AG45"/>
    <mergeCell ref="AI45:AJ45"/>
    <mergeCell ref="AK45:AL45"/>
    <mergeCell ref="AM45:AN45"/>
    <mergeCell ref="AG46:AG47"/>
    <mergeCell ref="Q45:S45"/>
    <mergeCell ref="O47:T48"/>
    <mergeCell ref="O49:P50"/>
    <mergeCell ref="R49:T50"/>
    <mergeCell ref="O51:P51"/>
    <mergeCell ref="R51:T51"/>
    <mergeCell ref="O53:T54"/>
    <mergeCell ref="AF44:AF45"/>
    <mergeCell ref="AF46:AF47"/>
    <mergeCell ref="X50:AG50"/>
    <mergeCell ref="X51:Y51"/>
    <mergeCell ref="Z51:AA51"/>
    <mergeCell ref="AB51:AC51"/>
    <mergeCell ref="AD51:AE51"/>
  </mergeCells>
  <conditionalFormatting sqref="O19: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8.57"/>
    <col customWidth="1" min="19" max="20" width="6.14"/>
    <col customWidth="1" min="21" max="21" width="8.71"/>
    <col customWidth="1" min="22" max="22" width="8.57"/>
    <col customWidth="1" min="23" max="23" width="8.14"/>
    <col customWidth="1" min="24" max="24" width="8.57"/>
    <col customWidth="1" min="25" max="25" width="8.14"/>
    <col customWidth="1" min="26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476" t="s">
        <v>13</v>
      </c>
      <c r="U4" s="47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U5" s="27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6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205"/>
      <c r="V6" s="16"/>
      <c r="W6" s="18"/>
      <c r="X6" s="54">
        <v>0.0416666666666667</v>
      </c>
      <c r="Y6" s="125">
        <v>3430.0</v>
      </c>
      <c r="Z6" s="308">
        <v>1390.0</v>
      </c>
      <c r="AA6" s="56">
        <v>1.0</v>
      </c>
      <c r="AB6" s="58">
        <f>IF('23'!AA6=1,(('23'!Z6*'23'!$AS$6*'23'!$AT$6)/('23'!Y6*0.0036)),IF('23'!AA6=2,(('23'!Z6*'23'!$AS$7*'23'!$AT$7)/('23'!Y6*0.0036))))</f>
        <v>75.42112083</v>
      </c>
      <c r="AC6" s="58"/>
      <c r="AD6" s="59">
        <f>(('23'!AC6*'23'!$Q$10*1000000))/('23'!Y6*3600)</f>
        <v>0</v>
      </c>
      <c r="AE6" s="60"/>
      <c r="AF6" s="61">
        <f>('23'!AE6/24)*0.454</f>
        <v>0</v>
      </c>
      <c r="AG6" s="60"/>
      <c r="AH6" s="61">
        <f>('23'!AG6/24)*0.454</f>
        <v>0</v>
      </c>
      <c r="AI6" s="308">
        <v>5000.0</v>
      </c>
      <c r="AJ6" s="61">
        <f>('23'!AI6/24)*0.454</f>
        <v>94.58333333</v>
      </c>
      <c r="AK6" s="62"/>
      <c r="AL6" s="63">
        <f>('23'!AK6/24)*0.454</f>
        <v>0</v>
      </c>
      <c r="AM6" s="62"/>
      <c r="AN6" s="63">
        <f>('23'!AM6/24)*0.454</f>
        <v>0</v>
      </c>
      <c r="AO6" s="62"/>
      <c r="AP6" s="63">
        <f>('23'!AO6/24)*0.454</f>
        <v>0</v>
      </c>
      <c r="AQ6" s="65">
        <v>1.0</v>
      </c>
      <c r="AR6" s="66" t="s">
        <v>48</v>
      </c>
      <c r="AS6" s="67">
        <v>1.34</v>
      </c>
      <c r="AT6" s="66">
        <v>0.5</v>
      </c>
      <c r="AU6" s="68">
        <v>0.0</v>
      </c>
    </row>
    <row r="7" ht="18.75" customHeight="1">
      <c r="A7" s="69">
        <v>0.0</v>
      </c>
      <c r="B7" s="76">
        <v>241.0</v>
      </c>
      <c r="C7" s="76">
        <v>13.0</v>
      </c>
      <c r="D7" s="76">
        <v>12.0</v>
      </c>
      <c r="E7" s="76">
        <v>5.0</v>
      </c>
      <c r="F7" s="76">
        <v>92.0</v>
      </c>
      <c r="G7" s="76">
        <v>2.2</v>
      </c>
      <c r="H7" s="76">
        <v>1.3</v>
      </c>
      <c r="I7" s="76">
        <v>0.6</v>
      </c>
      <c r="J7" s="76">
        <v>0.7</v>
      </c>
      <c r="K7" s="76">
        <v>6.9</v>
      </c>
      <c r="L7" s="76">
        <v>6.4</v>
      </c>
      <c r="M7" s="76">
        <v>6.4</v>
      </c>
      <c r="N7" s="76">
        <v>6.0</v>
      </c>
      <c r="O7" s="76">
        <v>3.6</v>
      </c>
      <c r="P7" s="76"/>
      <c r="Q7" s="310"/>
      <c r="R7" s="77">
        <f>'22'!Z29</f>
        <v>1390</v>
      </c>
      <c r="S7" s="309">
        <f>'22'!$AB$29</f>
        <v>74.59729485</v>
      </c>
      <c r="T7" s="77">
        <f>'22'!$Y$29</f>
        <v>3442</v>
      </c>
      <c r="U7" s="73" t="str">
        <f>IF('23'!AA6=1,'23'!AR6,'23'!AR7)</f>
        <v>S.A.L</v>
      </c>
      <c r="V7" s="74" t="str">
        <f>ESCALA!$C$24</f>
        <v/>
      </c>
      <c r="W7" s="12"/>
      <c r="X7" s="54">
        <v>0.0833333333333333</v>
      </c>
      <c r="Y7" s="125">
        <v>3436.0</v>
      </c>
      <c r="Z7" s="308">
        <v>1390.0</v>
      </c>
      <c r="AA7" s="56">
        <v>1.0</v>
      </c>
      <c r="AB7" s="58">
        <f>IF('23'!AA7=1,(('23'!Z7*'23'!$AS$6*'23'!$AT$6)/('23'!Y7*0.0036)),IF('23'!AA7=2,(('23'!Z7*'23'!$AS$7*'23'!$AT$7)/('23'!Y7*0.0036))))</f>
        <v>75.28941922</v>
      </c>
      <c r="AC7" s="58"/>
      <c r="AD7" s="59">
        <f>(('23'!AC7*'23'!$Q$10*1000000))/('23'!Y7*3600)</f>
        <v>0</v>
      </c>
      <c r="AE7" s="60"/>
      <c r="AF7" s="61">
        <f>('23'!AE7/24)*0.454</f>
        <v>0</v>
      </c>
      <c r="AG7" s="60"/>
      <c r="AH7" s="61">
        <f>('23'!AG7/24)*0.454</f>
        <v>0</v>
      </c>
      <c r="AI7" s="308">
        <v>5000.0</v>
      </c>
      <c r="AJ7" s="61">
        <f>('23'!AI7/24)*0.454</f>
        <v>94.58333333</v>
      </c>
      <c r="AK7" s="62"/>
      <c r="AL7" s="63">
        <f>('23'!AK7/24)*0.454</f>
        <v>0</v>
      </c>
      <c r="AM7" s="62"/>
      <c r="AN7" s="63">
        <f>('23'!AM7/24)*0.454</f>
        <v>0</v>
      </c>
      <c r="AO7" s="62"/>
      <c r="AP7" s="63">
        <f>('23'!AO7/24)*0.454</f>
        <v>0</v>
      </c>
      <c r="AQ7" s="65">
        <v>2.0</v>
      </c>
      <c r="AR7" s="66" t="s">
        <v>49</v>
      </c>
      <c r="AS7" s="67">
        <v>1.33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235.0</v>
      </c>
      <c r="C8" s="76">
        <v>13.0</v>
      </c>
      <c r="D8" s="76">
        <v>12.0</v>
      </c>
      <c r="E8" s="76">
        <v>5.0</v>
      </c>
      <c r="F8" s="76">
        <v>87.0</v>
      </c>
      <c r="G8" s="76">
        <v>2.2</v>
      </c>
      <c r="H8" s="76">
        <v>1.4</v>
      </c>
      <c r="I8" s="76">
        <v>0.6</v>
      </c>
      <c r="J8" s="76">
        <v>0.7</v>
      </c>
      <c r="K8" s="76">
        <v>6.9</v>
      </c>
      <c r="L8" s="76">
        <v>6.4</v>
      </c>
      <c r="M8" s="76">
        <v>6.4</v>
      </c>
      <c r="N8" s="76">
        <v>6.0</v>
      </c>
      <c r="O8" s="76">
        <v>3.6</v>
      </c>
      <c r="P8" s="76"/>
      <c r="Q8" s="310"/>
      <c r="R8" s="75">
        <f>'23'!Z7</f>
        <v>1390</v>
      </c>
      <c r="S8" s="76">
        <f>'23'!AB7</f>
        <v>75.28941922</v>
      </c>
      <c r="T8" s="77">
        <f>'23'!Y7</f>
        <v>3436</v>
      </c>
      <c r="U8" s="73" t="str">
        <f>IF('23'!AA7=1,'23'!AR6,'23'!AR7)</f>
        <v>S.A.L</v>
      </c>
      <c r="V8" s="43"/>
      <c r="W8" s="27"/>
      <c r="X8" s="54">
        <v>0.125</v>
      </c>
      <c r="Y8" s="125">
        <v>3432.0</v>
      </c>
      <c r="Z8" s="308">
        <v>1390.0</v>
      </c>
      <c r="AA8" s="56">
        <v>1.0</v>
      </c>
      <c r="AB8" s="58">
        <f>IF('23'!AA8=1,(('23'!Z8*'23'!$AS$6*'23'!$AT$6)/('23'!Y8*0.0036)),IF('23'!AA8=2,(('23'!Z8*'23'!$AS$7*'23'!$AT$7)/('23'!Y8*0.0036))))</f>
        <v>75.37716913</v>
      </c>
      <c r="AC8" s="58"/>
      <c r="AD8" s="59">
        <f>(('23'!AC8*'23'!$Q$10*1000000))/('23'!Y8*3600)</f>
        <v>0</v>
      </c>
      <c r="AE8" s="60"/>
      <c r="AF8" s="61">
        <f>('23'!AE8/24)*0.454</f>
        <v>0</v>
      </c>
      <c r="AG8" s="60"/>
      <c r="AH8" s="61">
        <f>('23'!AG8/24)*0.454</f>
        <v>0</v>
      </c>
      <c r="AI8" s="308">
        <v>5000.0</v>
      </c>
      <c r="AJ8" s="61">
        <f>('23'!AI8/24)*0.454</f>
        <v>94.58333333</v>
      </c>
      <c r="AK8" s="62"/>
      <c r="AL8" s="63">
        <f>('23'!AK8/24)*0.454</f>
        <v>0</v>
      </c>
      <c r="AM8" s="62"/>
      <c r="AN8" s="63">
        <f>('23'!AM8/24)*0.454</f>
        <v>0</v>
      </c>
      <c r="AO8" s="62"/>
      <c r="AP8" s="63">
        <f>('23'!AO8/24)*0.454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230.0</v>
      </c>
      <c r="C9" s="76">
        <v>13.0</v>
      </c>
      <c r="D9" s="76">
        <v>12.0</v>
      </c>
      <c r="E9" s="76">
        <v>4.0</v>
      </c>
      <c r="F9" s="76">
        <v>83.0</v>
      </c>
      <c r="G9" s="76">
        <v>2.2</v>
      </c>
      <c r="H9" s="76">
        <v>1.4</v>
      </c>
      <c r="I9" s="76">
        <v>0.6</v>
      </c>
      <c r="J9" s="76">
        <v>0.6</v>
      </c>
      <c r="K9" s="76">
        <v>6.9</v>
      </c>
      <c r="L9" s="76">
        <v>6.4</v>
      </c>
      <c r="M9" s="76">
        <v>6.4</v>
      </c>
      <c r="N9" s="76">
        <v>6.0</v>
      </c>
      <c r="O9" s="76">
        <v>3.6</v>
      </c>
      <c r="P9" s="76"/>
      <c r="Q9" s="310"/>
      <c r="R9" s="77">
        <f>'23'!Z9</f>
        <v>1390</v>
      </c>
      <c r="S9" s="76">
        <f>'23'!AB9</f>
        <v>75.73022378</v>
      </c>
      <c r="T9" s="77">
        <f>'23'!Y9</f>
        <v>3416</v>
      </c>
      <c r="U9" s="73" t="str">
        <f>IF('23'!AA9=1,'23'!AR6,'23'!AR7)</f>
        <v>S.A.L</v>
      </c>
      <c r="V9" s="43"/>
      <c r="W9" s="27"/>
      <c r="X9" s="54">
        <v>0.166666666666667</v>
      </c>
      <c r="Y9" s="125">
        <v>3416.0</v>
      </c>
      <c r="Z9" s="308">
        <v>1390.0</v>
      </c>
      <c r="AA9" s="56">
        <v>1.0</v>
      </c>
      <c r="AB9" s="58">
        <f>IF('23'!AA9=1,(('23'!Z9*'23'!$AS$6*'23'!$AT$6)/('23'!Y9*0.0036)),IF('23'!AA9=2,(('23'!Z9*'23'!$AS$7*'23'!$AT$7)/('23'!Y9*0.0036))))</f>
        <v>75.73022378</v>
      </c>
      <c r="AC9" s="58"/>
      <c r="AD9" s="59">
        <f>(('23'!AC9*'23'!$Q$10*1000000))/('23'!Y9*3600)</f>
        <v>0</v>
      </c>
      <c r="AE9" s="60"/>
      <c r="AF9" s="61">
        <f>('23'!AE9/24)*0.454</f>
        <v>0</v>
      </c>
      <c r="AG9" s="60"/>
      <c r="AH9" s="61">
        <f>('23'!AG9/24)*0.454</f>
        <v>0</v>
      </c>
      <c r="AI9" s="308">
        <v>5000.0</v>
      </c>
      <c r="AJ9" s="61">
        <f>('23'!AI9/24)*0.454</f>
        <v>94.58333333</v>
      </c>
      <c r="AK9" s="62"/>
      <c r="AL9" s="63">
        <f>('23'!AK9/24)*0.454</f>
        <v>0</v>
      </c>
      <c r="AM9" s="62"/>
      <c r="AN9" s="63">
        <f>('23'!AM9/24)*0.454</f>
        <v>0</v>
      </c>
      <c r="AO9" s="62"/>
      <c r="AP9" s="63">
        <f>('23'!AO9/24)*0.454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228.0</v>
      </c>
      <c r="C10" s="76">
        <v>13.0</v>
      </c>
      <c r="D10" s="76">
        <v>12.0</v>
      </c>
      <c r="E10" s="76">
        <v>4.0</v>
      </c>
      <c r="F10" s="76">
        <v>80.0</v>
      </c>
      <c r="G10" s="76">
        <v>2.2</v>
      </c>
      <c r="H10" s="76">
        <v>1.4</v>
      </c>
      <c r="I10" s="76">
        <v>0.6</v>
      </c>
      <c r="J10" s="76">
        <v>0.6</v>
      </c>
      <c r="K10" s="76">
        <v>6.9</v>
      </c>
      <c r="L10" s="76">
        <v>6.4</v>
      </c>
      <c r="M10" s="76">
        <v>6.4</v>
      </c>
      <c r="N10" s="76">
        <v>6.0</v>
      </c>
      <c r="O10" s="76">
        <v>3.6</v>
      </c>
      <c r="P10" s="76"/>
      <c r="Q10" s="310"/>
      <c r="R10" s="77">
        <f>'23'!Z11</f>
        <v>1390</v>
      </c>
      <c r="S10" s="76">
        <f>'23'!AB11</f>
        <v>75.26751366</v>
      </c>
      <c r="T10" s="77">
        <f>'23'!Y11</f>
        <v>3437</v>
      </c>
      <c r="U10" s="73" t="str">
        <f>IF('23'!AA11=1,'23'!AR6,'23'!AR7)</f>
        <v>S.A.L</v>
      </c>
      <c r="V10" s="43"/>
      <c r="W10" s="27"/>
      <c r="X10" s="54">
        <v>0.208333333333333</v>
      </c>
      <c r="Y10" s="125">
        <v>3441.0</v>
      </c>
      <c r="Z10" s="308">
        <v>1390.0</v>
      </c>
      <c r="AA10" s="56">
        <v>1.0</v>
      </c>
      <c r="AB10" s="58">
        <f>IF('23'!AA10=1,(('23'!Z10*'23'!$AS$6*'23'!$AT$6)/('23'!Y10*0.0036)),IF('23'!AA10=2,(('23'!Z10*'23'!$AS$7*'23'!$AT$7)/('23'!Y10*0.0036))))</f>
        <v>75.18001873</v>
      </c>
      <c r="AC10" s="58"/>
      <c r="AD10" s="59">
        <f>(('23'!AC10*'23'!$Q$10*1000000))/('23'!Y10*3600)</f>
        <v>0</v>
      </c>
      <c r="AE10" s="60"/>
      <c r="AF10" s="61">
        <f>('23'!AE10/24)*0.454</f>
        <v>0</v>
      </c>
      <c r="AG10" s="60"/>
      <c r="AH10" s="61">
        <f>('23'!AG10/24)*0.454</f>
        <v>0</v>
      </c>
      <c r="AI10" s="308">
        <v>5000.0</v>
      </c>
      <c r="AJ10" s="61">
        <f>('23'!AI10/24)*0.454</f>
        <v>94.58333333</v>
      </c>
      <c r="AK10" s="62"/>
      <c r="AL10" s="63">
        <f>('23'!AK10/24)*0.454</f>
        <v>0</v>
      </c>
      <c r="AM10" s="62"/>
      <c r="AN10" s="63">
        <f>('23'!AM10/24)*0.454</f>
        <v>0</v>
      </c>
      <c r="AO10" s="62"/>
      <c r="AP10" s="63">
        <f>('23'!AO10/24)*0.454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219.0</v>
      </c>
      <c r="C11" s="76">
        <v>16.0</v>
      </c>
      <c r="D11" s="76">
        <v>15.0</v>
      </c>
      <c r="E11" s="76">
        <v>5.0</v>
      </c>
      <c r="F11" s="76">
        <v>77.0</v>
      </c>
      <c r="G11" s="76">
        <v>2.2</v>
      </c>
      <c r="H11" s="76">
        <v>1.4</v>
      </c>
      <c r="I11" s="76">
        <v>0.6</v>
      </c>
      <c r="J11" s="76">
        <v>0.6</v>
      </c>
      <c r="K11" s="76">
        <v>6.9</v>
      </c>
      <c r="L11" s="76">
        <v>6.4</v>
      </c>
      <c r="M11" s="76">
        <v>6.4</v>
      </c>
      <c r="N11" s="76">
        <v>6.0</v>
      </c>
      <c r="O11" s="76">
        <v>3.6</v>
      </c>
      <c r="P11" s="76"/>
      <c r="Q11" s="310"/>
      <c r="R11" s="77">
        <f>'23'!Z13</f>
        <v>1390</v>
      </c>
      <c r="S11" s="76">
        <f>'23'!AB13</f>
        <v>74.85371656</v>
      </c>
      <c r="T11" s="77">
        <f>'23'!Y13</f>
        <v>3456</v>
      </c>
      <c r="U11" s="73" t="str">
        <f>IF('23'!AA13=1,'23'!AR6,'23'!AR7)</f>
        <v>S.A.L</v>
      </c>
      <c r="V11" s="16"/>
      <c r="W11" s="18"/>
      <c r="X11" s="54">
        <v>0.25</v>
      </c>
      <c r="Y11" s="125">
        <v>3437.0</v>
      </c>
      <c r="Z11" s="308">
        <v>1390.0</v>
      </c>
      <c r="AA11" s="56">
        <v>1.0</v>
      </c>
      <c r="AB11" s="58">
        <f>IF('23'!AA11=1,(('23'!Z11*'23'!$AS$6*'23'!$AT$6)/('23'!Y11*0.0036)),IF('23'!AA11=2,(('23'!Z11*'23'!$AS$7*'23'!$AT$7)/('23'!Y11*0.0036))))</f>
        <v>75.26751366</v>
      </c>
      <c r="AC11" s="58"/>
      <c r="AD11" s="59">
        <f>(('23'!AC11*'23'!$Q$10*1000000))/('23'!Y11*3600)</f>
        <v>0</v>
      </c>
      <c r="AE11" s="60"/>
      <c r="AF11" s="61">
        <f>('23'!AE11/24)*0.454</f>
        <v>0</v>
      </c>
      <c r="AG11" s="60"/>
      <c r="AH11" s="61">
        <f>('23'!AG11/24)*0.454</f>
        <v>0</v>
      </c>
      <c r="AI11" s="308">
        <v>5000.0</v>
      </c>
      <c r="AJ11" s="61">
        <f>('23'!AI11/24)*0.454</f>
        <v>94.58333333</v>
      </c>
      <c r="AK11" s="62"/>
      <c r="AL11" s="63">
        <f>('23'!AK11/24)*0.454</f>
        <v>0</v>
      </c>
      <c r="AM11" s="62"/>
      <c r="AN11" s="63">
        <f>('23'!AM11/24)*0.454</f>
        <v>0</v>
      </c>
      <c r="AO11" s="62"/>
      <c r="AP11" s="63">
        <f>('23'!AO11/24)*0.454</f>
        <v>0</v>
      </c>
    </row>
    <row r="12" ht="18.75" customHeight="1">
      <c r="A12" s="69">
        <v>0.416666666666667</v>
      </c>
      <c r="B12" s="76">
        <v>216.0</v>
      </c>
      <c r="C12" s="76">
        <v>19.0</v>
      </c>
      <c r="D12" s="76">
        <v>16.0</v>
      </c>
      <c r="E12" s="76">
        <v>5.0</v>
      </c>
      <c r="F12" s="76">
        <v>75.0</v>
      </c>
      <c r="G12" s="76">
        <v>2.4</v>
      </c>
      <c r="H12" s="76">
        <v>1.5</v>
      </c>
      <c r="I12" s="76">
        <v>0.6</v>
      </c>
      <c r="J12" s="76">
        <v>0.8</v>
      </c>
      <c r="K12" s="76">
        <v>6.9</v>
      </c>
      <c r="L12" s="76">
        <v>6.4</v>
      </c>
      <c r="M12" s="76">
        <v>6.4</v>
      </c>
      <c r="N12" s="76">
        <v>6.0</v>
      </c>
      <c r="O12" s="76">
        <v>3.6</v>
      </c>
      <c r="P12" s="76"/>
      <c r="Q12" s="310"/>
      <c r="R12" s="77">
        <f>'23'!Z15</f>
        <v>1390</v>
      </c>
      <c r="S12" s="76">
        <f>'23'!AB15</f>
        <v>75.95256736</v>
      </c>
      <c r="T12" s="77">
        <f>'23'!Y15</f>
        <v>3406</v>
      </c>
      <c r="U12" s="73" t="str">
        <f>IF('23'!AA15=1,'23'!AR6,'23'!AR7)</f>
        <v>S.A.L</v>
      </c>
      <c r="V12" s="88" t="str">
        <f>ESCALA!$B$25</f>
        <v/>
      </c>
      <c r="W12" s="89"/>
      <c r="X12" s="54">
        <v>0.291666666666667</v>
      </c>
      <c r="Y12" s="125">
        <v>3516.0</v>
      </c>
      <c r="Z12" s="308">
        <v>1390.0</v>
      </c>
      <c r="AA12" s="56">
        <v>1.0</v>
      </c>
      <c r="AB12" s="58">
        <f>IF('23'!AA12=1,(('23'!Z12*'23'!$AS$6*'23'!$AT$6)/('23'!Y12*0.0036)),IF('23'!AA12=2,(('23'!Z12*'23'!$AS$7*'23'!$AT$7)/('23'!Y12*0.0036))))</f>
        <v>73.57634939</v>
      </c>
      <c r="AC12" s="58"/>
      <c r="AD12" s="59">
        <f>(('23'!AC12*'23'!$Q$10*1000000))/('23'!Y12*3600)</f>
        <v>0</v>
      </c>
      <c r="AE12" s="60"/>
      <c r="AF12" s="61">
        <f>('23'!AE12/24)*0.454</f>
        <v>0</v>
      </c>
      <c r="AG12" s="60"/>
      <c r="AH12" s="61">
        <f>('23'!AG12/24)*0.454</f>
        <v>0</v>
      </c>
      <c r="AI12" s="308">
        <v>5000.0</v>
      </c>
      <c r="AJ12" s="61">
        <f>('23'!AI12/24)*0.454</f>
        <v>94.58333333</v>
      </c>
      <c r="AK12" s="62"/>
      <c r="AL12" s="63">
        <f>('23'!AK12/24)*0.454</f>
        <v>0</v>
      </c>
      <c r="AM12" s="62"/>
      <c r="AN12" s="63">
        <f>('23'!AM12/24)*0.454</f>
        <v>0</v>
      </c>
      <c r="AO12" s="62"/>
      <c r="AP12" s="63">
        <f>('23'!AO12/24)*0.454</f>
        <v>0</v>
      </c>
    </row>
    <row r="13" ht="18.75" customHeight="1">
      <c r="A13" s="69">
        <v>0.5</v>
      </c>
      <c r="B13" s="76">
        <v>218.0</v>
      </c>
      <c r="C13" s="76">
        <v>19.0</v>
      </c>
      <c r="D13" s="76">
        <v>18.0</v>
      </c>
      <c r="E13" s="76">
        <v>6.0</v>
      </c>
      <c r="F13" s="76">
        <v>77.0</v>
      </c>
      <c r="G13" s="76">
        <v>2.6</v>
      </c>
      <c r="H13" s="76">
        <v>1.6</v>
      </c>
      <c r="I13" s="76">
        <v>0.6</v>
      </c>
      <c r="J13" s="76">
        <v>0.8</v>
      </c>
      <c r="K13" s="76">
        <v>6.9</v>
      </c>
      <c r="L13" s="76">
        <v>6.4</v>
      </c>
      <c r="M13" s="76">
        <v>6.4</v>
      </c>
      <c r="N13" s="76">
        <v>6.0</v>
      </c>
      <c r="O13" s="76">
        <v>3.6</v>
      </c>
      <c r="P13" s="76"/>
      <c r="Q13" s="310"/>
      <c r="R13" s="77">
        <f>'23'!Z17</f>
        <v>1390</v>
      </c>
      <c r="S13" s="76">
        <f>'23'!AB17</f>
        <v>76.90084555</v>
      </c>
      <c r="T13" s="77">
        <f>'23'!Y17</f>
        <v>3364</v>
      </c>
      <c r="U13" s="73" t="str">
        <f>IF('23'!AA17=1,'23'!AR6,'23'!AR7)</f>
        <v>S.A.L</v>
      </c>
      <c r="V13" s="43"/>
      <c r="W13" s="27"/>
      <c r="X13" s="54">
        <v>0.333333333333333</v>
      </c>
      <c r="Y13" s="125">
        <v>3456.0</v>
      </c>
      <c r="Z13" s="308">
        <v>1390.0</v>
      </c>
      <c r="AA13" s="56">
        <v>1.0</v>
      </c>
      <c r="AB13" s="58">
        <f>IF('23'!AA13=1,(('23'!Z13*'23'!$AS$6*'23'!$AT$6)/('23'!Y13*0.0036)),IF('23'!AA13=2,(('23'!Z13*'23'!$AS$7*'23'!$AT$7)/('23'!Y13*0.0036))))</f>
        <v>74.85371656</v>
      </c>
      <c r="AC13" s="58"/>
      <c r="AD13" s="59">
        <f>(('23'!AC13*'23'!$Q$10*1000000))/('23'!Y13*3600)</f>
        <v>0</v>
      </c>
      <c r="AE13" s="60"/>
      <c r="AF13" s="61">
        <f>('23'!AE13/24)*0.454</f>
        <v>0</v>
      </c>
      <c r="AG13" s="60"/>
      <c r="AH13" s="61">
        <f>('23'!AG13/24)*0.454</f>
        <v>0</v>
      </c>
      <c r="AI13" s="308">
        <v>5000.0</v>
      </c>
      <c r="AJ13" s="61">
        <f>('23'!AI13/24)*0.454</f>
        <v>94.58333333</v>
      </c>
      <c r="AK13" s="62"/>
      <c r="AL13" s="63">
        <f>('23'!AK13/24)*0.454</f>
        <v>0</v>
      </c>
      <c r="AM13" s="62"/>
      <c r="AN13" s="63">
        <f>('23'!AM13/24)*0.454</f>
        <v>0</v>
      </c>
      <c r="AO13" s="62"/>
      <c r="AP13" s="63">
        <f>('23'!AO13/24)*0.454</f>
        <v>0</v>
      </c>
    </row>
    <row r="14" ht="18.75" customHeight="1">
      <c r="A14" s="69">
        <v>0.583333333333333</v>
      </c>
      <c r="B14" s="76">
        <v>224.0</v>
      </c>
      <c r="C14" s="76">
        <v>21.0</v>
      </c>
      <c r="D14" s="76">
        <v>19.0</v>
      </c>
      <c r="E14" s="76">
        <v>5.0</v>
      </c>
      <c r="F14" s="76">
        <v>79.0</v>
      </c>
      <c r="G14" s="76">
        <v>2.8</v>
      </c>
      <c r="H14" s="76">
        <v>1.8</v>
      </c>
      <c r="I14" s="76">
        <v>0.6</v>
      </c>
      <c r="J14" s="76"/>
      <c r="K14" s="76">
        <v>6.9</v>
      </c>
      <c r="L14" s="76">
        <v>6.4</v>
      </c>
      <c r="M14" s="76">
        <v>6.4</v>
      </c>
      <c r="N14" s="76">
        <v>6.0</v>
      </c>
      <c r="O14" s="76">
        <v>3.6</v>
      </c>
      <c r="P14" s="76"/>
      <c r="Q14" s="310"/>
      <c r="R14" s="77">
        <f>'23'!Z19</f>
        <v>1390</v>
      </c>
      <c r="S14" s="76">
        <f>'23'!AB19</f>
        <v>76.51418055</v>
      </c>
      <c r="T14" s="77">
        <f>'23'!Y19</f>
        <v>3381</v>
      </c>
      <c r="U14" s="73" t="str">
        <f>IF('23'!AA19=1,'23'!AR6,'23'!AR7)</f>
        <v>S.A.L</v>
      </c>
      <c r="V14" s="43"/>
      <c r="W14" s="27"/>
      <c r="X14" s="54">
        <v>0.375</v>
      </c>
      <c r="Y14" s="125">
        <v>3416.0</v>
      </c>
      <c r="Z14" s="308">
        <v>1390.0</v>
      </c>
      <c r="AA14" s="56">
        <v>1.0</v>
      </c>
      <c r="AB14" s="58">
        <f>IF('23'!AA14=1,(('23'!Z14*'23'!$AS$6*'23'!$AT$6)/('23'!Y14*0.0036)),IF('23'!AA14=2,(('23'!Z14*'23'!$AS$7*'23'!$AT$7)/('23'!Y14*0.0036))))</f>
        <v>75.73022378</v>
      </c>
      <c r="AC14" s="58"/>
      <c r="AD14" s="59">
        <f>(('23'!AC14*'23'!$Q$10*1000000))/('23'!Y14*3600)</f>
        <v>0</v>
      </c>
      <c r="AE14" s="60"/>
      <c r="AF14" s="61">
        <f>('23'!AE14/24)*0.454</f>
        <v>0</v>
      </c>
      <c r="AG14" s="60"/>
      <c r="AH14" s="61">
        <f>('23'!AG14/24)*0.454</f>
        <v>0</v>
      </c>
      <c r="AI14" s="308">
        <v>5000.0</v>
      </c>
      <c r="AJ14" s="61">
        <f>('23'!AI14/24)*0.454</f>
        <v>94.58333333</v>
      </c>
      <c r="AK14" s="62"/>
      <c r="AL14" s="63">
        <f>('23'!AK14/24)*0.454</f>
        <v>0</v>
      </c>
      <c r="AM14" s="62"/>
      <c r="AN14" s="63">
        <f>('23'!AM14/24)*0.454</f>
        <v>0</v>
      </c>
      <c r="AO14" s="62"/>
      <c r="AP14" s="63">
        <f>('23'!AO14/24)*0.454</f>
        <v>0</v>
      </c>
    </row>
    <row r="15" ht="18.75" customHeight="1">
      <c r="A15" s="69">
        <v>0.666666666666667</v>
      </c>
      <c r="B15" s="76">
        <v>232.0</v>
      </c>
      <c r="C15" s="76">
        <v>22.0</v>
      </c>
      <c r="D15" s="76">
        <v>18.0</v>
      </c>
      <c r="E15" s="76">
        <v>4.0</v>
      </c>
      <c r="F15" s="76">
        <v>83.0</v>
      </c>
      <c r="G15" s="76">
        <v>2.7</v>
      </c>
      <c r="H15" s="76">
        <v>1.8</v>
      </c>
      <c r="I15" s="76">
        <v>0.5</v>
      </c>
      <c r="J15" s="76">
        <v>0.6</v>
      </c>
      <c r="K15" s="76">
        <v>6.9</v>
      </c>
      <c r="L15" s="76">
        <v>6.4</v>
      </c>
      <c r="M15" s="76">
        <v>6.4</v>
      </c>
      <c r="N15" s="76">
        <v>6.0</v>
      </c>
      <c r="O15" s="76">
        <v>3.6</v>
      </c>
      <c r="P15" s="76"/>
      <c r="Q15" s="310"/>
      <c r="R15" s="77">
        <f>'23'!Z21</f>
        <v>1390</v>
      </c>
      <c r="S15" s="76">
        <f>'23'!AB21</f>
        <v>75.75239954</v>
      </c>
      <c r="T15" s="77">
        <f>'23'!Y21</f>
        <v>3415</v>
      </c>
      <c r="U15" s="73" t="str">
        <f>IF('23'!AA21=1,'23'!AR6,'23'!AR7)</f>
        <v>S.A.L</v>
      </c>
      <c r="V15" s="43"/>
      <c r="W15" s="27"/>
      <c r="X15" s="54">
        <v>0.416666666666667</v>
      </c>
      <c r="Y15" s="125">
        <v>3406.0</v>
      </c>
      <c r="Z15" s="308">
        <v>1390.0</v>
      </c>
      <c r="AA15" s="56">
        <v>1.0</v>
      </c>
      <c r="AB15" s="58">
        <f>IF('23'!AA15=1,(('23'!Z15*'23'!$AS$6*'23'!$AT$6)/('23'!Y15*0.0036)),IF('23'!AA15=2,(('23'!Z15*'23'!$AS$7*'23'!$AT$7)/('23'!Y15*0.0036))))</f>
        <v>75.95256736</v>
      </c>
      <c r="AC15" s="58"/>
      <c r="AD15" s="59">
        <f>(('23'!AC15*'23'!$Q$10*1000000))/('23'!Y15*3600)</f>
        <v>0</v>
      </c>
      <c r="AE15" s="60"/>
      <c r="AF15" s="61">
        <f>('23'!AE15/24)*0.454</f>
        <v>0</v>
      </c>
      <c r="AG15" s="60"/>
      <c r="AH15" s="61">
        <f>('23'!AG15/24)*0.454</f>
        <v>0</v>
      </c>
      <c r="AI15" s="308">
        <v>5000.0</v>
      </c>
      <c r="AJ15" s="61">
        <f>('23'!AI15/24)*0.454</f>
        <v>94.58333333</v>
      </c>
      <c r="AK15" s="62"/>
      <c r="AL15" s="63">
        <f>('23'!AK15/24)*0.454</f>
        <v>0</v>
      </c>
      <c r="AM15" s="62"/>
      <c r="AN15" s="63">
        <f>('23'!AM15/24)*0.454</f>
        <v>0</v>
      </c>
      <c r="AO15" s="62"/>
      <c r="AP15" s="63">
        <f>('23'!AO15/24)*0.454</f>
        <v>0</v>
      </c>
    </row>
    <row r="16" ht="18.75" customHeight="1">
      <c r="A16" s="69">
        <v>0.75</v>
      </c>
      <c r="B16" s="76">
        <v>233.0</v>
      </c>
      <c r="C16" s="76">
        <v>22.0</v>
      </c>
      <c r="D16" s="76">
        <v>19.0</v>
      </c>
      <c r="E16" s="76">
        <v>4.0</v>
      </c>
      <c r="F16" s="76">
        <v>87.0</v>
      </c>
      <c r="G16" s="76">
        <v>2.7</v>
      </c>
      <c r="H16" s="76">
        <v>1.7</v>
      </c>
      <c r="I16" s="76">
        <v>0.4</v>
      </c>
      <c r="J16" s="76">
        <v>0.6</v>
      </c>
      <c r="K16" s="76">
        <v>6.9</v>
      </c>
      <c r="L16" s="76">
        <v>6.4</v>
      </c>
      <c r="M16" s="76">
        <v>6.4</v>
      </c>
      <c r="N16" s="76">
        <v>6.0</v>
      </c>
      <c r="O16" s="76">
        <v>3.6</v>
      </c>
      <c r="P16" s="76"/>
      <c r="Q16" s="310"/>
      <c r="R16" s="77">
        <f>'23'!Z23</f>
        <v>1390</v>
      </c>
      <c r="S16" s="76">
        <f>'23'!AB23</f>
        <v>76.44634883</v>
      </c>
      <c r="T16" s="77">
        <f>'23'!Y23</f>
        <v>3384</v>
      </c>
      <c r="U16" s="73" t="str">
        <f>IF('23'!AA23=1,'23'!AR6,'23'!AR7)</f>
        <v>S.A.L</v>
      </c>
      <c r="V16" s="16"/>
      <c r="W16" s="18"/>
      <c r="X16" s="54">
        <v>0.458333333333333</v>
      </c>
      <c r="Y16" s="125">
        <v>3373.0</v>
      </c>
      <c r="Z16" s="308">
        <v>1390.0</v>
      </c>
      <c r="AA16" s="56">
        <v>1.0</v>
      </c>
      <c r="AB16" s="58">
        <f>IF('23'!AA16=1,(('23'!Z16*'23'!$AS$6*'23'!$AT$6)/('23'!Y16*0.0036)),IF('23'!AA16=2,(('23'!Z16*'23'!$AS$7*'23'!$AT$7)/('23'!Y16*0.0036))))</f>
        <v>76.69565504</v>
      </c>
      <c r="AC16" s="58"/>
      <c r="AD16" s="59">
        <f>(('23'!AC16*'23'!$Q$10*1000000))/('23'!Y16*3600)</f>
        <v>0</v>
      </c>
      <c r="AE16" s="60"/>
      <c r="AF16" s="61">
        <f>('23'!AE16/24)*0.454</f>
        <v>0</v>
      </c>
      <c r="AG16" s="60"/>
      <c r="AH16" s="61">
        <f>('23'!AG16/24)*0.454</f>
        <v>0</v>
      </c>
      <c r="AI16" s="308">
        <v>5000.0</v>
      </c>
      <c r="AJ16" s="61">
        <f>('23'!AI16/24)*0.454</f>
        <v>94.58333333</v>
      </c>
      <c r="AK16" s="62"/>
      <c r="AL16" s="63">
        <f>('23'!AK16/24)*0.454</f>
        <v>0</v>
      </c>
      <c r="AM16" s="62"/>
      <c r="AN16" s="63">
        <f>('23'!AM16/24)*0.454</f>
        <v>0</v>
      </c>
      <c r="AO16" s="62"/>
      <c r="AP16" s="63">
        <f>('23'!AO16/24)*0.454</f>
        <v>0</v>
      </c>
    </row>
    <row r="17" ht="18.75" customHeight="1">
      <c r="A17" s="69">
        <v>0.833333333333333</v>
      </c>
      <c r="B17" s="76">
        <v>234.0</v>
      </c>
      <c r="C17" s="76">
        <v>24.0</v>
      </c>
      <c r="D17" s="76">
        <v>18.0</v>
      </c>
      <c r="E17" s="76">
        <v>4.0</v>
      </c>
      <c r="F17" s="76">
        <v>96.0</v>
      </c>
      <c r="G17" s="76">
        <v>2.8</v>
      </c>
      <c r="H17" s="76">
        <v>1.7</v>
      </c>
      <c r="I17" s="76">
        <v>0.5</v>
      </c>
      <c r="J17" s="76">
        <v>0.8</v>
      </c>
      <c r="K17" s="76">
        <v>6.9</v>
      </c>
      <c r="L17" s="76">
        <v>6.4</v>
      </c>
      <c r="M17" s="76">
        <v>6.4</v>
      </c>
      <c r="N17" s="76">
        <v>6.0</v>
      </c>
      <c r="O17" s="76">
        <v>3.6</v>
      </c>
      <c r="P17" s="76"/>
      <c r="Q17" s="310"/>
      <c r="R17" s="77">
        <f>'23'!Z25</f>
        <v>1390</v>
      </c>
      <c r="S17" s="76">
        <f>'23'!AB25</f>
        <v>76.44634883</v>
      </c>
      <c r="T17" s="77">
        <f>'23'!Y25</f>
        <v>3384</v>
      </c>
      <c r="U17" s="73" t="str">
        <f>IF('23'!AA25=1,'23'!AR6,'23'!AR7)</f>
        <v>S.A.L</v>
      </c>
      <c r="V17" s="90" t="str">
        <f>ESCALA!$C$25</f>
        <v/>
      </c>
      <c r="W17" s="89"/>
      <c r="X17" s="54">
        <v>0.5</v>
      </c>
      <c r="Y17" s="125">
        <v>3364.0</v>
      </c>
      <c r="Z17" s="308">
        <v>1390.0</v>
      </c>
      <c r="AA17" s="56">
        <v>1.0</v>
      </c>
      <c r="AB17" s="58">
        <f>IF('23'!AA17=1,(('23'!Z17*'23'!$AS$6*'23'!$AT$6)/('23'!Y17*0.0036)),IF('23'!AA17=2,(('23'!Z17*'23'!$AS$7*'23'!$AT$7)/('23'!Y17*0.0036))))</f>
        <v>76.90084555</v>
      </c>
      <c r="AC17" s="58"/>
      <c r="AD17" s="59">
        <f>(('23'!AC17*'23'!$Q$10*1000000))/('23'!Y17*3600)</f>
        <v>0</v>
      </c>
      <c r="AE17" s="60"/>
      <c r="AF17" s="61">
        <f>('23'!AE17/24)*0.454</f>
        <v>0</v>
      </c>
      <c r="AG17" s="60"/>
      <c r="AH17" s="61">
        <f>('23'!AG17/24)*0.454</f>
        <v>0</v>
      </c>
      <c r="AI17" s="308">
        <v>5000.0</v>
      </c>
      <c r="AJ17" s="61">
        <f>('23'!AI17/24)*0.454</f>
        <v>94.58333333</v>
      </c>
      <c r="AK17" s="62"/>
      <c r="AL17" s="63">
        <f>('23'!AK17/24)*0.454</f>
        <v>0</v>
      </c>
      <c r="AM17" s="62"/>
      <c r="AN17" s="63">
        <f>('23'!AM17/24)*0.454</f>
        <v>0</v>
      </c>
      <c r="AO17" s="62"/>
      <c r="AP17" s="63">
        <f>('23'!AO17/24)*0.454</f>
        <v>0</v>
      </c>
    </row>
    <row r="18" ht="19.5" customHeight="1">
      <c r="A18" s="69">
        <v>0.916666666666667</v>
      </c>
      <c r="B18" s="76">
        <v>231.0</v>
      </c>
      <c r="C18" s="76">
        <v>24.0</v>
      </c>
      <c r="D18" s="76">
        <v>18.0</v>
      </c>
      <c r="E18" s="76">
        <v>4.0</v>
      </c>
      <c r="F18" s="76">
        <v>99.0</v>
      </c>
      <c r="G18" s="76">
        <v>2.8</v>
      </c>
      <c r="H18" s="76">
        <v>1.8</v>
      </c>
      <c r="I18" s="76">
        <v>0.5</v>
      </c>
      <c r="J18" s="76">
        <v>0.8</v>
      </c>
      <c r="K18" s="76">
        <v>6.9</v>
      </c>
      <c r="L18" s="76">
        <v>6.4</v>
      </c>
      <c r="M18" s="76">
        <v>6.4</v>
      </c>
      <c r="N18" s="76">
        <v>6.0</v>
      </c>
      <c r="O18" s="76">
        <v>3.6</v>
      </c>
      <c r="P18" s="76"/>
      <c r="Q18" s="310"/>
      <c r="R18" s="77">
        <f>'23'!Z27</f>
        <v>1390</v>
      </c>
      <c r="S18" s="76">
        <f>'23'!AB27</f>
        <v>76.01952526</v>
      </c>
      <c r="T18" s="77">
        <f>'23'!Y27</f>
        <v>3403</v>
      </c>
      <c r="U18" s="73" t="str">
        <f>IF('23'!AA27=1,'23'!AR6,'23'!AR7)</f>
        <v>S.A.L</v>
      </c>
      <c r="V18" s="16"/>
      <c r="W18" s="18"/>
      <c r="X18" s="54">
        <v>0.541666666666667</v>
      </c>
      <c r="Y18" s="125">
        <v>3363.0</v>
      </c>
      <c r="Z18" s="308">
        <v>1390.0</v>
      </c>
      <c r="AA18" s="56">
        <v>1.0</v>
      </c>
      <c r="AB18" s="58">
        <f>IF('23'!AA18=1,(('23'!Z18*'23'!$AS$6*'23'!$AT$6)/('23'!Y18*0.0036)),IF('23'!AA18=2,(('23'!Z18*'23'!$AS$7*'23'!$AT$7)/('23'!Y18*0.0036))))</f>
        <v>76.92371229</v>
      </c>
      <c r="AC18" s="58"/>
      <c r="AD18" s="59">
        <f>(('23'!AC18*'23'!$Q$10*1000000))/('23'!Y18*3600)</f>
        <v>0</v>
      </c>
      <c r="AE18" s="60"/>
      <c r="AF18" s="61">
        <f>('23'!AE18/24)*0.454</f>
        <v>0</v>
      </c>
      <c r="AG18" s="60"/>
      <c r="AH18" s="61">
        <f>('23'!AG18/24)*0.454</f>
        <v>0</v>
      </c>
      <c r="AI18" s="308">
        <v>5000.0</v>
      </c>
      <c r="AJ18" s="61">
        <f>('23'!AI18/24)*0.454</f>
        <v>94.58333333</v>
      </c>
      <c r="AK18" s="62"/>
      <c r="AL18" s="63">
        <f>('23'!AK18/24)*0.454</f>
        <v>0</v>
      </c>
      <c r="AM18" s="62"/>
      <c r="AN18" s="63">
        <f>('23'!AM18/24)*0.454</f>
        <v>0</v>
      </c>
      <c r="AO18" s="62"/>
      <c r="AP18" s="63">
        <f>('23'!AO18/24)*0.454</f>
        <v>0</v>
      </c>
    </row>
    <row r="19" ht="18.75" customHeight="1">
      <c r="A19" s="51" t="s">
        <v>52</v>
      </c>
      <c r="B19" s="91">
        <f>AVERAGE('23'!B7:B18)</f>
        <v>228.4166667</v>
      </c>
      <c r="C19" s="92">
        <f>AVERAGE('23'!C7:C18)</f>
        <v>18.25</v>
      </c>
      <c r="D19" s="92">
        <f>AVERAGE('23'!D7:D18)</f>
        <v>15.75</v>
      </c>
      <c r="E19" s="92">
        <f>AVERAGE('23'!E7:E18)</f>
        <v>4.583333333</v>
      </c>
      <c r="F19" s="92">
        <f>AVERAGE('23'!F7:F18)</f>
        <v>84.58333333</v>
      </c>
      <c r="G19" s="92">
        <f>AVERAGE('23'!G7:G18)</f>
        <v>2.483333333</v>
      </c>
      <c r="H19" s="92">
        <f>AVERAGE('23'!H7:H18)</f>
        <v>1.566666667</v>
      </c>
      <c r="I19" s="92">
        <f>AVERAGE('23'!I7:I18)</f>
        <v>0.5583333333</v>
      </c>
      <c r="J19" s="92">
        <f>AVERAGE('23'!J7:J18)</f>
        <v>0.6909090909</v>
      </c>
      <c r="K19" s="92">
        <f>AVERAGE('23'!K7:K18)</f>
        <v>6.9</v>
      </c>
      <c r="L19" s="92">
        <f>AVERAGE('23'!L7:L18)</f>
        <v>6.4</v>
      </c>
      <c r="M19" s="92">
        <f>AVERAGE('23'!M7:M18)</f>
        <v>6.4</v>
      </c>
      <c r="N19" s="92">
        <f>AVERAGE('23'!N7:N18)</f>
        <v>6</v>
      </c>
      <c r="O19" s="92">
        <f>AVERAGE('23'!O7:O18)</f>
        <v>3.6</v>
      </c>
      <c r="P19" s="93" t="str">
        <f>AVERAGE('23'!P7:P18)</f>
        <v>#DIV/0!</v>
      </c>
      <c r="Q19" s="94" t="str">
        <f>AVERAGE('23'!Q7:Q18)</f>
        <v>#DIV/0!</v>
      </c>
      <c r="R19" s="94">
        <f>AVERAGE('23'!R7:R18)</f>
        <v>1390</v>
      </c>
      <c r="S19" s="94">
        <f>AVERAGE('23'!S7:S18)</f>
        <v>75.81419867</v>
      </c>
      <c r="T19" s="95"/>
      <c r="U19" s="96"/>
      <c r="V19" s="97"/>
      <c r="W19" s="97"/>
      <c r="X19" s="54">
        <v>0.583333333333333</v>
      </c>
      <c r="Y19" s="125">
        <v>3381.0</v>
      </c>
      <c r="Z19" s="308">
        <v>1390.0</v>
      </c>
      <c r="AA19" s="56">
        <v>1.0</v>
      </c>
      <c r="AB19" s="58">
        <f>IF('23'!AA19=1,(('23'!Z19*'23'!$AS$6*'23'!$AT$6)/('23'!Y19*0.0036)),IF('23'!AA19=2,(('23'!Z19*'23'!$AS$7*'23'!$AT$7)/('23'!Y19*0.0036))))</f>
        <v>76.51418055</v>
      </c>
      <c r="AC19" s="58"/>
      <c r="AD19" s="59">
        <f>(('23'!AC19*'23'!$Q$10*1000000))/('23'!Y19*3600)</f>
        <v>0</v>
      </c>
      <c r="AE19" s="60"/>
      <c r="AF19" s="61">
        <f>('23'!AE19/24)*0.454</f>
        <v>0</v>
      </c>
      <c r="AG19" s="60"/>
      <c r="AH19" s="61">
        <f>('23'!AG19/24)*0.454</f>
        <v>0</v>
      </c>
      <c r="AI19" s="308">
        <v>5000.0</v>
      </c>
      <c r="AJ19" s="61">
        <f>('23'!AI19/24)*0.454</f>
        <v>94.58333333</v>
      </c>
      <c r="AK19" s="62"/>
      <c r="AL19" s="63">
        <f>('23'!AK19/24)*0.454</f>
        <v>0</v>
      </c>
      <c r="AM19" s="62"/>
      <c r="AN19" s="63">
        <f>('23'!AM19/24)*0.454</f>
        <v>0</v>
      </c>
      <c r="AO19" s="62"/>
      <c r="AP19" s="63">
        <f>('23'!AO19/24)*0.454</f>
        <v>0</v>
      </c>
    </row>
    <row r="20" ht="18.75" customHeight="1">
      <c r="A20" s="51" t="s">
        <v>53</v>
      </c>
      <c r="B20" s="91">
        <f>MAX('23'!B7:B18)</f>
        <v>241</v>
      </c>
      <c r="C20" s="92">
        <f>MAX('23'!C7:C18)</f>
        <v>24</v>
      </c>
      <c r="D20" s="92">
        <f>MAX('23'!D7:D18)</f>
        <v>19</v>
      </c>
      <c r="E20" s="92">
        <f>MAX('23'!E7:E18)</f>
        <v>6</v>
      </c>
      <c r="F20" s="92">
        <f>MAX('23'!F7:F18)</f>
        <v>99</v>
      </c>
      <c r="G20" s="92">
        <f>MAX('23'!G7:G18)</f>
        <v>2.8</v>
      </c>
      <c r="H20" s="92">
        <v>0.2</v>
      </c>
      <c r="I20" s="92">
        <f>MAX('23'!I7:I18)</f>
        <v>0.6</v>
      </c>
      <c r="J20" s="92">
        <f>MAX('23'!J7:J18)</f>
        <v>0.8</v>
      </c>
      <c r="K20" s="92">
        <f>MAX('23'!K7:K18)</f>
        <v>6.9</v>
      </c>
      <c r="L20" s="92">
        <f>MAX('23'!L7:L18)</f>
        <v>6.4</v>
      </c>
      <c r="M20" s="92">
        <f>MAX('23'!M7:M18)</f>
        <v>6.4</v>
      </c>
      <c r="N20" s="92">
        <f>MAX('23'!N7:N18)</f>
        <v>6</v>
      </c>
      <c r="O20" s="98">
        <f>MAX('23'!O7:O18)</f>
        <v>3.6</v>
      </c>
      <c r="P20" s="98">
        <f>MAX('23'!P7:P18)</f>
        <v>0</v>
      </c>
      <c r="Q20" s="98">
        <f>MAX('23'!Q7:Q18)</f>
        <v>0</v>
      </c>
      <c r="R20" s="98">
        <f>MAX('23'!R7:R18)</f>
        <v>1390</v>
      </c>
      <c r="S20" s="98">
        <f>MAX('23'!S7:S18)</f>
        <v>76.90084555</v>
      </c>
      <c r="T20" s="99"/>
      <c r="U20" s="21"/>
      <c r="X20" s="54">
        <v>0.625</v>
      </c>
      <c r="Y20" s="125">
        <v>3371.0</v>
      </c>
      <c r="Z20" s="308">
        <v>1390.0</v>
      </c>
      <c r="AA20" s="56">
        <v>1.0</v>
      </c>
      <c r="AB20" s="58">
        <f>IF('23'!AA20=1,(('23'!Z20*'23'!$AS$6*'23'!$AT$6)/('23'!Y20*0.0036)),IF('23'!AA20=2,(('23'!Z20*'23'!$AS$7*'23'!$AT$7)/('23'!Y20*0.0036))))</f>
        <v>76.74115825</v>
      </c>
      <c r="AC20" s="58"/>
      <c r="AD20" s="59">
        <f>(('23'!AC20*'23'!$Q$10*1000000))/('23'!Y20*3600)</f>
        <v>0</v>
      </c>
      <c r="AE20" s="60"/>
      <c r="AF20" s="61">
        <f>('23'!AE20/24)*0.454</f>
        <v>0</v>
      </c>
      <c r="AG20" s="60"/>
      <c r="AH20" s="61">
        <f>('23'!AG20/24)*0.454</f>
        <v>0</v>
      </c>
      <c r="AI20" s="308">
        <v>5000.0</v>
      </c>
      <c r="AJ20" s="61">
        <f>('23'!AI20/24)*0.454</f>
        <v>94.58333333</v>
      </c>
      <c r="AK20" s="62"/>
      <c r="AL20" s="63">
        <f>('23'!AK20/24)*0.454</f>
        <v>0</v>
      </c>
      <c r="AM20" s="62"/>
      <c r="AN20" s="63">
        <f>('23'!AM20/24)*0.454</f>
        <v>0</v>
      </c>
      <c r="AO20" s="62"/>
      <c r="AP20" s="63">
        <f>('23'!AO20/24)*0.454</f>
        <v>0</v>
      </c>
    </row>
    <row r="21" ht="19.5" customHeight="1">
      <c r="A21" s="51" t="s">
        <v>54</v>
      </c>
      <c r="B21" s="91">
        <f>MIN('23'!B7:B18)</f>
        <v>216</v>
      </c>
      <c r="C21" s="92">
        <f>MIN('23'!C7:C18)</f>
        <v>13</v>
      </c>
      <c r="D21" s="92">
        <f>MIN('23'!D7:D18)</f>
        <v>12</v>
      </c>
      <c r="E21" s="92">
        <f>MIN('23'!E7:E18)</f>
        <v>4</v>
      </c>
      <c r="F21" s="92">
        <f>MIN('23'!F7:F18)</f>
        <v>75</v>
      </c>
      <c r="G21" s="100">
        <f>MIN('23'!G7:G18)</f>
        <v>2.2</v>
      </c>
      <c r="H21" s="100">
        <f>MIN('23'!H7:H18)</f>
        <v>1.3</v>
      </c>
      <c r="I21" s="100">
        <f>MIN('23'!I7:I18)</f>
        <v>0.4</v>
      </c>
      <c r="J21" s="100">
        <f>MIN('23'!J7:J18)</f>
        <v>0.6</v>
      </c>
      <c r="K21" s="100">
        <f>MIN('23'!K7:K18)</f>
        <v>6.9</v>
      </c>
      <c r="L21" s="100">
        <f>MIN('23'!L7:L18)</f>
        <v>6.4</v>
      </c>
      <c r="M21" s="100">
        <f>MIN('23'!M7:M18)</f>
        <v>6.4</v>
      </c>
      <c r="N21" s="100">
        <f>MIN('23'!N7:N18)</f>
        <v>6</v>
      </c>
      <c r="O21" s="101">
        <f>MIN('23'!O7:O18)</f>
        <v>3.6</v>
      </c>
      <c r="P21" s="101">
        <f>MIN('23'!P7:P18)</f>
        <v>0</v>
      </c>
      <c r="Q21" s="101">
        <f>MIN('23'!Q7:Q18)</f>
        <v>0</v>
      </c>
      <c r="R21" s="101">
        <f>MIN('23'!R7:R18)</f>
        <v>1390</v>
      </c>
      <c r="S21" s="101">
        <f>MIN('23'!S7:S18)</f>
        <v>74.59729485</v>
      </c>
      <c r="T21" s="99"/>
      <c r="U21" s="21"/>
      <c r="X21" s="54">
        <v>0.666666666666667</v>
      </c>
      <c r="Y21" s="125">
        <v>3415.0</v>
      </c>
      <c r="Z21" s="308">
        <v>1390.0</v>
      </c>
      <c r="AA21" s="56">
        <v>1.0</v>
      </c>
      <c r="AB21" s="58">
        <f>IF('23'!AA21=1,(('23'!Z21*'23'!$AS$6*'23'!$AT$6)/('23'!Y21*0.0036)),IF('23'!AA21=2,(('23'!Z21*'23'!$AS$7*'23'!$AT$7)/('23'!Y21*0.0036))))</f>
        <v>75.75239954</v>
      </c>
      <c r="AC21" s="58"/>
      <c r="AD21" s="59">
        <f>(('23'!AC21*'23'!$Q$10*1000000))/('23'!Y21*3600)</f>
        <v>0</v>
      </c>
      <c r="AE21" s="60"/>
      <c r="AF21" s="61">
        <f>('23'!AE21/24)*0.454</f>
        <v>0</v>
      </c>
      <c r="AG21" s="60"/>
      <c r="AH21" s="61">
        <f>('23'!AG21/24)*0.454</f>
        <v>0</v>
      </c>
      <c r="AI21" s="308">
        <v>5000.0</v>
      </c>
      <c r="AJ21" s="61">
        <f>('23'!AI21/24)*0.454</f>
        <v>94.58333333</v>
      </c>
      <c r="AK21" s="62"/>
      <c r="AL21" s="63">
        <f>('23'!AK21/24)*0.454</f>
        <v>0</v>
      </c>
      <c r="AM21" s="62"/>
      <c r="AN21" s="63">
        <f>('23'!AM21/24)*0.454</f>
        <v>0</v>
      </c>
      <c r="AO21" s="62"/>
      <c r="AP21" s="63">
        <f>('23'!AO21/24)*0.454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3373.0</v>
      </c>
      <c r="Z22" s="308">
        <v>1390.0</v>
      </c>
      <c r="AA22" s="56">
        <v>1.0</v>
      </c>
      <c r="AB22" s="58">
        <f>IF('23'!AA22=1,(('23'!Z22*'23'!$AS$6*'23'!$AT$6)/('23'!Y22*0.0036)),IF('23'!AA22=2,(('23'!Z22*'23'!$AS$7*'23'!$AT$7)/('23'!Y22*0.0036))))</f>
        <v>76.69565504</v>
      </c>
      <c r="AC22" s="58"/>
      <c r="AD22" s="59">
        <f>(('23'!AC22*'23'!$Q$10*1000000))/('23'!Y22*3600)</f>
        <v>0</v>
      </c>
      <c r="AE22" s="60"/>
      <c r="AF22" s="61">
        <f>('23'!AE22/24)*0.454</f>
        <v>0</v>
      </c>
      <c r="AG22" s="60"/>
      <c r="AH22" s="61">
        <f>('23'!AG22/24)*0.454</f>
        <v>0</v>
      </c>
      <c r="AI22" s="308">
        <v>5000.0</v>
      </c>
      <c r="AJ22" s="61">
        <f>('23'!AI22/24)*0.454</f>
        <v>94.58333333</v>
      </c>
      <c r="AK22" s="62"/>
      <c r="AL22" s="63">
        <f>('23'!AK22/24)*0.454</f>
        <v>0</v>
      </c>
      <c r="AM22" s="62"/>
      <c r="AN22" s="63">
        <f>('23'!AM22/24)*0.454</f>
        <v>0</v>
      </c>
      <c r="AO22" s="62"/>
      <c r="AP22" s="63">
        <f>('23'!AO22/24)*0.454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3384.0</v>
      </c>
      <c r="Z23" s="308">
        <v>1390.0</v>
      </c>
      <c r="AA23" s="56">
        <v>1.0</v>
      </c>
      <c r="AB23" s="58">
        <f>IF('23'!AA23=1,(('23'!Z23*'23'!$AS$6*'23'!$AT$6)/('23'!Y23*0.0036)),IF('23'!AA23=2,(('23'!Z23*'23'!$AS$7*'23'!$AT$7)/('23'!Y23*0.0036))))</f>
        <v>76.44634883</v>
      </c>
      <c r="AC23" s="58"/>
      <c r="AD23" s="59">
        <f>(('23'!AC23*'23'!$Q$10*1000000))/('23'!Y23*3600)</f>
        <v>0</v>
      </c>
      <c r="AE23" s="60"/>
      <c r="AF23" s="61">
        <f>('23'!AE23/24)*0.454</f>
        <v>0</v>
      </c>
      <c r="AG23" s="60"/>
      <c r="AH23" s="61">
        <f>('23'!AG23/24)*0.454</f>
        <v>0</v>
      </c>
      <c r="AI23" s="308">
        <v>5000.0</v>
      </c>
      <c r="AJ23" s="61">
        <f>('23'!AI23/24)*0.454</f>
        <v>94.58333333</v>
      </c>
      <c r="AK23" s="62"/>
      <c r="AL23" s="63">
        <f>('23'!AK23/24)*0.454</f>
        <v>0</v>
      </c>
      <c r="AM23" s="62"/>
      <c r="AN23" s="63">
        <f>('23'!AM23/24)*0.454</f>
        <v>0</v>
      </c>
      <c r="AO23" s="62"/>
      <c r="AP23" s="63">
        <f>('23'!AO23/24)*0.454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3389.0</v>
      </c>
      <c r="Z24" s="308">
        <v>1390.0</v>
      </c>
      <c r="AA24" s="56">
        <v>1.0</v>
      </c>
      <c r="AB24" s="57">
        <f>IF('23'!AA24=1,(('23'!Z24*'23'!$AS$6*'23'!$AT$6)/('23'!Y24*0.0036)),IF('23'!AA24=2,(('23'!Z24*'23'!$AS$7*'23'!$AT$7)/('23'!Y24*0.0036))))</f>
        <v>76.33356283</v>
      </c>
      <c r="AC24" s="57"/>
      <c r="AD24" s="154">
        <f>(('23'!AC24*'23'!$Q$10*1000000))/('23'!Y24*3600)</f>
        <v>0</v>
      </c>
      <c r="AE24" s="60"/>
      <c r="AF24" s="311">
        <f>('23'!AE24/24)*0.454</f>
        <v>0</v>
      </c>
      <c r="AG24" s="125"/>
      <c r="AH24" s="311">
        <f>('23'!AG24/24)*0.454</f>
        <v>0</v>
      </c>
      <c r="AI24" s="308">
        <v>5000.0</v>
      </c>
      <c r="AJ24" s="311">
        <f>('23'!AI24/24)*0.454</f>
        <v>94.58333333</v>
      </c>
      <c r="AK24" s="62"/>
      <c r="AL24" s="110">
        <f>('23'!AK24/24)*0.454</f>
        <v>0</v>
      </c>
      <c r="AM24" s="312"/>
      <c r="AN24" s="110">
        <f>('23'!AM24/24)*0.454</f>
        <v>0</v>
      </c>
      <c r="AO24" s="62"/>
      <c r="AP24" s="110">
        <f>('23'!AO24/24)*0.454</f>
        <v>0</v>
      </c>
    </row>
    <row r="25" ht="19.5" customHeight="1">
      <c r="A25" s="111">
        <v>0.416666666666667</v>
      </c>
      <c r="B25" s="313">
        <v>0.46</v>
      </c>
      <c r="C25" s="313">
        <v>0.41</v>
      </c>
      <c r="D25" s="313">
        <v>0.46</v>
      </c>
      <c r="E25" s="313">
        <v>0.47</v>
      </c>
      <c r="F25" s="313">
        <v>0.39</v>
      </c>
      <c r="G25" s="313" t="s">
        <v>132</v>
      </c>
      <c r="H25" s="313">
        <v>0.44</v>
      </c>
      <c r="I25" s="313">
        <v>58.0</v>
      </c>
      <c r="J25" s="313" t="s">
        <v>132</v>
      </c>
      <c r="K25" s="313">
        <v>0.41</v>
      </c>
      <c r="L25" s="313">
        <v>0.43</v>
      </c>
      <c r="M25" s="313">
        <v>0.47</v>
      </c>
      <c r="N25" s="313">
        <v>0.44</v>
      </c>
      <c r="O25" s="313">
        <v>0.47</v>
      </c>
      <c r="P25" s="313">
        <v>0.5</v>
      </c>
      <c r="Q25" s="313"/>
      <c r="R25" s="112" t="str">
        <f t="shared" ref="R25:R26" si="1">#DIV/0!</f>
        <v>#DIV/0!</v>
      </c>
      <c r="S25" s="113"/>
      <c r="T25" s="466" t="s">
        <v>0</v>
      </c>
      <c r="U25" s="361">
        <f>ESCALA!$A$25</f>
        <v>43944</v>
      </c>
      <c r="X25" s="54">
        <v>0.833333333333333</v>
      </c>
      <c r="Y25" s="125">
        <v>3384.0</v>
      </c>
      <c r="Z25" s="308">
        <v>1390.0</v>
      </c>
      <c r="AA25" s="56">
        <v>1.0</v>
      </c>
      <c r="AB25" s="58">
        <f>IF('23'!AA25=1,(('23'!Z25*'23'!$AS$6*'23'!$AT$6)/('23'!Y25*0.0036)),IF('23'!AA25=2,(('23'!Z25*'23'!$AS$7*'23'!$AT$7)/('23'!Y25*0.0036))))</f>
        <v>76.44634883</v>
      </c>
      <c r="AC25" s="58"/>
      <c r="AD25" s="59">
        <f>(('23'!AC25*'23'!$Q$10*1000000))/('23'!Y25*3600)</f>
        <v>0</v>
      </c>
      <c r="AE25" s="60"/>
      <c r="AF25" s="61">
        <f>('23'!AE25/24)*0.454</f>
        <v>0</v>
      </c>
      <c r="AG25" s="60"/>
      <c r="AH25" s="61">
        <f>('23'!AG25/24)*0.454</f>
        <v>0</v>
      </c>
      <c r="AI25" s="308">
        <v>5000.0</v>
      </c>
      <c r="AJ25" s="61">
        <f>('23'!AI25/24)*0.454</f>
        <v>94.58333333</v>
      </c>
      <c r="AK25" s="62"/>
      <c r="AL25" s="63">
        <f>('23'!AK25/24)*0.454</f>
        <v>0</v>
      </c>
      <c r="AM25" s="62"/>
      <c r="AN25" s="63">
        <f>('23'!AM25/24)*0.454</f>
        <v>0</v>
      </c>
      <c r="AO25" s="62"/>
      <c r="AP25" s="63">
        <f>('23'!AO25/24)*0.454</f>
        <v>0</v>
      </c>
    </row>
    <row r="26" ht="19.5" customHeight="1">
      <c r="A26" s="111">
        <v>0.666666666666667</v>
      </c>
      <c r="B26" s="108"/>
      <c r="C26" s="108"/>
      <c r="D26" s="396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125">
        <v>3399.0</v>
      </c>
      <c r="Z26" s="308">
        <v>1390.0</v>
      </c>
      <c r="AA26" s="56">
        <v>1.0</v>
      </c>
      <c r="AB26" s="57">
        <f>IF('23'!AA26=1,(('23'!Z26*'23'!$AS$6*'23'!$AT$6)/('23'!Y26*0.0036)),IF('23'!AA26=2,(('23'!Z26*'23'!$AS$7*'23'!$AT$7)/('23'!Y26*0.0036))))</f>
        <v>76.1089863</v>
      </c>
      <c r="AC26" s="58"/>
      <c r="AD26" s="59">
        <f>(('23'!AC26*'23'!$Q$10*1000000))/('23'!Y26*3600)</f>
        <v>0</v>
      </c>
      <c r="AE26" s="60"/>
      <c r="AF26" s="61">
        <f>('23'!AE26/24)*0.454</f>
        <v>0</v>
      </c>
      <c r="AG26" s="60"/>
      <c r="AH26" s="61">
        <f>('23'!AG26/24)*0.454</f>
        <v>0</v>
      </c>
      <c r="AI26" s="308">
        <v>5000.0</v>
      </c>
      <c r="AJ26" s="61">
        <f>('23'!AI26/24)*0.454</f>
        <v>94.58333333</v>
      </c>
      <c r="AK26" s="62"/>
      <c r="AL26" s="63">
        <f>('23'!AK26/24)*0.454</f>
        <v>0</v>
      </c>
      <c r="AM26" s="62"/>
      <c r="AN26" s="63">
        <f>('23'!AM26/24)*0.454</f>
        <v>0</v>
      </c>
      <c r="AO26" s="62"/>
      <c r="AP26" s="63">
        <f>('23'!AO26/24)*0.454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3403.0</v>
      </c>
      <c r="Z27" s="308">
        <v>1390.0</v>
      </c>
      <c r="AA27" s="56">
        <v>1.0</v>
      </c>
      <c r="AB27" s="58">
        <f>IF('23'!AA27=1,(('23'!Z27*'23'!$AS$6*'23'!$AT$6)/('23'!Y27*0.0036)),IF('23'!AA27=2,(('23'!Z27*'23'!$AS$7*'23'!$AT$7)/('23'!Y27*0.0036))))</f>
        <v>76.01952526</v>
      </c>
      <c r="AC27" s="58"/>
      <c r="AD27" s="59">
        <f>(('23'!AC27*'23'!$Q$10*1000000))/('23'!Y27*3600)</f>
        <v>0</v>
      </c>
      <c r="AE27" s="60"/>
      <c r="AF27" s="61">
        <f>('23'!AE27/24)*0.454</f>
        <v>0</v>
      </c>
      <c r="AG27" s="60"/>
      <c r="AH27" s="61">
        <f>('23'!AG27/24)*0.454</f>
        <v>0</v>
      </c>
      <c r="AI27" s="308">
        <v>5000.0</v>
      </c>
      <c r="AJ27" s="61">
        <f>('23'!AI27/24)*0.454</f>
        <v>94.58333333</v>
      </c>
      <c r="AK27" s="62"/>
      <c r="AL27" s="63">
        <f>('23'!AK27/24)*0.454</f>
        <v>0</v>
      </c>
      <c r="AM27" s="62"/>
      <c r="AN27" s="63">
        <f>('23'!AM27/24)*0.454</f>
        <v>0</v>
      </c>
      <c r="AO27" s="62"/>
      <c r="AP27" s="63">
        <f>('23'!AO27/24)*0.454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3404.0</v>
      </c>
      <c r="Z28" s="308">
        <v>1390.0</v>
      </c>
      <c r="AA28" s="56">
        <v>1.0</v>
      </c>
      <c r="AB28" s="58">
        <f>IF('23'!AA28=1,(('23'!Z28*'23'!$AS$6*'23'!$AT$6)/('23'!Y28*0.0036)),IF('23'!AA28=2,(('23'!Z28*'23'!$AS$7*'23'!$AT$7)/('23'!Y28*0.0036))))</f>
        <v>75.99719285</v>
      </c>
      <c r="AC28" s="58"/>
      <c r="AD28" s="59">
        <f>(('23'!AC28*'23'!$Q$10*1000000))/('23'!Y28*3600)</f>
        <v>0</v>
      </c>
      <c r="AE28" s="60"/>
      <c r="AF28" s="61">
        <f>('23'!AE28/24)*0.454</f>
        <v>0</v>
      </c>
      <c r="AG28" s="60"/>
      <c r="AH28" s="61">
        <f>('23'!AG28/24)*0.454</f>
        <v>0</v>
      </c>
      <c r="AI28" s="308">
        <v>5000.0</v>
      </c>
      <c r="AJ28" s="61">
        <f>('23'!AI28/24)*0.454</f>
        <v>94.58333333</v>
      </c>
      <c r="AK28" s="62"/>
      <c r="AL28" s="63">
        <f>('23'!AK28/24)*0.454</f>
        <v>0</v>
      </c>
      <c r="AM28" s="62"/>
      <c r="AN28" s="63">
        <f>('23'!AM28/24)*0.454</f>
        <v>0</v>
      </c>
      <c r="AO28" s="62"/>
      <c r="AP28" s="63">
        <f>('23'!AO28/24)*0.454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3387.0</v>
      </c>
      <c r="Z29" s="308">
        <v>1390.0</v>
      </c>
      <c r="AA29" s="56">
        <v>1.0</v>
      </c>
      <c r="AB29" s="58">
        <f>IF('23'!AA29=1,(('23'!Z29*'23'!$AS$6*'23'!$AT$6)/('23'!Y29*0.0036)),IF('23'!AA29=2,(('23'!Z29*'23'!$AS$7*'23'!$AT$7)/('23'!Y29*0.0036))))</f>
        <v>76.37863727</v>
      </c>
      <c r="AC29" s="58"/>
      <c r="AD29" s="59">
        <f>(('23'!AC29*'23'!$Q$10*1000000))/('23'!Y29*3600)</f>
        <v>0</v>
      </c>
      <c r="AE29" s="60"/>
      <c r="AF29" s="61">
        <f>('23'!AE29/24)*0.454</f>
        <v>0</v>
      </c>
      <c r="AG29" s="60"/>
      <c r="AH29" s="61">
        <f>('23'!AG29/24)*0.454</f>
        <v>0</v>
      </c>
      <c r="AI29" s="308">
        <v>5000.0</v>
      </c>
      <c r="AJ29" s="61">
        <f>('23'!AI29/24)*0.454</f>
        <v>94.58333333</v>
      </c>
      <c r="AK29" s="62"/>
      <c r="AL29" s="63">
        <f>('23'!AK29/24)*0.454</f>
        <v>0</v>
      </c>
      <c r="AM29" s="62"/>
      <c r="AN29" s="63">
        <f>('23'!AM29/24)*0.454</f>
        <v>0</v>
      </c>
      <c r="AO29" s="62"/>
      <c r="AP29" s="63">
        <f>('23'!AO29/24)*0.454</f>
        <v>0</v>
      </c>
    </row>
    <row r="30" ht="18.75" customHeight="1">
      <c r="A30" s="43"/>
      <c r="U30" s="27"/>
      <c r="X30" s="130" t="s">
        <v>55</v>
      </c>
      <c r="Y30" s="131">
        <f>SUM('23'!Y6:Y29)*3.6</f>
        <v>294393.6</v>
      </c>
      <c r="Z30" s="132">
        <f>SUM('23'!Z6:Z29)</f>
        <v>33360</v>
      </c>
      <c r="AA30" s="133"/>
      <c r="AB30" s="132"/>
      <c r="AC30" s="133"/>
      <c r="AD30" s="132"/>
      <c r="AE30" s="60"/>
      <c r="AF30" s="61">
        <f>SUM('23'!AF6:AF29)</f>
        <v>0</v>
      </c>
      <c r="AG30" s="60"/>
      <c r="AH30" s="61">
        <f>SUM('23'!AH6:AH29)</f>
        <v>0</v>
      </c>
      <c r="AI30" s="60"/>
      <c r="AJ30" s="61">
        <f>SUM('23'!AJ6:AJ29)</f>
        <v>2270</v>
      </c>
      <c r="AK30" s="62"/>
      <c r="AL30" s="63">
        <f>SUM('23'!AL6:AL29)</f>
        <v>0</v>
      </c>
      <c r="AM30" s="62"/>
      <c r="AN30" s="63">
        <f>SUM('23'!AN6:AN29)</f>
        <v>0</v>
      </c>
      <c r="AO30" s="62"/>
      <c r="AP30" s="63">
        <f>SUM('23'!AP6:AP29)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SUMIF('23'!AA6:AA29,"=1",'23'!Z6:Z29)</f>
        <v>33360</v>
      </c>
      <c r="AA32" s="132">
        <f>'23'!Z32*'23'!AS6</f>
        <v>44702.4</v>
      </c>
      <c r="AB32" s="139">
        <f>SUMIF('23'!$AA$6:$AA$29,"=1",'23'!$AB$6:$AB$29)/COUNTIF('23'!$AA$6:$AA$29,"=1")</f>
        <v>75.93052212</v>
      </c>
      <c r="AC32" s="140">
        <f>SUMIF('23'!AA6:AA29,"=1",'23'!AC6:AC29)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SUMIF('23'!AA6:AA29,"=2",'23'!Z6:Z29)</f>
        <v>0</v>
      </c>
      <c r="AA33" s="132">
        <f>'23'!Z33*'23'!AS7</f>
        <v>0</v>
      </c>
      <c r="AB33" s="139" t="str">
        <f>SUMIF('23'!$AA$6:$AA$29,"=2",'23'!$AB$6:$AB$29)/COUNTIF('23'!$AA$6:$AA$29,"=2")</f>
        <v>#DIV/0!</v>
      </c>
      <c r="AC33" s="145">
        <f>SUMIF('23'!AA6:AA29,"=2",'23'!AC6:AC29)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AVERAGE('23'!Y6:Y29)</f>
        <v>3407.333333</v>
      </c>
      <c r="Z34" s="56">
        <f>AVERAGE('23'!Z6:Z29)</f>
        <v>1390</v>
      </c>
      <c r="AA34" s="152"/>
      <c r="AB34" s="152"/>
      <c r="AC34" s="153" t="str">
        <f>SUM('23'!AC6:AC29)/COUNTIF('23'!AC6:AC29,"&lt;&gt;0")</f>
        <v>#DIV/0!</v>
      </c>
      <c r="AD34" s="154" t="str">
        <f>SUM('23'!AD6:AD29)/COUNTIF('23'!AD6:AD29,"&lt;&gt;0")</f>
        <v>#DIV/0!</v>
      </c>
      <c r="AE34" s="133"/>
      <c r="AF34" s="153">
        <f>AVERAGE('23'!AF6:AF29)</f>
        <v>0</v>
      </c>
      <c r="AG34" s="153"/>
      <c r="AH34" s="153">
        <f>AVERAGE('23'!AH6:AH29)</f>
        <v>0</v>
      </c>
      <c r="AI34" s="153"/>
      <c r="AJ34" s="153">
        <f>'23'!AJ30/24</f>
        <v>94.58333333</v>
      </c>
      <c r="AK34" s="153"/>
      <c r="AL34" s="153">
        <f>AVERAGE('23'!AL6:AL29)</f>
        <v>0</v>
      </c>
      <c r="AM34" s="153"/>
      <c r="AN34" s="153">
        <f>AVERAGE('23'!AN6:AN29)</f>
        <v>0</v>
      </c>
      <c r="AO34" s="153"/>
      <c r="AP34" s="153">
        <f>AVERAGE('23'!AP6:AP29)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60.2</v>
      </c>
      <c r="D37" s="76">
        <v>34.1</v>
      </c>
      <c r="E37" s="76">
        <v>26.1</v>
      </c>
      <c r="F37" s="76">
        <v>1.0</v>
      </c>
      <c r="G37" s="76">
        <v>0.1</v>
      </c>
      <c r="H37" s="76">
        <v>0.1</v>
      </c>
      <c r="I37" s="60">
        <v>0.15</v>
      </c>
      <c r="J37" s="60">
        <v>0.12</v>
      </c>
      <c r="K37" s="60">
        <v>0.0</v>
      </c>
      <c r="L37" s="52"/>
      <c r="M37" s="106"/>
      <c r="N37" s="157"/>
      <c r="O37" s="51"/>
      <c r="P37" s="51"/>
      <c r="Q37" s="51"/>
      <c r="R37" s="51"/>
      <c r="S37" s="51"/>
      <c r="T37" s="51"/>
      <c r="U37" s="365" t="str">
        <f>'23'!V12</f>
        <v/>
      </c>
      <c r="X37" s="277" t="s">
        <v>75</v>
      </c>
      <c r="Y37" s="128"/>
      <c r="Z37" s="170">
        <f>COUNTA('23'!Z6:Z29)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SUM('23'!AF30+'23'!AH30)</f>
        <v>0</v>
      </c>
      <c r="AL38" s="178" t="s">
        <v>78</v>
      </c>
      <c r="AM38" s="179">
        <f>SUM('23'!AL30+'23'!AN30)</f>
        <v>0</v>
      </c>
      <c r="AO38" s="178" t="s">
        <v>78</v>
      </c>
      <c r="AP38" s="180">
        <f>'23'!AJ30</f>
        <v>2270</v>
      </c>
      <c r="AQ38" s="178" t="s">
        <v>78</v>
      </c>
      <c r="AR38" s="179">
        <f>'23'!AP30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('23'!AK38/'23'!Y30)*1000</f>
        <v>0</v>
      </c>
      <c r="AL39" s="327" t="s">
        <v>86</v>
      </c>
      <c r="AM39" s="328">
        <f>('23'!AM38/'23'!Y30)*1000</f>
        <v>0</v>
      </c>
      <c r="AO39" s="325" t="s">
        <v>86</v>
      </c>
      <c r="AP39" s="326">
        <f>('23'!AP38/'23'!Y30)*1000</f>
        <v>7.710765451</v>
      </c>
      <c r="AQ39" s="327" t="s">
        <v>86</v>
      </c>
      <c r="AR39" s="328">
        <f>('23'!AR38/'23'!Y30)*1000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SUM('23'!AK38,'23'!AM38)</f>
        <v>0</v>
      </c>
      <c r="AM40" s="128"/>
      <c r="AO40" s="210" t="s">
        <v>90</v>
      </c>
      <c r="AP40" s="128"/>
      <c r="AQ40" s="211">
        <f>SUM('23'!AP38,'23'!AR38)</f>
        <v>2270</v>
      </c>
      <c r="AR40" s="128"/>
    </row>
    <row r="41" ht="16.5" customHeight="1">
      <c r="A41" s="212">
        <f>COUNTA('23'!E7:E18)</f>
        <v>12</v>
      </c>
      <c r="B41" s="213">
        <f>COUNTA('23'!I7:I18)</f>
        <v>12</v>
      </c>
      <c r="C41" s="214">
        <f>COUNTA('23'!J7:J18)</f>
        <v>11</v>
      </c>
      <c r="D41" s="80"/>
      <c r="E41" s="214">
        <f>COUNTIF('23'!E7:E18,"&gt;15")</f>
        <v>0</v>
      </c>
      <c r="F41" s="80"/>
      <c r="G41" s="214">
        <f>COUNTIF('23'!J7:J18,"&gt;1")</f>
        <v>0</v>
      </c>
      <c r="H41" s="80"/>
      <c r="I41" s="215"/>
      <c r="J41" s="214">
        <f>'23'!A41-'23'!E41</f>
        <v>12</v>
      </c>
      <c r="K41" s="80"/>
      <c r="L41" s="214">
        <f>'23'!C41-'23'!G41</f>
        <v>11</v>
      </c>
      <c r="M41" s="80"/>
      <c r="N41" s="215"/>
      <c r="O41" s="216">
        <f>COUNTIF('23'!J7:J18,"&lt;=0,5")</f>
        <v>0</v>
      </c>
      <c r="P41" s="217"/>
      <c r="Q41" s="218"/>
      <c r="R41" s="219"/>
      <c r="S41" s="220">
        <f>COUNTIF('23'!J7:J18,"&lt;=1,0")</f>
        <v>11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SUM(('23'!AK38+'23'!AM38)/'23'!Y30)*1000</f>
        <v>0</v>
      </c>
      <c r="AM41" s="128"/>
      <c r="AO41" s="210" t="s">
        <v>91</v>
      </c>
      <c r="AP41" s="128"/>
      <c r="AQ41" s="223">
        <f>SUM(('23'!AP38+'23'!AR38)/'23'!Y30)*1000</f>
        <v>7.710765451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SUM('23'!Y45,'23'!AA45,'23'!AC45,'23'!AE45)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COUNTIF('23'!I7:I18,"&lt;=5,0")</f>
        <v>12</v>
      </c>
      <c r="I45" s="127"/>
      <c r="J45" s="128"/>
      <c r="K45" s="215"/>
      <c r="L45" s="208">
        <f>COUNTA('23'!L37)</f>
        <v>0</v>
      </c>
      <c r="M45" s="128"/>
      <c r="O45" s="248"/>
      <c r="P45" s="249"/>
      <c r="Q45" s="250">
        <f>'23'!S41-'23'!O41</f>
        <v>11</v>
      </c>
      <c r="R45" s="251"/>
      <c r="S45" s="252"/>
      <c r="T45" s="253"/>
      <c r="X45" s="133" t="s">
        <v>104</v>
      </c>
      <c r="Y45" s="254">
        <f>'23'!Y44*275.3</f>
        <v>0</v>
      </c>
      <c r="Z45" s="133" t="s">
        <v>104</v>
      </c>
      <c r="AA45" s="254">
        <f>262.4*'23'!AA44</f>
        <v>0</v>
      </c>
      <c r="AB45" s="133" t="s">
        <v>104</v>
      </c>
      <c r="AC45" s="254">
        <f>'23'!AC44*277.7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75" customHeight="1">
      <c r="F46" s="257"/>
      <c r="X46" s="196" t="s">
        <v>105</v>
      </c>
      <c r="Y46" s="258">
        <f>'23'!AS6</f>
        <v>1.34</v>
      </c>
      <c r="Z46" s="196" t="s">
        <v>105</v>
      </c>
      <c r="AA46" s="258">
        <f>'23'!Y46</f>
        <v>1.34</v>
      </c>
      <c r="AB46" s="196" t="s">
        <v>105</v>
      </c>
      <c r="AC46" s="258">
        <f>'23'!Y46</f>
        <v>1.34</v>
      </c>
      <c r="AD46" s="196" t="s">
        <v>105</v>
      </c>
      <c r="AE46" s="259">
        <f>'23'!Y46</f>
        <v>1.34</v>
      </c>
      <c r="AF46" s="260" t="s">
        <v>106</v>
      </c>
      <c r="AG46" s="261">
        <f>SUM('23'!Y47,'23'!AA47,'23'!AC47,'23'!AE47)</f>
        <v>0</v>
      </c>
      <c r="AI46" s="478" t="s">
        <v>101</v>
      </c>
      <c r="AJ46" s="479"/>
      <c r="AK46" s="478" t="s">
        <v>101</v>
      </c>
      <c r="AL46" s="479"/>
      <c r="AM46" s="478" t="s">
        <v>101</v>
      </c>
      <c r="AN46" s="479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'23'!Y45*'23'!Y46</f>
        <v>0</v>
      </c>
      <c r="Z47" s="133" t="s">
        <v>108</v>
      </c>
      <c r="AA47" s="254">
        <f>'23'!AA45*'23'!AA46</f>
        <v>0</v>
      </c>
      <c r="AB47" s="133" t="s">
        <v>108</v>
      </c>
      <c r="AC47" s="254">
        <f>'23'!AC45*'23'!AC46</f>
        <v>0</v>
      </c>
      <c r="AD47" s="133" t="s">
        <v>108</v>
      </c>
      <c r="AE47" s="254">
        <f>'23'!AE45*'23'!AE46</f>
        <v>0</v>
      </c>
      <c r="AF47" s="46"/>
      <c r="AG47" s="46"/>
      <c r="AI47" s="480" t="s">
        <v>104</v>
      </c>
      <c r="AJ47" s="481">
        <f>'10'!AJ46*275.3</f>
        <v>0</v>
      </c>
      <c r="AK47" s="480" t="s">
        <v>104</v>
      </c>
      <c r="AL47" s="481">
        <f>262.4*'10'!AL46</f>
        <v>0</v>
      </c>
      <c r="AM47" s="480" t="s">
        <v>104</v>
      </c>
      <c r="AN47" s="481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482" t="s">
        <v>105</v>
      </c>
      <c r="AJ48" s="483">
        <f>'10'!Y46</f>
        <v>1.33</v>
      </c>
      <c r="AK48" s="484" t="s">
        <v>105</v>
      </c>
      <c r="AL48" s="483">
        <f>'10'!AJ48</f>
        <v>1.33</v>
      </c>
      <c r="AM48" s="484" t="s">
        <v>105</v>
      </c>
      <c r="AN48" s="483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480" t="s">
        <v>108</v>
      </c>
      <c r="AJ49" s="481">
        <f>'10'!AJ47*'10'!AJ48</f>
        <v>0</v>
      </c>
      <c r="AK49" s="480" t="s">
        <v>108</v>
      </c>
      <c r="AL49" s="481">
        <f>'10'!AL47*'10'!AL48</f>
        <v>0</v>
      </c>
      <c r="AM49" s="480" t="s">
        <v>108</v>
      </c>
      <c r="AN49" s="481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</row>
    <row r="51" ht="16.5" customHeight="1">
      <c r="O51" s="208">
        <f>COUNTA('23'!O7:O18)</f>
        <v>12</v>
      </c>
      <c r="P51" s="128"/>
      <c r="R51" s="247">
        <f>COUNTIF('23'!O7:O18,"&gt;=0,5")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SUM('23'!Y53,'23'!AA53,'23'!AC53,'23'!AE53)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'23'!Y52*275.3</f>
        <v>0</v>
      </c>
      <c r="Z53" s="133" t="s">
        <v>104</v>
      </c>
      <c r="AA53" s="254">
        <f>262.4*'23'!AA52</f>
        <v>0</v>
      </c>
      <c r="AB53" s="133" t="s">
        <v>104</v>
      </c>
      <c r="AC53" s="276">
        <f>'23'!AC52*277.7</f>
        <v>0</v>
      </c>
      <c r="AD53" s="133" t="s">
        <v>104</v>
      </c>
      <c r="AE53" s="352">
        <v>0.0</v>
      </c>
      <c r="AF53" s="46"/>
      <c r="AG53" s="46"/>
      <c r="AI53" s="478" t="s">
        <v>101</v>
      </c>
      <c r="AJ53" s="485">
        <v>0.0</v>
      </c>
      <c r="AK53" s="478" t="s">
        <v>101</v>
      </c>
      <c r="AL53" s="486"/>
      <c r="AM53" s="478" t="s">
        <v>101</v>
      </c>
      <c r="AN53" s="486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'23'!AS7</f>
        <v>1.33</v>
      </c>
      <c r="Z54" s="196" t="s">
        <v>105</v>
      </c>
      <c r="AA54" s="258">
        <f>'23'!Y54</f>
        <v>1.33</v>
      </c>
      <c r="AB54" s="196" t="s">
        <v>105</v>
      </c>
      <c r="AC54" s="258">
        <f>'23'!Y54</f>
        <v>1.33</v>
      </c>
      <c r="AD54" s="196" t="s">
        <v>105</v>
      </c>
      <c r="AE54" s="259">
        <f>'23'!Y54</f>
        <v>1.33</v>
      </c>
      <c r="AF54" s="260" t="s">
        <v>106</v>
      </c>
      <c r="AG54" s="261">
        <f>SUM('23'!Y55,'23'!AA55,'23'!AC55,'23'!AE55)</f>
        <v>0</v>
      </c>
      <c r="AI54" s="480" t="s">
        <v>104</v>
      </c>
      <c r="AJ54" s="481">
        <f>AJ53*275.3</f>
        <v>0</v>
      </c>
      <c r="AK54" s="480" t="s">
        <v>104</v>
      </c>
      <c r="AL54" s="481">
        <f>262.4*'10'!AL53</f>
        <v>0</v>
      </c>
      <c r="AM54" s="480" t="s">
        <v>104</v>
      </c>
      <c r="AN54" s="487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'23'!Y53*'23'!Y54</f>
        <v>0</v>
      </c>
      <c r="Z55" s="133" t="s">
        <v>108</v>
      </c>
      <c r="AA55" s="254">
        <f>'23'!AA53*'23'!AA54</f>
        <v>0</v>
      </c>
      <c r="AB55" s="133" t="s">
        <v>108</v>
      </c>
      <c r="AC55" s="254">
        <f>'23'!AC53*'23'!AC54</f>
        <v>0</v>
      </c>
      <c r="AD55" s="133" t="s">
        <v>108</v>
      </c>
      <c r="AE55" s="254">
        <f>'23'!AE53*'23'!AE54</f>
        <v>0</v>
      </c>
      <c r="AF55" s="46"/>
      <c r="AG55" s="46"/>
      <c r="AI55" s="482" t="s">
        <v>105</v>
      </c>
      <c r="AJ55" s="483">
        <f>Y54</f>
        <v>1.33</v>
      </c>
      <c r="AK55" s="482" t="s">
        <v>105</v>
      </c>
      <c r="AL55" s="483" t="str">
        <f>'10'!AJ55</f>
        <v/>
      </c>
      <c r="AM55" s="482" t="s">
        <v>105</v>
      </c>
      <c r="AN55" s="483">
        <f>AJ55</f>
        <v>1.33</v>
      </c>
      <c r="AO55" s="43"/>
      <c r="AR55" s="27"/>
    </row>
    <row r="56" ht="13.5" customHeight="1">
      <c r="O56" s="16"/>
      <c r="P56" s="18"/>
      <c r="R56" s="16"/>
      <c r="S56" s="17"/>
      <c r="T56" s="18"/>
      <c r="AI56" s="480" t="s">
        <v>108</v>
      </c>
      <c r="AJ56" s="481">
        <f>AJ54*AJ55</f>
        <v>0</v>
      </c>
      <c r="AK56" s="480" t="s">
        <v>108</v>
      </c>
      <c r="AL56" s="481">
        <f>'10'!AL54*'10'!AL55</f>
        <v>0</v>
      </c>
      <c r="AM56" s="480" t="s">
        <v>108</v>
      </c>
      <c r="AN56" s="481">
        <f>AN54*AN55</f>
        <v>0</v>
      </c>
      <c r="AO56" s="16"/>
      <c r="AP56" s="17"/>
      <c r="AQ56" s="17"/>
      <c r="AR56" s="18"/>
    </row>
    <row r="57" ht="15.75" customHeight="1">
      <c r="O57" s="169">
        <f>COUNTA('23'!N7:N18)</f>
        <v>12</v>
      </c>
      <c r="P57" s="128"/>
      <c r="R57" s="277">
        <f>COUNTIF('23'!N7:N18,"&gt;=6")</f>
        <v>12</v>
      </c>
      <c r="S57" s="127"/>
      <c r="T57" s="128"/>
      <c r="AI57" s="257"/>
      <c r="AJ57" s="257"/>
      <c r="AK57" s="257"/>
      <c r="AL57" s="257"/>
      <c r="AM57" s="257"/>
      <c r="AN57" s="257"/>
      <c r="AO57" s="257"/>
      <c r="AP57" s="257"/>
      <c r="AQ57" s="257"/>
      <c r="AR57" s="257"/>
    </row>
    <row r="58" ht="15.75" customHeight="1">
      <c r="X58" s="278" t="s">
        <v>116</v>
      </c>
      <c r="Y58" s="127"/>
      <c r="Z58" s="127"/>
      <c r="AA58" s="127"/>
      <c r="AB58" s="127"/>
      <c r="AC58" s="128"/>
      <c r="AI58" s="257"/>
      <c r="AJ58" s="257"/>
      <c r="AK58" s="257"/>
      <c r="AL58" s="257"/>
      <c r="AM58" s="257"/>
      <c r="AN58" s="257"/>
      <c r="AO58" s="257"/>
      <c r="AP58" s="257"/>
      <c r="AQ58" s="257"/>
      <c r="AR58" s="257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488" t="s">
        <v>121</v>
      </c>
      <c r="AJ61" s="79"/>
      <c r="AK61" s="80"/>
      <c r="AL61" s="489">
        <f>AJ56+AL56+AN56</f>
        <v>0</v>
      </c>
      <c r="AM61" s="80"/>
      <c r="AN61" s="488" t="s">
        <v>121</v>
      </c>
      <c r="AO61" s="79"/>
      <c r="AP61" s="80"/>
      <c r="AQ61" s="489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488" t="s">
        <v>123</v>
      </c>
      <c r="AJ62" s="79"/>
      <c r="AK62" s="80"/>
      <c r="AL62" s="490">
        <f>AA33</f>
        <v>0</v>
      </c>
      <c r="AM62" s="80"/>
      <c r="AN62" s="488" t="s">
        <v>123</v>
      </c>
      <c r="AO62" s="79"/>
      <c r="AP62" s="80"/>
      <c r="AQ62" s="491">
        <f>'10'!AA32</f>
        <v>44195.9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/>
      <c r="AE63" s="97"/>
      <c r="AI63" s="488" t="s">
        <v>125</v>
      </c>
      <c r="AJ63" s="79"/>
      <c r="AK63" s="80"/>
      <c r="AL63" s="489">
        <f>AL61-AL62</f>
        <v>0</v>
      </c>
      <c r="AM63" s="80"/>
      <c r="AN63" s="488" t="s">
        <v>125</v>
      </c>
      <c r="AO63" s="79"/>
      <c r="AP63" s="80"/>
      <c r="AQ63" s="489">
        <f>'10'!AQ61-'10'!AQ62</f>
        <v>-44195.9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'22'!$Y$68</f>
        <v>-6951.875</v>
      </c>
      <c r="Z65" s="43"/>
      <c r="AA65" s="27"/>
      <c r="AB65" s="299" t="s">
        <v>126</v>
      </c>
      <c r="AC65" s="330">
        <f>'22'!$AC$68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SUM('23'!AK38,'23'!AP38)</f>
        <v>2270</v>
      </c>
      <c r="Z67" s="43"/>
      <c r="AA67" s="27"/>
      <c r="AB67" s="296" t="s">
        <v>124</v>
      </c>
      <c r="AC67" s="254">
        <f>SUM('23'!AM38,'23'!AR38)</f>
        <v>0</v>
      </c>
    </row>
    <row r="68" ht="15.75" customHeight="1">
      <c r="X68" s="294" t="s">
        <v>128</v>
      </c>
      <c r="Y68" s="301">
        <f>SUM('23'!Y63,'23'!Y65)-'23'!Y67</f>
        <v>-9221.875</v>
      </c>
      <c r="Z68" s="16"/>
      <c r="AA68" s="18"/>
      <c r="AB68" s="296" t="s">
        <v>128</v>
      </c>
      <c r="AC68" s="302">
        <f>SUM('23'!AC63,'23'!AC65)-'23'!AC67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0" width="6.14"/>
    <col customWidth="1" min="21" max="21" width="8.71"/>
    <col customWidth="1" min="22" max="24" width="8.57"/>
    <col customWidth="1" min="25" max="26" width="8.14"/>
    <col customWidth="1" min="27" max="37" width="8.57"/>
    <col customWidth="1" min="38" max="38" width="6.14"/>
    <col customWidth="1" min="39" max="40" width="8.57"/>
    <col customWidth="1" min="41" max="41" width="8.14"/>
    <col customWidth="1" min="42" max="42" width="8.57"/>
    <col customWidth="1" min="43" max="43" width="6.14"/>
    <col customWidth="1" min="44" max="47" width="8.57"/>
  </cols>
  <sheetData>
    <row r="1" ht="15.75" customHeight="1"/>
    <row r="2" ht="15.0" customHeight="1">
      <c r="A2" s="10"/>
      <c r="B2" s="11"/>
      <c r="C2" s="12"/>
      <c r="D2" s="1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69" t="s">
        <v>13</v>
      </c>
      <c r="U4" s="332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22</v>
      </c>
      <c r="AF4" s="32" t="s">
        <v>23</v>
      </c>
      <c r="AG4" s="32" t="s">
        <v>24</v>
      </c>
      <c r="AH4" s="32" t="s">
        <v>25</v>
      </c>
      <c r="AI4" s="32" t="s">
        <v>26</v>
      </c>
      <c r="AJ4" s="32" t="s">
        <v>27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6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3390.0</v>
      </c>
      <c r="Z6" s="308">
        <v>1390.0</v>
      </c>
      <c r="AA6" s="56">
        <v>1.0</v>
      </c>
      <c r="AB6" s="58">
        <f>IF('24'!AA6=1,(('24'!Z6*'24'!$AS$6*'24'!$AT$6)/('24'!Y6*0.0036)),IF('24'!AA6=2,(('24'!Z6*'24'!$AS$7*'24'!$AT$7)/('24'!Y6*0.0036))))</f>
        <v>75.74156014</v>
      </c>
      <c r="AC6" s="58"/>
      <c r="AD6" s="59">
        <f>(('24'!AC6*'24'!$Q$10*1000000))/('24'!Y6*3600)</f>
        <v>0</v>
      </c>
      <c r="AE6" s="60"/>
      <c r="AF6" s="61">
        <f>('24'!AE6/24)*0.454</f>
        <v>0</v>
      </c>
      <c r="AG6" s="60"/>
      <c r="AH6" s="61">
        <f>('24'!AG6/24)*0.454</f>
        <v>0</v>
      </c>
      <c r="AI6" s="308">
        <v>5000.0</v>
      </c>
      <c r="AJ6" s="61">
        <f>('24'!AI6/24)*0.454</f>
        <v>94.58333333</v>
      </c>
      <c r="AK6" s="62"/>
      <c r="AL6" s="63">
        <f>('24'!AK6/24)*0.454</f>
        <v>0</v>
      </c>
      <c r="AM6" s="62"/>
      <c r="AN6" s="63">
        <f>('24'!AM6/24)*0.454</f>
        <v>0</v>
      </c>
      <c r="AO6" s="62"/>
      <c r="AP6" s="63">
        <f>('24'!AO6/24)*0.454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208.0</v>
      </c>
      <c r="C7" s="76">
        <v>20.0</v>
      </c>
      <c r="D7" s="76">
        <v>1.6</v>
      </c>
      <c r="E7" s="76">
        <v>4.0</v>
      </c>
      <c r="F7" s="76">
        <v>73.0</v>
      </c>
      <c r="G7" s="76">
        <v>2.2</v>
      </c>
      <c r="H7" s="76">
        <v>1.7</v>
      </c>
      <c r="I7" s="76">
        <v>0.7</v>
      </c>
      <c r="J7" s="76">
        <v>0.9</v>
      </c>
      <c r="K7" s="76">
        <v>6.9</v>
      </c>
      <c r="L7" s="76">
        <v>6.4</v>
      </c>
      <c r="M7" s="76">
        <v>6.4</v>
      </c>
      <c r="N7" s="76">
        <v>6.0</v>
      </c>
      <c r="O7" s="76">
        <v>3.3</v>
      </c>
      <c r="P7" s="76"/>
      <c r="Q7" s="310"/>
      <c r="R7" s="77">
        <f>'23'!$Z$29</f>
        <v>1390</v>
      </c>
      <c r="S7" s="309">
        <f>'23'!$AB$29</f>
        <v>76.37863727</v>
      </c>
      <c r="T7" s="77">
        <f>'23'!$Y$29</f>
        <v>3387</v>
      </c>
      <c r="U7" s="73" t="str">
        <f>IF('24'!AA6=1,'24'!AR6,'24'!AR7)</f>
        <v>S.A.L</v>
      </c>
      <c r="V7" s="74" t="str">
        <f>ESCALA!$C$25</f>
        <v/>
      </c>
      <c r="W7" s="12"/>
      <c r="X7" s="54">
        <v>0.0833333333333333</v>
      </c>
      <c r="Y7" s="125">
        <v>3400.0</v>
      </c>
      <c r="Z7" s="60">
        <v>1390.0</v>
      </c>
      <c r="AA7" s="56">
        <v>1.0</v>
      </c>
      <c r="AB7" s="58">
        <f>IF('24'!AA7=1,(('24'!Z7*'24'!$AS$6*'24'!$AT$6)/('24'!Y7*0.0036)),IF('24'!AA7=2,(('24'!Z7*'24'!$AS$7*'24'!$AT$7)/('24'!Y7*0.0036))))</f>
        <v>75.51879085</v>
      </c>
      <c r="AC7" s="58"/>
      <c r="AD7" s="59">
        <f>(('24'!AC7*'24'!$Q$10*1000000))/('24'!Y7*3600)</f>
        <v>0</v>
      </c>
      <c r="AE7" s="60"/>
      <c r="AF7" s="61">
        <f>('24'!AE7/24)*0.454</f>
        <v>0</v>
      </c>
      <c r="AG7" s="60"/>
      <c r="AH7" s="61">
        <f>('24'!AG7/24)*0.454</f>
        <v>0</v>
      </c>
      <c r="AI7" s="308">
        <v>5000.0</v>
      </c>
      <c r="AJ7" s="61">
        <f>('24'!AI7/24)*0.454</f>
        <v>94.58333333</v>
      </c>
      <c r="AK7" s="62"/>
      <c r="AL7" s="63">
        <f>('24'!AK7/24)*0.454</f>
        <v>0</v>
      </c>
      <c r="AM7" s="62"/>
      <c r="AN7" s="63">
        <f>('24'!AM7/24)*0.454</f>
        <v>0</v>
      </c>
      <c r="AO7" s="62"/>
      <c r="AP7" s="63">
        <f>('24'!AO7/24)*0.454</f>
        <v>0</v>
      </c>
      <c r="AQ7" s="65">
        <v>2.0</v>
      </c>
      <c r="AR7" s="66" t="s">
        <v>49</v>
      </c>
      <c r="AS7" s="67">
        <v>1.345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211.0</v>
      </c>
      <c r="C8" s="76">
        <v>21.0</v>
      </c>
      <c r="D8" s="76">
        <v>1.6</v>
      </c>
      <c r="E8" s="76">
        <v>4.0</v>
      </c>
      <c r="F8" s="76">
        <v>69.0</v>
      </c>
      <c r="G8" s="76">
        <v>2.1</v>
      </c>
      <c r="H8" s="76">
        <v>1.5</v>
      </c>
      <c r="I8" s="76">
        <v>0.6</v>
      </c>
      <c r="J8" s="76">
        <v>0.9</v>
      </c>
      <c r="K8" s="76">
        <v>6.9</v>
      </c>
      <c r="L8" s="76">
        <v>6.4</v>
      </c>
      <c r="M8" s="76">
        <v>6.4</v>
      </c>
      <c r="N8" s="76">
        <v>6.0</v>
      </c>
      <c r="O8" s="76">
        <v>3.2</v>
      </c>
      <c r="P8" s="76"/>
      <c r="Q8" s="310"/>
      <c r="R8" s="75">
        <f>'24'!Z7</f>
        <v>1390</v>
      </c>
      <c r="S8" s="76">
        <f>'24'!AB7</f>
        <v>75.51879085</v>
      </c>
      <c r="T8" s="77">
        <f>'24'!Y7</f>
        <v>3400</v>
      </c>
      <c r="U8" s="73" t="str">
        <f>IF('24'!AA7=1,'24'!AR6,'24'!AR7)</f>
        <v>S.A.L</v>
      </c>
      <c r="V8" s="43"/>
      <c r="W8" s="27"/>
      <c r="X8" s="54">
        <v>0.125</v>
      </c>
      <c r="Y8" s="125">
        <v>3243.0</v>
      </c>
      <c r="Z8" s="60">
        <v>1390.0</v>
      </c>
      <c r="AA8" s="56">
        <v>1.0</v>
      </c>
      <c r="AB8" s="58">
        <f>IF('24'!AA8=1,(('24'!Z8*'24'!$AS$6*'24'!$AT$6)/('24'!Y8*0.0036)),IF('24'!AA8=2,(('24'!Z8*'24'!$AS$7*'24'!$AT$7)/('24'!Y8*0.0036))))</f>
        <v>79.17480385</v>
      </c>
      <c r="AC8" s="58"/>
      <c r="AD8" s="59">
        <f>(('24'!AC8*'24'!$Q$10*1000000))/('24'!Y8*3600)</f>
        <v>0</v>
      </c>
      <c r="AE8" s="60"/>
      <c r="AF8" s="61">
        <f>('24'!AE8/24)*0.454</f>
        <v>0</v>
      </c>
      <c r="AG8" s="60"/>
      <c r="AH8" s="61">
        <f>('24'!AG8/24)*0.454</f>
        <v>0</v>
      </c>
      <c r="AI8" s="308">
        <v>5000.0</v>
      </c>
      <c r="AJ8" s="61">
        <f>('24'!AI8/24)*0.454</f>
        <v>94.58333333</v>
      </c>
      <c r="AK8" s="62"/>
      <c r="AL8" s="63">
        <f>('24'!AK8/24)*0.454</f>
        <v>0</v>
      </c>
      <c r="AM8" s="62"/>
      <c r="AN8" s="63">
        <f>('24'!AM8/24)*0.454</f>
        <v>0</v>
      </c>
      <c r="AO8" s="62"/>
      <c r="AP8" s="63">
        <f>('24'!AO8/24)*0.454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203.0</v>
      </c>
      <c r="C9" s="76">
        <v>21.0</v>
      </c>
      <c r="D9" s="76">
        <v>1.4</v>
      </c>
      <c r="E9" s="76">
        <v>4.0</v>
      </c>
      <c r="F9" s="76">
        <v>70.0</v>
      </c>
      <c r="G9" s="76">
        <v>1.9</v>
      </c>
      <c r="H9" s="76">
        <v>1.6</v>
      </c>
      <c r="I9" s="76">
        <v>0.6</v>
      </c>
      <c r="J9" s="76">
        <v>0.7</v>
      </c>
      <c r="K9" s="76">
        <v>6.9</v>
      </c>
      <c r="L9" s="76">
        <v>6.4</v>
      </c>
      <c r="M9" s="76">
        <v>6.4</v>
      </c>
      <c r="N9" s="76">
        <v>6.0</v>
      </c>
      <c r="O9" s="76">
        <v>3.2</v>
      </c>
      <c r="P9" s="76"/>
      <c r="Q9" s="310"/>
      <c r="R9" s="77">
        <f>'24'!Z9</f>
        <v>1390</v>
      </c>
      <c r="S9" s="76">
        <f>'24'!AB9</f>
        <v>81.95464056</v>
      </c>
      <c r="T9" s="77">
        <f>'24'!Y9</f>
        <v>3133</v>
      </c>
      <c r="U9" s="73" t="str">
        <f>IF('24'!AA9=1,'24'!AR6,'24'!AR7)</f>
        <v>S.A.L</v>
      </c>
      <c r="V9" s="43"/>
      <c r="W9" s="27"/>
      <c r="X9" s="54">
        <v>0.166666666666667</v>
      </c>
      <c r="Y9" s="125">
        <v>3133.0</v>
      </c>
      <c r="Z9" s="60">
        <v>1390.0</v>
      </c>
      <c r="AA9" s="56">
        <v>1.0</v>
      </c>
      <c r="AB9" s="58">
        <f>IF('24'!AA9=1,(('24'!Z9*'24'!$AS$6*'24'!$AT$6)/('24'!Y9*0.0036)),IF('24'!AA9=2,(('24'!Z9*'24'!$AS$7*'24'!$AT$7)/('24'!Y9*0.0036))))</f>
        <v>81.95464056</v>
      </c>
      <c r="AC9" s="58"/>
      <c r="AD9" s="59">
        <f>(('24'!AC9*'24'!$Q$10*1000000))/('24'!Y9*3600)</f>
        <v>0</v>
      </c>
      <c r="AE9" s="60"/>
      <c r="AF9" s="61">
        <f>('24'!AE9/24)*0.454</f>
        <v>0</v>
      </c>
      <c r="AG9" s="60"/>
      <c r="AH9" s="61">
        <f>('24'!AG9/24)*0.454</f>
        <v>0</v>
      </c>
      <c r="AI9" s="308">
        <v>5000.0</v>
      </c>
      <c r="AJ9" s="61">
        <f>('24'!AI9/24)*0.454</f>
        <v>94.58333333</v>
      </c>
      <c r="AK9" s="62"/>
      <c r="AL9" s="63">
        <f>('24'!AK9/24)*0.454</f>
        <v>0</v>
      </c>
      <c r="AM9" s="62"/>
      <c r="AN9" s="63">
        <f>('24'!AM9/24)*0.454</f>
        <v>0</v>
      </c>
      <c r="AO9" s="62"/>
      <c r="AP9" s="63">
        <f>('24'!AO9/24)*0.454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198.0</v>
      </c>
      <c r="C10" s="76">
        <v>19.0</v>
      </c>
      <c r="D10" s="76">
        <v>1.4</v>
      </c>
      <c r="E10" s="76">
        <v>4.0</v>
      </c>
      <c r="F10" s="76">
        <v>61.0</v>
      </c>
      <c r="G10" s="76">
        <v>2.0</v>
      </c>
      <c r="H10" s="76">
        <v>1.6</v>
      </c>
      <c r="I10" s="76">
        <v>0.6</v>
      </c>
      <c r="J10" s="76">
        <v>0.8</v>
      </c>
      <c r="K10" s="76">
        <v>6.9</v>
      </c>
      <c r="L10" s="76">
        <v>6.4</v>
      </c>
      <c r="M10" s="76">
        <v>6.4</v>
      </c>
      <c r="N10" s="76">
        <v>6.0</v>
      </c>
      <c r="O10" s="76">
        <v>3.2</v>
      </c>
      <c r="P10" s="76"/>
      <c r="Q10" s="310"/>
      <c r="R10" s="77">
        <f>'24'!Z11</f>
        <v>1390</v>
      </c>
      <c r="S10" s="76">
        <f>'24'!AB11</f>
        <v>79.51808265</v>
      </c>
      <c r="T10" s="77">
        <f>'24'!Y11</f>
        <v>3229</v>
      </c>
      <c r="U10" s="73" t="str">
        <f>IF('24'!AA11=1,'24'!AR6,'24'!AR7)</f>
        <v>S.A.L</v>
      </c>
      <c r="V10" s="43"/>
      <c r="W10" s="27"/>
      <c r="X10" s="54">
        <v>0.208333333333333</v>
      </c>
      <c r="Y10" s="125">
        <v>3155.0</v>
      </c>
      <c r="Z10" s="60">
        <v>1390.0</v>
      </c>
      <c r="AA10" s="56">
        <v>1.0</v>
      </c>
      <c r="AB10" s="58">
        <f>IF('24'!AA10=1,(('24'!Z10*'24'!$AS$6*'24'!$AT$6)/('24'!Y10*0.0036)),IF('24'!AA10=2,(('24'!Z10*'24'!$AS$7*'24'!$AT$7)/('24'!Y10*0.0036))))</f>
        <v>81.38316605</v>
      </c>
      <c r="AC10" s="58"/>
      <c r="AD10" s="59">
        <f>(('24'!AC10*'24'!$Q$10*1000000))/('24'!Y10*3600)</f>
        <v>0</v>
      </c>
      <c r="AE10" s="60"/>
      <c r="AF10" s="61">
        <f>('24'!AE10/24)*0.454</f>
        <v>0</v>
      </c>
      <c r="AG10" s="60"/>
      <c r="AH10" s="61">
        <f>('24'!AG10/24)*0.454</f>
        <v>0</v>
      </c>
      <c r="AI10" s="308">
        <v>5000.0</v>
      </c>
      <c r="AJ10" s="61">
        <f>('24'!AI10/24)*0.454</f>
        <v>94.58333333</v>
      </c>
      <c r="AK10" s="62"/>
      <c r="AL10" s="63">
        <f>('24'!AK10/24)*0.454</f>
        <v>0</v>
      </c>
      <c r="AM10" s="62"/>
      <c r="AN10" s="63">
        <f>('24'!AM10/24)*0.454</f>
        <v>0</v>
      </c>
      <c r="AO10" s="62"/>
      <c r="AP10" s="63">
        <f>('24'!AO10/24)*0.454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216.0</v>
      </c>
      <c r="C11" s="76">
        <v>19.0</v>
      </c>
      <c r="D11" s="76">
        <v>15.0</v>
      </c>
      <c r="E11" s="76">
        <v>5.0</v>
      </c>
      <c r="F11" s="76">
        <v>70.0</v>
      </c>
      <c r="G11" s="76">
        <v>1.9</v>
      </c>
      <c r="H11" s="76">
        <v>1.6</v>
      </c>
      <c r="I11" s="76">
        <v>0.5</v>
      </c>
      <c r="J11" s="76">
        <v>0.7</v>
      </c>
      <c r="K11" s="76">
        <v>6.9</v>
      </c>
      <c r="L11" s="76">
        <v>6.4</v>
      </c>
      <c r="M11" s="76">
        <v>6.4</v>
      </c>
      <c r="N11" s="76">
        <v>6.0</v>
      </c>
      <c r="O11" s="76">
        <v>3.2</v>
      </c>
      <c r="P11" s="76"/>
      <c r="Q11" s="310"/>
      <c r="R11" s="77">
        <f>'24'!Z13</f>
        <v>1390</v>
      </c>
      <c r="S11" s="76">
        <f>'24'!AB13</f>
        <v>76.05565429</v>
      </c>
      <c r="T11" s="77">
        <f>'24'!Y13</f>
        <v>3376</v>
      </c>
      <c r="U11" s="73" t="str">
        <f>IF('24'!AA13=1,'24'!AR6,'24'!AR7)</f>
        <v>S.A.L</v>
      </c>
      <c r="V11" s="16"/>
      <c r="W11" s="18"/>
      <c r="X11" s="54">
        <v>0.25</v>
      </c>
      <c r="Y11" s="125">
        <v>3229.0</v>
      </c>
      <c r="Z11" s="60">
        <v>1390.0</v>
      </c>
      <c r="AA11" s="56">
        <v>1.0</v>
      </c>
      <c r="AB11" s="58">
        <f>IF('24'!AA11=1,(('24'!Z11*'24'!$AS$6*'24'!$AT$6)/('24'!Y11*0.0036)),IF('24'!AA11=2,(('24'!Z11*'24'!$AS$7*'24'!$AT$7)/('24'!Y11*0.0036))))</f>
        <v>79.51808265</v>
      </c>
      <c r="AC11" s="58"/>
      <c r="AD11" s="59">
        <f>(('24'!AC11*'24'!$Q$10*1000000))/('24'!Y11*3600)</f>
        <v>0</v>
      </c>
      <c r="AE11" s="60"/>
      <c r="AF11" s="61">
        <f>('24'!AE11/24)*0.454</f>
        <v>0</v>
      </c>
      <c r="AG11" s="60"/>
      <c r="AH11" s="61">
        <f>('24'!AG11/24)*0.454</f>
        <v>0</v>
      </c>
      <c r="AI11" s="308">
        <v>5000.0</v>
      </c>
      <c r="AJ11" s="61">
        <f>('24'!AI11/24)*0.454</f>
        <v>94.58333333</v>
      </c>
      <c r="AK11" s="62"/>
      <c r="AL11" s="63">
        <f>('24'!AK11/24)*0.454</f>
        <v>0</v>
      </c>
      <c r="AM11" s="62"/>
      <c r="AN11" s="63">
        <f>('24'!AM11/24)*0.454</f>
        <v>0</v>
      </c>
      <c r="AO11" s="62"/>
      <c r="AP11" s="63">
        <f>('24'!AO11/24)*0.454</f>
        <v>0</v>
      </c>
    </row>
    <row r="12" ht="18.75" customHeight="1">
      <c r="A12" s="69">
        <v>0.416666666666667</v>
      </c>
      <c r="B12" s="76">
        <v>214.0</v>
      </c>
      <c r="C12" s="76">
        <v>20.0</v>
      </c>
      <c r="D12" s="76">
        <v>16.0</v>
      </c>
      <c r="E12" s="76">
        <v>5.0</v>
      </c>
      <c r="F12" s="76">
        <v>68.0</v>
      </c>
      <c r="G12" s="76">
        <v>1.8</v>
      </c>
      <c r="H12" s="76">
        <v>1.7</v>
      </c>
      <c r="I12" s="76">
        <v>0.6</v>
      </c>
      <c r="J12" s="76">
        <v>0.8</v>
      </c>
      <c r="K12" s="76">
        <v>6.9</v>
      </c>
      <c r="L12" s="76">
        <v>6.4</v>
      </c>
      <c r="M12" s="76">
        <v>6.4</v>
      </c>
      <c r="N12" s="76">
        <v>6.0</v>
      </c>
      <c r="O12" s="76">
        <v>3.2</v>
      </c>
      <c r="P12" s="76"/>
      <c r="Q12" s="310"/>
      <c r="R12" s="77">
        <f>'24'!Z15</f>
        <v>1390</v>
      </c>
      <c r="S12" s="76">
        <f>'24'!AB15</f>
        <v>76.44057424</v>
      </c>
      <c r="T12" s="77">
        <f>'24'!Y15</f>
        <v>3359</v>
      </c>
      <c r="U12" s="73" t="str">
        <f>IF('24'!AA15=1,'24'!AR6,'24'!AR7)</f>
        <v>S.A.L</v>
      </c>
      <c r="V12" s="88" t="str">
        <f>ESCALA!$B$26</f>
        <v/>
      </c>
      <c r="W12" s="89"/>
      <c r="X12" s="54">
        <v>0.291666666666667</v>
      </c>
      <c r="Y12" s="125">
        <v>3343.0</v>
      </c>
      <c r="Z12" s="60">
        <v>1390.0</v>
      </c>
      <c r="AA12" s="56">
        <v>1.0</v>
      </c>
      <c r="AB12" s="58">
        <f>IF('24'!AA12=1,(('24'!Z12*'24'!$AS$6*'24'!$AT$6)/('24'!Y12*0.0036)),IF('24'!AA12=2,(('24'!Z12*'24'!$AS$7*'24'!$AT$7)/('24'!Y12*0.0036))))</f>
        <v>76.80642803</v>
      </c>
      <c r="AC12" s="58"/>
      <c r="AD12" s="59">
        <f>(('24'!AC12*'24'!$Q$10*1000000))/('24'!Y12*3600)</f>
        <v>0</v>
      </c>
      <c r="AE12" s="60"/>
      <c r="AF12" s="61">
        <f>('24'!AE12/24)*0.454</f>
        <v>0</v>
      </c>
      <c r="AG12" s="60"/>
      <c r="AH12" s="61">
        <f>('24'!AG12/24)*0.454</f>
        <v>0</v>
      </c>
      <c r="AI12" s="308">
        <v>5000.0</v>
      </c>
      <c r="AJ12" s="61">
        <f>('24'!AI12/24)*0.454</f>
        <v>94.58333333</v>
      </c>
      <c r="AK12" s="62"/>
      <c r="AL12" s="63">
        <f>('24'!AK12/24)*0.454</f>
        <v>0</v>
      </c>
      <c r="AM12" s="62"/>
      <c r="AN12" s="63">
        <f>('24'!AM12/24)*0.454</f>
        <v>0</v>
      </c>
      <c r="AO12" s="62"/>
      <c r="AP12" s="63">
        <f>('24'!AO12/24)*0.454</f>
        <v>0</v>
      </c>
    </row>
    <row r="13" ht="18.75" customHeight="1">
      <c r="A13" s="69">
        <v>0.5</v>
      </c>
      <c r="B13" s="76">
        <v>218.0</v>
      </c>
      <c r="C13" s="76">
        <v>20.0</v>
      </c>
      <c r="D13" s="76">
        <v>16.0</v>
      </c>
      <c r="E13" s="76">
        <v>5.0</v>
      </c>
      <c r="F13" s="76">
        <v>73.0</v>
      </c>
      <c r="G13" s="76">
        <v>1.8</v>
      </c>
      <c r="H13" s="76">
        <v>1.7</v>
      </c>
      <c r="I13" s="76">
        <v>0.6</v>
      </c>
      <c r="J13" s="76">
        <v>0.7</v>
      </c>
      <c r="K13" s="76">
        <v>6.9</v>
      </c>
      <c r="L13" s="76">
        <v>6.4</v>
      </c>
      <c r="M13" s="76">
        <v>6.4</v>
      </c>
      <c r="N13" s="76">
        <v>6.0</v>
      </c>
      <c r="O13" s="76">
        <v>3.2</v>
      </c>
      <c r="P13" s="76"/>
      <c r="Q13" s="310"/>
      <c r="R13" s="77">
        <f>'24'!Z17</f>
        <v>1390</v>
      </c>
      <c r="S13" s="76">
        <f>'24'!AB17</f>
        <v>74.98945353</v>
      </c>
      <c r="T13" s="77">
        <f>'24'!Y17</f>
        <v>3424</v>
      </c>
      <c r="U13" s="73" t="str">
        <f>IF('24'!AA17=1,'24'!AR6,'24'!AR7)</f>
        <v>S.A.L</v>
      </c>
      <c r="V13" s="43"/>
      <c r="W13" s="27"/>
      <c r="X13" s="54">
        <v>0.333333333333333</v>
      </c>
      <c r="Y13" s="125">
        <v>3376.0</v>
      </c>
      <c r="Z13" s="60">
        <v>1390.0</v>
      </c>
      <c r="AA13" s="56">
        <v>1.0</v>
      </c>
      <c r="AB13" s="58">
        <f>IF('24'!AA13=1,(('24'!Z13*'24'!$AS$6*'24'!$AT$6)/('24'!Y13*0.0036)),IF('24'!AA13=2,(('24'!Z13*'24'!$AS$7*'24'!$AT$7)/('24'!Y13*0.0036))))</f>
        <v>76.05565429</v>
      </c>
      <c r="AC13" s="58"/>
      <c r="AD13" s="59">
        <f>(('24'!AC13*'24'!$Q$10*1000000))/('24'!Y13*3600)</f>
        <v>0</v>
      </c>
      <c r="AE13" s="60"/>
      <c r="AF13" s="61">
        <f>('24'!AE13/24)*0.454</f>
        <v>0</v>
      </c>
      <c r="AG13" s="60"/>
      <c r="AH13" s="61">
        <f>('24'!AG13/24)*0.454</f>
        <v>0</v>
      </c>
      <c r="AI13" s="308">
        <v>5000.0</v>
      </c>
      <c r="AJ13" s="61">
        <f>('24'!AI13/24)*0.454</f>
        <v>94.58333333</v>
      </c>
      <c r="AK13" s="62"/>
      <c r="AL13" s="63">
        <f>('24'!AK13/24)*0.454</f>
        <v>0</v>
      </c>
      <c r="AM13" s="62"/>
      <c r="AN13" s="63">
        <f>('24'!AM13/24)*0.454</f>
        <v>0</v>
      </c>
      <c r="AO13" s="62"/>
      <c r="AP13" s="63">
        <f>('24'!AO13/24)*0.454</f>
        <v>0</v>
      </c>
    </row>
    <row r="14" ht="18.75" customHeight="1">
      <c r="A14" s="69">
        <v>0.583333333333333</v>
      </c>
      <c r="B14" s="76">
        <v>215.0</v>
      </c>
      <c r="C14" s="76">
        <v>20.0</v>
      </c>
      <c r="D14" s="76">
        <v>16.0</v>
      </c>
      <c r="E14" s="76">
        <v>4.0</v>
      </c>
      <c r="F14" s="76">
        <v>71.0</v>
      </c>
      <c r="G14" s="76">
        <v>1.0</v>
      </c>
      <c r="H14" s="76">
        <v>1.6</v>
      </c>
      <c r="I14" s="76">
        <v>0.6</v>
      </c>
      <c r="J14" s="76">
        <v>0.6</v>
      </c>
      <c r="K14" s="76">
        <v>6.9</v>
      </c>
      <c r="L14" s="76">
        <v>6.4</v>
      </c>
      <c r="M14" s="76">
        <v>6.4</v>
      </c>
      <c r="N14" s="76">
        <v>6.0</v>
      </c>
      <c r="O14" s="76">
        <v>3.0</v>
      </c>
      <c r="P14" s="76"/>
      <c r="Q14" s="310"/>
      <c r="R14" s="77">
        <f>'24'!Z19</f>
        <v>1390</v>
      </c>
      <c r="S14" s="76">
        <f>'24'!AB19</f>
        <v>75.9881293</v>
      </c>
      <c r="T14" s="77">
        <f>'24'!Y19</f>
        <v>3379</v>
      </c>
      <c r="U14" s="73" t="str">
        <f>IF('24'!AA19=1,'24'!AR6,'24'!AR7)</f>
        <v>S.A.L</v>
      </c>
      <c r="V14" s="43"/>
      <c r="W14" s="27"/>
      <c r="X14" s="54">
        <v>0.375</v>
      </c>
      <c r="Y14" s="125">
        <v>3411.0</v>
      </c>
      <c r="Z14" s="60">
        <v>1390.0</v>
      </c>
      <c r="AA14" s="56">
        <v>1.0</v>
      </c>
      <c r="AB14" s="58">
        <f>IF('24'!AA14=1,(('24'!Z14*'24'!$AS$6*'24'!$AT$6)/('24'!Y14*0.0036)),IF('24'!AA14=2,(('24'!Z14*'24'!$AS$7*'24'!$AT$7)/('24'!Y14*0.0036))))</f>
        <v>75.27525327</v>
      </c>
      <c r="AC14" s="58"/>
      <c r="AD14" s="59">
        <f>(('24'!AC14*'24'!$Q$10*1000000))/('24'!Y14*3600)</f>
        <v>0</v>
      </c>
      <c r="AE14" s="60"/>
      <c r="AF14" s="61">
        <f>('24'!AE14/24)*0.454</f>
        <v>0</v>
      </c>
      <c r="AG14" s="60"/>
      <c r="AH14" s="61">
        <f>('24'!AG14/24)*0.454</f>
        <v>0</v>
      </c>
      <c r="AI14" s="308">
        <v>5000.0</v>
      </c>
      <c r="AJ14" s="61">
        <f>('24'!AI14/24)*0.454</f>
        <v>94.58333333</v>
      </c>
      <c r="AK14" s="62"/>
      <c r="AL14" s="63">
        <f>('24'!AK14/24)*0.454</f>
        <v>0</v>
      </c>
      <c r="AM14" s="62"/>
      <c r="AN14" s="63">
        <f>('24'!AM14/24)*0.454</f>
        <v>0</v>
      </c>
      <c r="AO14" s="62"/>
      <c r="AP14" s="63">
        <f>('24'!AO14/24)*0.454</f>
        <v>0</v>
      </c>
    </row>
    <row r="15" ht="18.75" customHeight="1">
      <c r="A15" s="69">
        <v>0.666666666666667</v>
      </c>
      <c r="B15" s="76">
        <v>218.0</v>
      </c>
      <c r="C15" s="76">
        <v>20.0</v>
      </c>
      <c r="D15" s="76">
        <v>16.0</v>
      </c>
      <c r="E15" s="76">
        <v>4.0</v>
      </c>
      <c r="F15" s="76">
        <v>70.0</v>
      </c>
      <c r="G15" s="76">
        <v>1.7</v>
      </c>
      <c r="H15" s="76">
        <v>1.6</v>
      </c>
      <c r="I15" s="76">
        <v>0.5</v>
      </c>
      <c r="J15" s="76">
        <v>0.6</v>
      </c>
      <c r="K15" s="76">
        <v>6.9</v>
      </c>
      <c r="L15" s="76">
        <v>6.4</v>
      </c>
      <c r="M15" s="76">
        <v>6.4</v>
      </c>
      <c r="N15" s="76">
        <v>6.0</v>
      </c>
      <c r="O15" s="76">
        <v>3.0</v>
      </c>
      <c r="P15" s="76"/>
      <c r="Q15" s="310"/>
      <c r="R15" s="77">
        <f>'24'!Z21</f>
        <v>1390</v>
      </c>
      <c r="S15" s="76">
        <f>'24'!AB21</f>
        <v>77.3618225</v>
      </c>
      <c r="T15" s="77">
        <f>'24'!Y21</f>
        <v>3319</v>
      </c>
      <c r="U15" s="73" t="str">
        <f>IF('24'!AA21=1,'24'!AR6,'24'!AR7)</f>
        <v>S.A.L</v>
      </c>
      <c r="V15" s="43"/>
      <c r="W15" s="27"/>
      <c r="X15" s="54">
        <v>0.416666666666667</v>
      </c>
      <c r="Y15" s="125">
        <v>3359.0</v>
      </c>
      <c r="Z15" s="60">
        <v>1390.0</v>
      </c>
      <c r="AA15" s="56">
        <v>1.0</v>
      </c>
      <c r="AB15" s="58">
        <f>IF('24'!AA15=1,(('24'!Z15*'24'!$AS$6*'24'!$AT$6)/('24'!Y15*0.0036)),IF('24'!AA15=2,(('24'!Z15*'24'!$AS$7*'24'!$AT$7)/('24'!Y15*0.0036))))</f>
        <v>76.44057424</v>
      </c>
      <c r="AC15" s="58"/>
      <c r="AD15" s="59">
        <f>(('24'!AC15*'24'!$Q$10*1000000))/('24'!Y15*3600)</f>
        <v>0</v>
      </c>
      <c r="AE15" s="60"/>
      <c r="AF15" s="61">
        <f>('24'!AE15/24)*0.454</f>
        <v>0</v>
      </c>
      <c r="AG15" s="60"/>
      <c r="AH15" s="61">
        <f>('24'!AG15/24)*0.454</f>
        <v>0</v>
      </c>
      <c r="AI15" s="308">
        <v>5000.0</v>
      </c>
      <c r="AJ15" s="61">
        <f>('24'!AI15/24)*0.454</f>
        <v>94.58333333</v>
      </c>
      <c r="AK15" s="62"/>
      <c r="AL15" s="63">
        <f>('24'!AK15/24)*0.454</f>
        <v>0</v>
      </c>
      <c r="AM15" s="62"/>
      <c r="AN15" s="63">
        <f>('24'!AM15/24)*0.454</f>
        <v>0</v>
      </c>
      <c r="AO15" s="62"/>
      <c r="AP15" s="63">
        <f>('24'!AO15/24)*0.454</f>
        <v>0</v>
      </c>
    </row>
    <row r="16" ht="18.75" customHeight="1">
      <c r="A16" s="69">
        <v>0.75</v>
      </c>
      <c r="B16" s="76">
        <v>216.0</v>
      </c>
      <c r="C16" s="76">
        <v>21.0</v>
      </c>
      <c r="D16" s="76">
        <v>1.7</v>
      </c>
      <c r="E16" s="76">
        <v>4.0</v>
      </c>
      <c r="F16" s="76">
        <v>69.0</v>
      </c>
      <c r="G16" s="76">
        <v>1.8</v>
      </c>
      <c r="H16" s="76">
        <v>1.4</v>
      </c>
      <c r="I16" s="76">
        <v>0.5</v>
      </c>
      <c r="J16" s="76">
        <v>0.6</v>
      </c>
      <c r="K16" s="76">
        <v>6.9</v>
      </c>
      <c r="L16" s="76">
        <v>6.4</v>
      </c>
      <c r="M16" s="76">
        <v>6.4</v>
      </c>
      <c r="N16" s="76">
        <v>6.0</v>
      </c>
      <c r="O16" s="76">
        <v>32.0</v>
      </c>
      <c r="P16" s="76"/>
      <c r="Q16" s="310"/>
      <c r="R16" s="77">
        <f>'24'!Z23</f>
        <v>1390</v>
      </c>
      <c r="S16" s="76">
        <f>'24'!AB23</f>
        <v>75.07716049</v>
      </c>
      <c r="T16" s="77">
        <f>'24'!Y23</f>
        <v>3420</v>
      </c>
      <c r="U16" s="73" t="str">
        <f>IF('24'!AA23=1,'24'!AR6,'24'!AR7)</f>
        <v>S.A.L</v>
      </c>
      <c r="V16" s="16"/>
      <c r="W16" s="18"/>
      <c r="X16" s="54">
        <v>0.458333333333333</v>
      </c>
      <c r="Y16" s="125">
        <v>3385.0</v>
      </c>
      <c r="Z16" s="60">
        <v>1390.0</v>
      </c>
      <c r="AA16" s="56">
        <v>1.0</v>
      </c>
      <c r="AB16" s="58">
        <f>IF('24'!AA16=1,(('24'!Z16*'24'!$AS$6*'24'!$AT$6)/('24'!Y16*0.0036)),IF('24'!AA16=2,(('24'!Z16*'24'!$AS$7*'24'!$AT$7)/('24'!Y16*0.0036))))</f>
        <v>75.85343837</v>
      </c>
      <c r="AC16" s="58"/>
      <c r="AD16" s="59">
        <f>(('24'!AC16*'24'!$Q$10*1000000))/('24'!Y16*3600)</f>
        <v>0</v>
      </c>
      <c r="AE16" s="60"/>
      <c r="AF16" s="61">
        <f>('24'!AE16/24)*0.454</f>
        <v>0</v>
      </c>
      <c r="AG16" s="60"/>
      <c r="AH16" s="61">
        <f>('24'!AG16/24)*0.454</f>
        <v>0</v>
      </c>
      <c r="AI16" s="308">
        <v>5000.0</v>
      </c>
      <c r="AJ16" s="61">
        <f>('24'!AI16/24)*0.454</f>
        <v>94.58333333</v>
      </c>
      <c r="AK16" s="62"/>
      <c r="AL16" s="63">
        <f>('24'!AK16/24)*0.454</f>
        <v>0</v>
      </c>
      <c r="AM16" s="62"/>
      <c r="AN16" s="63">
        <f>('24'!AM16/24)*0.454</f>
        <v>0</v>
      </c>
      <c r="AO16" s="62"/>
      <c r="AP16" s="63">
        <f>('24'!AO16/24)*0.454</f>
        <v>0</v>
      </c>
    </row>
    <row r="17" ht="18.75" customHeight="1">
      <c r="A17" s="69">
        <v>0.833333333333333</v>
      </c>
      <c r="B17" s="76">
        <v>215.0</v>
      </c>
      <c r="C17" s="76">
        <v>22.0</v>
      </c>
      <c r="D17" s="76">
        <v>17.0</v>
      </c>
      <c r="E17" s="76">
        <v>4.0</v>
      </c>
      <c r="F17" s="76">
        <v>68.0</v>
      </c>
      <c r="G17" s="76">
        <v>2.0</v>
      </c>
      <c r="H17" s="76">
        <v>1.3</v>
      </c>
      <c r="I17" s="76">
        <v>0.4</v>
      </c>
      <c r="J17" s="76">
        <v>0.6</v>
      </c>
      <c r="K17" s="76">
        <v>6.9</v>
      </c>
      <c r="L17" s="76">
        <v>6.4</v>
      </c>
      <c r="M17" s="76">
        <v>6.4</v>
      </c>
      <c r="N17" s="76">
        <v>6.0</v>
      </c>
      <c r="O17" s="76">
        <v>3.2</v>
      </c>
      <c r="P17" s="76"/>
      <c r="Q17" s="310"/>
      <c r="R17" s="77">
        <f>'24'!Z25</f>
        <v>1390</v>
      </c>
      <c r="S17" s="76">
        <f>'24'!AB25</f>
        <v>73.82515494</v>
      </c>
      <c r="T17" s="77">
        <f>'24'!Y25</f>
        <v>3478</v>
      </c>
      <c r="U17" s="73" t="str">
        <f>IF('24'!AA25=1,'24'!AR6,'24'!AR7)</f>
        <v>S.A.L</v>
      </c>
      <c r="V17" s="90" t="str">
        <f>ESCALA!$C$26</f>
        <v/>
      </c>
      <c r="W17" s="89"/>
      <c r="X17" s="54">
        <v>0.5</v>
      </c>
      <c r="Y17" s="125">
        <v>3424.0</v>
      </c>
      <c r="Z17" s="60">
        <v>1390.0</v>
      </c>
      <c r="AA17" s="56">
        <v>1.0</v>
      </c>
      <c r="AB17" s="58">
        <f>IF('24'!AA17=1,(('24'!Z17*'24'!$AS$6*'24'!$AT$6)/('24'!Y17*0.0036)),IF('24'!AA17=2,(('24'!Z17*'24'!$AS$7*'24'!$AT$7)/('24'!Y17*0.0036))))</f>
        <v>74.98945353</v>
      </c>
      <c r="AC17" s="58"/>
      <c r="AD17" s="59">
        <f>(('24'!AC17*'24'!$Q$10*1000000))/('24'!Y17*3600)</f>
        <v>0</v>
      </c>
      <c r="AE17" s="60"/>
      <c r="AF17" s="61">
        <f>('24'!AE17/24)*0.454</f>
        <v>0</v>
      </c>
      <c r="AG17" s="60"/>
      <c r="AH17" s="61">
        <f>('24'!AG17/24)*0.454</f>
        <v>0</v>
      </c>
      <c r="AI17" s="308">
        <v>5000.0</v>
      </c>
      <c r="AJ17" s="61">
        <f>('24'!AI17/24)*0.454</f>
        <v>94.58333333</v>
      </c>
      <c r="AK17" s="62"/>
      <c r="AL17" s="63">
        <f>('24'!AK17/24)*0.454</f>
        <v>0</v>
      </c>
      <c r="AM17" s="62"/>
      <c r="AN17" s="63">
        <f>('24'!AM17/24)*0.454</f>
        <v>0</v>
      </c>
      <c r="AO17" s="62"/>
      <c r="AP17" s="63">
        <f>('24'!AO17/24)*0.454</f>
        <v>0</v>
      </c>
    </row>
    <row r="18" ht="19.5" customHeight="1">
      <c r="A18" s="69">
        <v>0.916666666666667</v>
      </c>
      <c r="B18" s="76">
        <v>214.0</v>
      </c>
      <c r="C18" s="76">
        <v>22.0</v>
      </c>
      <c r="D18" s="76">
        <v>18.0</v>
      </c>
      <c r="E18" s="76">
        <v>4.0</v>
      </c>
      <c r="F18" s="76">
        <v>68.0</v>
      </c>
      <c r="G18" s="76">
        <v>2.1</v>
      </c>
      <c r="H18" s="76">
        <v>1.2</v>
      </c>
      <c r="I18" s="76">
        <v>0.4</v>
      </c>
      <c r="J18" s="76">
        <v>0.6</v>
      </c>
      <c r="K18" s="76">
        <v>6.9</v>
      </c>
      <c r="L18" s="76">
        <v>6.4</v>
      </c>
      <c r="M18" s="76">
        <v>6.4</v>
      </c>
      <c r="N18" s="76">
        <v>6.0</v>
      </c>
      <c r="O18" s="76">
        <v>3.5</v>
      </c>
      <c r="P18" s="492"/>
      <c r="Q18" s="310"/>
      <c r="R18" s="77">
        <f>'24'!Z27</f>
        <v>1390</v>
      </c>
      <c r="S18" s="76">
        <f>'24'!AB27</f>
        <v>73.31921442</v>
      </c>
      <c r="T18" s="77">
        <f>'24'!Y27</f>
        <v>3502</v>
      </c>
      <c r="U18" s="73" t="str">
        <f>IF('24'!AA27=1,'24'!AR6,'24'!AR7)</f>
        <v>S.A.L</v>
      </c>
      <c r="V18" s="16"/>
      <c r="W18" s="18"/>
      <c r="X18" s="54">
        <v>0.541666666666667</v>
      </c>
      <c r="Y18" s="125">
        <v>3336.0</v>
      </c>
      <c r="Z18" s="60">
        <v>1390.0</v>
      </c>
      <c r="AA18" s="56">
        <v>1.0</v>
      </c>
      <c r="AB18" s="58">
        <f>IF('24'!AA18=1,(('24'!Z18*'24'!$AS$6*'24'!$AT$6)/('24'!Y18*0.0036)),IF('24'!AA18=2,(('24'!Z18*'24'!$AS$7*'24'!$AT$7)/('24'!Y18*0.0036))))</f>
        <v>76.96759259</v>
      </c>
      <c r="AC18" s="58"/>
      <c r="AD18" s="59">
        <f>(('24'!AC18*'24'!$Q$10*1000000))/('24'!Y18*3600)</f>
        <v>0</v>
      </c>
      <c r="AE18" s="60"/>
      <c r="AF18" s="61">
        <f>('24'!AE18/24)*0.454</f>
        <v>0</v>
      </c>
      <c r="AG18" s="60"/>
      <c r="AH18" s="61">
        <f>('24'!AG18/24)*0.454</f>
        <v>0</v>
      </c>
      <c r="AI18" s="308">
        <v>5000.0</v>
      </c>
      <c r="AJ18" s="61">
        <f>('24'!AI18/24)*0.454</f>
        <v>94.58333333</v>
      </c>
      <c r="AK18" s="62"/>
      <c r="AL18" s="63">
        <f>('24'!AK18/24)*0.454</f>
        <v>0</v>
      </c>
      <c r="AM18" s="62"/>
      <c r="AN18" s="63">
        <f>('24'!AM18/24)*0.454</f>
        <v>0</v>
      </c>
      <c r="AO18" s="62"/>
      <c r="AP18" s="63">
        <f>('24'!AO18/24)*0.454</f>
        <v>0</v>
      </c>
    </row>
    <row r="19" ht="18.75" customHeight="1">
      <c r="A19" s="51" t="s">
        <v>52</v>
      </c>
      <c r="B19" s="91">
        <f>AVERAGE('24'!B7:B18)</f>
        <v>212.1666667</v>
      </c>
      <c r="C19" s="92">
        <f>AVERAGE('24'!C7:C18)</f>
        <v>20.41666667</v>
      </c>
      <c r="D19" s="92">
        <f>AVERAGE('24'!D7:D18)</f>
        <v>10.14166667</v>
      </c>
      <c r="E19" s="92">
        <f>AVERAGE('24'!E7:E18)</f>
        <v>4.25</v>
      </c>
      <c r="F19" s="92">
        <f>AVERAGE('24'!F7:F18)</f>
        <v>69.16666667</v>
      </c>
      <c r="G19" s="92">
        <f>AVERAGE('24'!G7:G18)</f>
        <v>1.858333333</v>
      </c>
      <c r="H19" s="92">
        <f>AVERAGE('24'!H7:H18)</f>
        <v>1.541666667</v>
      </c>
      <c r="I19" s="92">
        <f>AVERAGE('24'!I7:I18)</f>
        <v>0.55</v>
      </c>
      <c r="J19" s="92">
        <f>AVERAGE('24'!J7:J18)</f>
        <v>0.7083333333</v>
      </c>
      <c r="K19" s="92">
        <f>AVERAGE('24'!K7:K18)</f>
        <v>6.9</v>
      </c>
      <c r="L19" s="92">
        <f>AVERAGE('24'!L7:L18)</f>
        <v>6.4</v>
      </c>
      <c r="M19" s="92">
        <f>AVERAGE('24'!M7:M18)</f>
        <v>6.4</v>
      </c>
      <c r="N19" s="92">
        <f>AVERAGE('24'!N7:N18)</f>
        <v>6</v>
      </c>
      <c r="O19" s="92">
        <f>AVERAGE('24'!O7:O18)</f>
        <v>5.6</v>
      </c>
      <c r="P19" s="93" t="str">
        <f>AVERAGE('24'!P7:P18)</f>
        <v>#DIV/0!</v>
      </c>
      <c r="Q19" s="94" t="str">
        <f>AVERAGE('24'!Q7:Q18)</f>
        <v>#DIV/0!</v>
      </c>
      <c r="R19" s="94">
        <f>AVERAGE('24'!R7:R18)</f>
        <v>1390</v>
      </c>
      <c r="S19" s="94">
        <f>AVERAGE('24'!S7:S18)</f>
        <v>76.36894292</v>
      </c>
      <c r="T19" s="95"/>
      <c r="U19" s="96"/>
      <c r="V19" s="97"/>
      <c r="W19" s="97"/>
      <c r="X19" s="54">
        <v>0.583333333333333</v>
      </c>
      <c r="Y19" s="125">
        <v>3379.0</v>
      </c>
      <c r="Z19" s="60">
        <v>1390.0</v>
      </c>
      <c r="AA19" s="56">
        <v>1.0</v>
      </c>
      <c r="AB19" s="58">
        <f>IF('24'!AA19=1,(('24'!Z19*'24'!$AS$6*'24'!$AT$6)/('24'!Y19*0.0036)),IF('24'!AA19=2,(('24'!Z19*'24'!$AS$7*'24'!$AT$7)/('24'!Y19*0.0036))))</f>
        <v>75.9881293</v>
      </c>
      <c r="AC19" s="58"/>
      <c r="AD19" s="59">
        <f>(('24'!AC19*'24'!$Q$10*1000000))/('24'!Y19*3600)</f>
        <v>0</v>
      </c>
      <c r="AE19" s="60"/>
      <c r="AF19" s="61">
        <f>('24'!AE19/24)*0.454</f>
        <v>0</v>
      </c>
      <c r="AG19" s="60"/>
      <c r="AH19" s="61">
        <f>('24'!AG19/24)*0.454</f>
        <v>0</v>
      </c>
      <c r="AI19" s="308">
        <v>5000.0</v>
      </c>
      <c r="AJ19" s="61">
        <f>('24'!AI19/24)*0.454</f>
        <v>94.58333333</v>
      </c>
      <c r="AK19" s="62"/>
      <c r="AL19" s="63">
        <f>('24'!AK19/24)*0.454</f>
        <v>0</v>
      </c>
      <c r="AM19" s="62"/>
      <c r="AN19" s="63">
        <f>('24'!AM19/24)*0.454</f>
        <v>0</v>
      </c>
      <c r="AO19" s="62"/>
      <c r="AP19" s="63">
        <f>('24'!AO19/24)*0.454</f>
        <v>0</v>
      </c>
    </row>
    <row r="20" ht="18.75" customHeight="1">
      <c r="A20" s="51" t="s">
        <v>53</v>
      </c>
      <c r="B20" s="91">
        <f>MAX('24'!B7:B18)</f>
        <v>218</v>
      </c>
      <c r="C20" s="91">
        <f>MAX('24'!C7:C18)</f>
        <v>22</v>
      </c>
      <c r="D20" s="92">
        <f>MAX('24'!D7:D18)</f>
        <v>18</v>
      </c>
      <c r="E20" s="92">
        <f>MAX('24'!E7:E18)</f>
        <v>5</v>
      </c>
      <c r="F20" s="92">
        <f>MAX('24'!F7:F18)</f>
        <v>73</v>
      </c>
      <c r="G20" s="92">
        <f>MAX('24'!G7:G18)</f>
        <v>2.2</v>
      </c>
      <c r="H20" s="92">
        <f>MAX('24'!H7:H18)</f>
        <v>1.7</v>
      </c>
      <c r="I20" s="92">
        <f>MAX('24'!I7:I18)</f>
        <v>0.7</v>
      </c>
      <c r="J20" s="92">
        <f>MAX('24'!J7:J18)</f>
        <v>0.9</v>
      </c>
      <c r="K20" s="92">
        <f>MAX('24'!K7:K18)</f>
        <v>6.9</v>
      </c>
      <c r="L20" s="92">
        <f>MAX('24'!L7:L18)</f>
        <v>6.4</v>
      </c>
      <c r="M20" s="92">
        <f>MAX('24'!M7:M18)</f>
        <v>6.4</v>
      </c>
      <c r="N20" s="92">
        <f>MAX('24'!N7:N18)</f>
        <v>6</v>
      </c>
      <c r="O20" s="98">
        <f>MAX('24'!O7:O18)</f>
        <v>32</v>
      </c>
      <c r="P20" s="98">
        <f>MAX('24'!P7:P18)</f>
        <v>0</v>
      </c>
      <c r="Q20" s="98">
        <f>MAX('24'!Q7:Q18)</f>
        <v>0</v>
      </c>
      <c r="R20" s="98">
        <f>MAX('24'!R7:R18)</f>
        <v>1390</v>
      </c>
      <c r="S20" s="98">
        <f>MAX('24'!S7:S18)</f>
        <v>81.95464056</v>
      </c>
      <c r="T20" s="99"/>
      <c r="U20" s="21"/>
      <c r="X20" s="54">
        <v>0.625</v>
      </c>
      <c r="Y20" s="125">
        <v>3322.0</v>
      </c>
      <c r="Z20" s="60">
        <v>1390.0</v>
      </c>
      <c r="AA20" s="56">
        <v>1.0</v>
      </c>
      <c r="AB20" s="58">
        <f>IF('24'!AA20=1,(('24'!Z20*'24'!$AS$6*'24'!$AT$6)/('24'!Y20*0.0036)),IF('24'!AA20=2,(('24'!Z20*'24'!$AS$7*'24'!$AT$7)/('24'!Y20*0.0036))))</f>
        <v>77.29195933</v>
      </c>
      <c r="AC20" s="58"/>
      <c r="AD20" s="59">
        <f>(('24'!AC20*'24'!$Q$10*1000000))/('24'!Y20*3600)</f>
        <v>0</v>
      </c>
      <c r="AE20" s="60"/>
      <c r="AF20" s="61">
        <f>('24'!AE20/24)*0.454</f>
        <v>0</v>
      </c>
      <c r="AG20" s="60"/>
      <c r="AH20" s="61">
        <f>('24'!AG20/24)*0.454</f>
        <v>0</v>
      </c>
      <c r="AI20" s="308">
        <v>5000.0</v>
      </c>
      <c r="AJ20" s="61">
        <f>('24'!AI20/24)*0.454</f>
        <v>94.58333333</v>
      </c>
      <c r="AK20" s="62"/>
      <c r="AL20" s="63">
        <f>('24'!AK20/24)*0.454</f>
        <v>0</v>
      </c>
      <c r="AM20" s="62"/>
      <c r="AN20" s="63">
        <f>('24'!AM20/24)*0.454</f>
        <v>0</v>
      </c>
      <c r="AO20" s="62"/>
      <c r="AP20" s="63">
        <f>('24'!AO20/24)*0.454</f>
        <v>0</v>
      </c>
    </row>
    <row r="21" ht="19.5" customHeight="1">
      <c r="A21" s="51" t="s">
        <v>54</v>
      </c>
      <c r="B21" s="91">
        <f>MIN('24'!B7:B18)</f>
        <v>198</v>
      </c>
      <c r="C21" s="92">
        <f>MIN('24'!C7:C18)</f>
        <v>19</v>
      </c>
      <c r="D21" s="92">
        <f>MIN('24'!D7:D18)</f>
        <v>1.4</v>
      </c>
      <c r="E21" s="92">
        <f>MIN('24'!E7:E18)</f>
        <v>4</v>
      </c>
      <c r="F21" s="92">
        <f>MIN('24'!F7:F18)</f>
        <v>61</v>
      </c>
      <c r="G21" s="100">
        <f>MIN('24'!G7:G18)</f>
        <v>1</v>
      </c>
      <c r="H21" s="100">
        <f>MIN('24'!H7:H18)</f>
        <v>1.2</v>
      </c>
      <c r="I21" s="100">
        <f>MIN('24'!I7:I18)</f>
        <v>0.4</v>
      </c>
      <c r="J21" s="100">
        <f>MIN('24'!J7:J18)</f>
        <v>0.6</v>
      </c>
      <c r="K21" s="100">
        <f>MIN('24'!K7:K18)</f>
        <v>6.9</v>
      </c>
      <c r="L21" s="100">
        <f>MIN('24'!L7:L18)</f>
        <v>6.4</v>
      </c>
      <c r="M21" s="100">
        <f>MIN('24'!M7:M18)</f>
        <v>6.4</v>
      </c>
      <c r="N21" s="100">
        <f>MIN('24'!N7:N18)</f>
        <v>6</v>
      </c>
      <c r="O21" s="101">
        <f>MIN('24'!O7:O18)</f>
        <v>3</v>
      </c>
      <c r="P21" s="101">
        <f>MIN('24'!P7:P18)</f>
        <v>0</v>
      </c>
      <c r="Q21" s="101">
        <f>MIN('24'!Q7:Q18)</f>
        <v>0</v>
      </c>
      <c r="R21" s="101">
        <f>MIN('24'!R7:R18)</f>
        <v>1390</v>
      </c>
      <c r="S21" s="101">
        <f>MIN('24'!S7:S18)</f>
        <v>73.31921442</v>
      </c>
      <c r="T21" s="99"/>
      <c r="U21" s="21"/>
      <c r="X21" s="54">
        <v>0.666666666666667</v>
      </c>
      <c r="Y21" s="125">
        <v>3319.0</v>
      </c>
      <c r="Z21" s="60">
        <v>1390.0</v>
      </c>
      <c r="AA21" s="56">
        <v>1.0</v>
      </c>
      <c r="AB21" s="58">
        <f>IF('24'!AA21=1,(('24'!Z21*'24'!$AS$6*'24'!$AT$6)/('24'!Y21*0.0036)),IF('24'!AA21=2,(('24'!Z21*'24'!$AS$7*'24'!$AT$7)/('24'!Y21*0.0036))))</f>
        <v>77.3618225</v>
      </c>
      <c r="AC21" s="58"/>
      <c r="AD21" s="59">
        <f>(('24'!AC21*'24'!$Q$10*1000000))/('24'!Y21*3600)</f>
        <v>0</v>
      </c>
      <c r="AE21" s="60"/>
      <c r="AF21" s="61">
        <f>('24'!AE21/24)*0.454</f>
        <v>0</v>
      </c>
      <c r="AG21" s="60"/>
      <c r="AH21" s="61">
        <f>('24'!AG21/24)*0.454</f>
        <v>0</v>
      </c>
      <c r="AI21" s="308">
        <v>5000.0</v>
      </c>
      <c r="AJ21" s="61">
        <f>('24'!AI21/24)*0.454</f>
        <v>94.58333333</v>
      </c>
      <c r="AK21" s="62"/>
      <c r="AL21" s="63">
        <f>('24'!AK21/24)*0.454</f>
        <v>0</v>
      </c>
      <c r="AM21" s="62"/>
      <c r="AN21" s="63">
        <f>('24'!AM21/24)*0.454</f>
        <v>0</v>
      </c>
      <c r="AO21" s="62"/>
      <c r="AP21" s="63">
        <f>('24'!AO21/24)*0.454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3346.0</v>
      </c>
      <c r="Z22" s="60">
        <v>1390.0</v>
      </c>
      <c r="AA22" s="56">
        <v>1.0</v>
      </c>
      <c r="AB22" s="58">
        <f>IF('24'!AA22=1,(('24'!Z22*'24'!$AS$6*'24'!$AT$6)/('24'!Y22*0.0036)),IF('24'!AA22=2,(('24'!Z22*'24'!$AS$7*'24'!$AT$7)/('24'!Y22*0.0036))))</f>
        <v>76.73756392</v>
      </c>
      <c r="AC22" s="58"/>
      <c r="AD22" s="59">
        <f>(('24'!AC22*'24'!$Q$10*1000000))/('24'!Y22*3600)</f>
        <v>0</v>
      </c>
      <c r="AE22" s="60"/>
      <c r="AF22" s="61">
        <f>('24'!AE22/24)*0.454</f>
        <v>0</v>
      </c>
      <c r="AG22" s="60"/>
      <c r="AH22" s="61">
        <f>('24'!AG22/24)*0.454</f>
        <v>0</v>
      </c>
      <c r="AI22" s="308">
        <v>5000.0</v>
      </c>
      <c r="AJ22" s="61">
        <f>('24'!AI22/24)*0.454</f>
        <v>94.58333333</v>
      </c>
      <c r="AK22" s="62"/>
      <c r="AL22" s="63">
        <f>('24'!AK22/24)*0.454</f>
        <v>0</v>
      </c>
      <c r="AM22" s="62"/>
      <c r="AN22" s="63">
        <f>('24'!AM22/24)*0.454</f>
        <v>0</v>
      </c>
      <c r="AO22" s="62"/>
      <c r="AP22" s="63">
        <f>('24'!AO22/24)*0.454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3420.0</v>
      </c>
      <c r="Z23" s="60">
        <v>1390.0</v>
      </c>
      <c r="AA23" s="56">
        <v>1.0</v>
      </c>
      <c r="AB23" s="58">
        <f>IF('24'!AA23=1,(('24'!Z23*'24'!$AS$6*'24'!$AT$6)/('24'!Y23*0.0036)),IF('24'!AA23=2,(('24'!Z23*'24'!$AS$7*'24'!$AT$7)/('24'!Y23*0.0036))))</f>
        <v>75.07716049</v>
      </c>
      <c r="AC23" s="58"/>
      <c r="AD23" s="59">
        <f>(('24'!AC23*'24'!$Q$10*1000000))/('24'!Y23*3600)</f>
        <v>0</v>
      </c>
      <c r="AE23" s="60"/>
      <c r="AF23" s="61">
        <f>('24'!AE23/24)*0.454</f>
        <v>0</v>
      </c>
      <c r="AG23" s="60"/>
      <c r="AH23" s="61">
        <f>('24'!AG23/24)*0.454</f>
        <v>0</v>
      </c>
      <c r="AI23" s="308">
        <v>5000.0</v>
      </c>
      <c r="AJ23" s="61">
        <f>('24'!AI23/24)*0.454</f>
        <v>94.58333333</v>
      </c>
      <c r="AK23" s="62"/>
      <c r="AL23" s="63">
        <f>('24'!AK23/24)*0.454</f>
        <v>0</v>
      </c>
      <c r="AM23" s="62"/>
      <c r="AN23" s="63">
        <f>('24'!AM23/24)*0.454</f>
        <v>0</v>
      </c>
      <c r="AO23" s="62"/>
      <c r="AP23" s="63">
        <f>('24'!AO23/24)*0.454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3487.0</v>
      </c>
      <c r="Z24" s="60">
        <v>1390.0</v>
      </c>
      <c r="AA24" s="56">
        <v>1.0</v>
      </c>
      <c r="AB24" s="57">
        <f>IF('24'!AA24=1,(('24'!Z24*'24'!$AS$6*'24'!$AT$6)/('24'!Y24*0.0036)),IF('24'!AA24=2,(('24'!Z24*'24'!$AS$7*'24'!$AT$7)/('24'!Y24*0.0036))))</f>
        <v>73.6346111</v>
      </c>
      <c r="AC24" s="57"/>
      <c r="AD24" s="154">
        <f>(('24'!AC24*'24'!$Q$10*1000000))/('24'!Y24*3600)</f>
        <v>0</v>
      </c>
      <c r="AE24" s="60"/>
      <c r="AF24" s="311">
        <f>('24'!AE24/24)*0.454</f>
        <v>0</v>
      </c>
      <c r="AG24" s="125"/>
      <c r="AH24" s="311">
        <f>('24'!AG24/24)*0.454</f>
        <v>0</v>
      </c>
      <c r="AI24" s="308">
        <v>5000.0</v>
      </c>
      <c r="AJ24" s="311">
        <f>('24'!AI24/24)*0.454</f>
        <v>94.58333333</v>
      </c>
      <c r="AK24" s="62"/>
      <c r="AL24" s="110">
        <f>('24'!AK24/24)*0.454</f>
        <v>0</v>
      </c>
      <c r="AM24" s="312"/>
      <c r="AN24" s="110">
        <f>('24'!AM24/24)*0.454</f>
        <v>0</v>
      </c>
      <c r="AO24" s="62"/>
      <c r="AP24" s="110">
        <f>('24'!AO24/24)*0.454</f>
        <v>0</v>
      </c>
    </row>
    <row r="25" ht="19.5" customHeight="1">
      <c r="A25" s="111">
        <v>0.416666666666667</v>
      </c>
      <c r="B25" s="108"/>
      <c r="C25" s="108"/>
      <c r="D25" s="396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12" t="str">
        <f t="shared" ref="R25:R26" si="1">#DIV/0!</f>
        <v>#DIV/0!</v>
      </c>
      <c r="S25" s="113"/>
      <c r="T25" s="314" t="s">
        <v>0</v>
      </c>
      <c r="U25" s="493">
        <f>ESCALA!$A$26</f>
        <v>43945</v>
      </c>
      <c r="X25" s="54">
        <v>0.833333333333333</v>
      </c>
      <c r="Y25" s="125">
        <v>3478.0</v>
      </c>
      <c r="Z25" s="60">
        <v>1390.0</v>
      </c>
      <c r="AA25" s="56">
        <v>1.0</v>
      </c>
      <c r="AB25" s="58">
        <f>IF('24'!AA25=1,(('24'!Z25*'24'!$AS$6*'24'!$AT$6)/('24'!Y25*0.0036)),IF('24'!AA25=2,(('24'!Z25*'24'!$AS$7*'24'!$AT$7)/('24'!Y25*0.0036))))</f>
        <v>73.82515494</v>
      </c>
      <c r="AC25" s="58"/>
      <c r="AD25" s="59">
        <f>(('24'!AC25*'24'!$Q$10*1000000))/('24'!Y25*3600)</f>
        <v>0</v>
      </c>
      <c r="AE25" s="60"/>
      <c r="AF25" s="61">
        <f>('24'!AE25/24)*0.454</f>
        <v>0</v>
      </c>
      <c r="AG25" s="60"/>
      <c r="AH25" s="61">
        <f>('24'!AG25/24)*0.454</f>
        <v>0</v>
      </c>
      <c r="AI25" s="308">
        <v>5000.0</v>
      </c>
      <c r="AJ25" s="61">
        <f>('24'!AI25/24)*0.454</f>
        <v>94.58333333</v>
      </c>
      <c r="AK25" s="62"/>
      <c r="AL25" s="63">
        <f>('24'!AK25/24)*0.454</f>
        <v>0</v>
      </c>
      <c r="AM25" s="62"/>
      <c r="AN25" s="63">
        <f>('24'!AM25/24)*0.454</f>
        <v>0</v>
      </c>
      <c r="AO25" s="62"/>
      <c r="AP25" s="63">
        <f>('24'!AO25/24)*0.454</f>
        <v>0</v>
      </c>
    </row>
    <row r="26" ht="19.5" customHeight="1">
      <c r="A26" s="111">
        <v>0.666666666666667</v>
      </c>
      <c r="B26" s="108">
        <v>0.52</v>
      </c>
      <c r="C26" s="108">
        <v>0.62</v>
      </c>
      <c r="D26" s="108">
        <v>0.66</v>
      </c>
      <c r="E26" s="258">
        <v>0.58</v>
      </c>
      <c r="F26" s="258">
        <v>0.6</v>
      </c>
      <c r="G26" s="258"/>
      <c r="H26" s="258">
        <v>0.69</v>
      </c>
      <c r="I26" s="258">
        <v>0.62</v>
      </c>
      <c r="J26" s="258"/>
      <c r="K26" s="258">
        <v>0.57</v>
      </c>
      <c r="L26" s="258">
        <v>0.54</v>
      </c>
      <c r="M26" s="258">
        <v>0.6</v>
      </c>
      <c r="N26" s="258">
        <v>0.55</v>
      </c>
      <c r="O26" s="258">
        <v>0.62</v>
      </c>
      <c r="P26" s="258">
        <v>0.54</v>
      </c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125">
        <v>3519.0</v>
      </c>
      <c r="Z26" s="60">
        <v>1390.0</v>
      </c>
      <c r="AA26" s="56">
        <v>1.0</v>
      </c>
      <c r="AB26" s="58">
        <f>IF('24'!AA26=1,(('24'!Z26*'24'!$AS$6*'24'!$AT$6)/('24'!Y26*0.0036)),IF('24'!AA26=2,(('24'!Z26*'24'!$AS$7*'24'!$AT$7)/('24'!Y26*0.0036))))</f>
        <v>72.96501531</v>
      </c>
      <c r="AC26" s="58"/>
      <c r="AD26" s="59">
        <f>(('24'!AC26*'24'!$Q$10*1000000))/('24'!Y26*3600)</f>
        <v>0</v>
      </c>
      <c r="AE26" s="60"/>
      <c r="AF26" s="61">
        <f>('24'!AE26/24)*0.454</f>
        <v>0</v>
      </c>
      <c r="AG26" s="60"/>
      <c r="AH26" s="61">
        <f>('24'!AG26/24)*0.454</f>
        <v>0</v>
      </c>
      <c r="AI26" s="308">
        <v>5000.0</v>
      </c>
      <c r="AJ26" s="61">
        <f>('24'!AI26/24)*0.454</f>
        <v>94.58333333</v>
      </c>
      <c r="AK26" s="62"/>
      <c r="AL26" s="63">
        <f>('24'!AK26/24)*0.454</f>
        <v>0</v>
      </c>
      <c r="AM26" s="62"/>
      <c r="AN26" s="63">
        <f>('24'!AM26/24)*0.454</f>
        <v>0</v>
      </c>
      <c r="AO26" s="62"/>
      <c r="AP26" s="63">
        <f>('24'!AO26/24)*0.454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3502.0</v>
      </c>
      <c r="Z27" s="60">
        <v>1390.0</v>
      </c>
      <c r="AA27" s="56">
        <v>1.0</v>
      </c>
      <c r="AB27" s="58">
        <f>IF('24'!AA27=1,(('24'!Z27*'24'!$AS$6*'24'!$AT$6)/('24'!Y27*0.0036)),IF('24'!AA27=2,(('24'!Z27*'24'!$AS$7*'24'!$AT$7)/('24'!Y27*0.0036))))</f>
        <v>73.31921442</v>
      </c>
      <c r="AC27" s="58"/>
      <c r="AD27" s="59">
        <f>(('24'!AC27*'24'!$Q$10*1000000))/('24'!Y27*3600)</f>
        <v>0</v>
      </c>
      <c r="AE27" s="60"/>
      <c r="AF27" s="61">
        <f>('24'!AE27/24)*0.454</f>
        <v>0</v>
      </c>
      <c r="AG27" s="60"/>
      <c r="AH27" s="61">
        <f>('24'!AG27/24)*0.454</f>
        <v>0</v>
      </c>
      <c r="AI27" s="308">
        <v>5000.0</v>
      </c>
      <c r="AJ27" s="61">
        <f>('24'!AI27/24)*0.454</f>
        <v>94.58333333</v>
      </c>
      <c r="AK27" s="62"/>
      <c r="AL27" s="63">
        <f>('24'!AK27/24)*0.454</f>
        <v>0</v>
      </c>
      <c r="AM27" s="62"/>
      <c r="AN27" s="63">
        <f>('24'!AM27/24)*0.454</f>
        <v>0</v>
      </c>
      <c r="AO27" s="62"/>
      <c r="AP27" s="63">
        <f>('24'!AO27/24)*0.454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3472.0</v>
      </c>
      <c r="Z28" s="60">
        <v>1390.0</v>
      </c>
      <c r="AA28" s="56">
        <v>1.0</v>
      </c>
      <c r="AB28" s="58">
        <f>IF('24'!AA28=1,(('24'!Z28*'24'!$AS$6*'24'!$AT$6)/('24'!Y28*0.0036)),IF('24'!AA28=2,(('24'!Z28*'24'!$AS$7*'24'!$AT$7)/('24'!Y28*0.0036))))</f>
        <v>73.95273297</v>
      </c>
      <c r="AC28" s="58"/>
      <c r="AD28" s="59">
        <f>(('24'!AC28*'24'!$Q$10*1000000))/('24'!Y28*3600)</f>
        <v>0</v>
      </c>
      <c r="AE28" s="60"/>
      <c r="AF28" s="61">
        <f>('24'!AE28/24)*0.454</f>
        <v>0</v>
      </c>
      <c r="AG28" s="60"/>
      <c r="AH28" s="61">
        <f>('24'!AG28/24)*0.454</f>
        <v>0</v>
      </c>
      <c r="AI28" s="308">
        <v>5000.0</v>
      </c>
      <c r="AJ28" s="61">
        <f>('24'!AI28/24)*0.454</f>
        <v>94.58333333</v>
      </c>
      <c r="AK28" s="62"/>
      <c r="AL28" s="63">
        <f>('24'!AK28/24)*0.454</f>
        <v>0</v>
      </c>
      <c r="AM28" s="62"/>
      <c r="AN28" s="63">
        <f>('24'!AM28/24)*0.454</f>
        <v>0</v>
      </c>
      <c r="AO28" s="62"/>
      <c r="AP28" s="63">
        <f>('24'!AO28/24)*0.454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3447.0</v>
      </c>
      <c r="Z29" s="60">
        <v>1390.0</v>
      </c>
      <c r="AA29" s="56">
        <v>1.0</v>
      </c>
      <c r="AB29" s="58">
        <f>IF('24'!AA29=1,(('24'!Z29*'24'!$AS$6*'24'!$AT$6)/('24'!Y29*0.0036)),IF('24'!AA29=2,(('24'!Z29*'24'!$AS$7*'24'!$AT$7)/('24'!Y29*0.0036))))</f>
        <v>74.48908874</v>
      </c>
      <c r="AC29" s="58"/>
      <c r="AD29" s="59">
        <f>(('24'!AC29*'24'!$Q$10*1000000))/('24'!Y29*3600)</f>
        <v>0</v>
      </c>
      <c r="AE29" s="60"/>
      <c r="AF29" s="61">
        <f>('24'!AE29/24)*0.454</f>
        <v>0</v>
      </c>
      <c r="AG29" s="60"/>
      <c r="AH29" s="61">
        <f>('24'!AG29/24)*0.454</f>
        <v>0</v>
      </c>
      <c r="AI29" s="308">
        <v>5000.0</v>
      </c>
      <c r="AJ29" s="61">
        <f>('24'!AI29/24)*0.454</f>
        <v>94.58333333</v>
      </c>
      <c r="AK29" s="62"/>
      <c r="AL29" s="63">
        <f>('24'!AK29/24)*0.454</f>
        <v>0</v>
      </c>
      <c r="AM29" s="62"/>
      <c r="AN29" s="63">
        <f>('24'!AM29/24)*0.454</f>
        <v>0</v>
      </c>
      <c r="AO29" s="62"/>
      <c r="AP29" s="63">
        <f>('24'!AO29/24)*0.454</f>
        <v>0</v>
      </c>
    </row>
    <row r="30" ht="18.75" customHeight="1">
      <c r="A30" s="43"/>
      <c r="U30" s="27"/>
      <c r="X30" s="130" t="s">
        <v>55</v>
      </c>
      <c r="Y30" s="131">
        <f>SUM('24'!Y6:Y29)*3.6</f>
        <v>291150</v>
      </c>
      <c r="Z30" s="132">
        <f>SUM('24'!Z6:Z29)</f>
        <v>33360</v>
      </c>
      <c r="AA30" s="133"/>
      <c r="AB30" s="132"/>
      <c r="AC30" s="133"/>
      <c r="AD30" s="132"/>
      <c r="AE30" s="60"/>
      <c r="AF30" s="61">
        <f>SUM('24'!AF6:AF29)</f>
        <v>0</v>
      </c>
      <c r="AG30" s="60"/>
      <c r="AH30" s="61">
        <f>SUM('24'!AH6:AH29)</f>
        <v>0</v>
      </c>
      <c r="AI30" s="60"/>
      <c r="AJ30" s="61">
        <f>SUM('24'!AJ6:AJ29)</f>
        <v>2270</v>
      </c>
      <c r="AK30" s="62"/>
      <c r="AL30" s="63">
        <f>SUM('24'!AL6:AL29)</f>
        <v>0</v>
      </c>
      <c r="AM30" s="62"/>
      <c r="AN30" s="63">
        <f>SUM('24'!AN6:AN29)</f>
        <v>0</v>
      </c>
      <c r="AO30" s="62"/>
      <c r="AP30" s="63">
        <f>SUM('24'!AP6:AP29)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SUMIF('24'!AA6:AA29,"=1",'24'!Z6:Z29)</f>
        <v>33360</v>
      </c>
      <c r="AA32" s="132">
        <f>'24'!Z32*'24'!AS6</f>
        <v>44368.8</v>
      </c>
      <c r="AB32" s="139">
        <f>SUMIF('24'!$AA$6:$AA$29,"=1",'24'!$AB$6:$AB$29)/COUNTIF('24'!$AA$6:$AA$29,"=1")</f>
        <v>76.26341214</v>
      </c>
      <c r="AC32" s="140">
        <f>SUMIF('24'!AA6:AA29,"=1",'24'!AC6:AC29)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SUMIF('24'!AA6:AA29,"=2",'24'!Z6:Z29)</f>
        <v>0</v>
      </c>
      <c r="AA33" s="132">
        <f>'24'!Z33*'24'!AS7</f>
        <v>0</v>
      </c>
      <c r="AB33" s="139" t="str">
        <f>SUMIF('24'!$AA$6:$AA$29,"=2",'24'!$AB$6:$AB$29)/COUNTIF('24'!$AA$6:$AA$29,"=2")</f>
        <v>#DIV/0!</v>
      </c>
      <c r="AC33" s="145">
        <f>SUMIF('24'!AA6:AA29,"=2",'24'!AC6:AC29)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AVERAGE('24'!Y6:Y29)</f>
        <v>3369.791667</v>
      </c>
      <c r="Z34" s="56">
        <f>AVERAGE('24'!Z6:Z29)</f>
        <v>1390</v>
      </c>
      <c r="AA34" s="152"/>
      <c r="AB34" s="152"/>
      <c r="AC34" s="153" t="str">
        <f>SUM('24'!AC6:AC29)/COUNTIF('24'!AC6:AC29,"&lt;&gt;0")</f>
        <v>#DIV/0!</v>
      </c>
      <c r="AD34" s="154" t="str">
        <f>SUM('24'!AD6:AD29)/COUNTIF('24'!AD6:AD29,"&lt;&gt;0")</f>
        <v>#DIV/0!</v>
      </c>
      <c r="AE34" s="133"/>
      <c r="AF34" s="153">
        <f>AVERAGE('24'!AF6:AF29)</f>
        <v>0</v>
      </c>
      <c r="AG34" s="153"/>
      <c r="AH34" s="153">
        <f>AVERAGE('24'!AH6:AH29)</f>
        <v>0</v>
      </c>
      <c r="AI34" s="153"/>
      <c r="AJ34" s="153">
        <f>'24'!AJ30/24</f>
        <v>94.58333333</v>
      </c>
      <c r="AK34" s="153"/>
      <c r="AL34" s="153">
        <f>AVERAGE('24'!AL6:AL29)</f>
        <v>0</v>
      </c>
      <c r="AM34" s="153"/>
      <c r="AN34" s="153">
        <f>AVERAGE('24'!AN6:AN29)</f>
        <v>0</v>
      </c>
      <c r="AO34" s="153"/>
      <c r="AP34" s="153">
        <f>AVERAGE('24'!AP6:AP29)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158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58.2</v>
      </c>
      <c r="D37" s="76">
        <v>31.1</v>
      </c>
      <c r="E37" s="76">
        <v>26.1</v>
      </c>
      <c r="F37" s="76">
        <v>1.2</v>
      </c>
      <c r="G37" s="60">
        <v>0.2</v>
      </c>
      <c r="H37" s="60">
        <v>0.1</v>
      </c>
      <c r="I37" s="60">
        <v>0.15</v>
      </c>
      <c r="J37" s="60">
        <v>0.06</v>
      </c>
      <c r="K37" s="60">
        <v>0.03</v>
      </c>
      <c r="L37" s="52">
        <v>0.15</v>
      </c>
      <c r="M37" s="106"/>
      <c r="N37" s="157"/>
      <c r="O37" s="51"/>
      <c r="P37" s="51"/>
      <c r="Q37" s="51"/>
      <c r="R37" s="51"/>
      <c r="S37" s="51"/>
      <c r="T37" s="51"/>
      <c r="U37" s="437" t="str">
        <f>'24'!V12</f>
        <v/>
      </c>
      <c r="X37" s="169" t="s">
        <v>75</v>
      </c>
      <c r="Y37" s="128"/>
      <c r="Z37" s="170">
        <f>COUNTA('24'!Z6:Z29)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494" t="s">
        <v>78</v>
      </c>
      <c r="AK38" s="180">
        <f>SUM('24'!AF30+'24'!AH30)</f>
        <v>0</v>
      </c>
      <c r="AL38" s="494" t="s">
        <v>78</v>
      </c>
      <c r="AM38" s="179">
        <f>SUM('24'!AL30+'24'!AN30)</f>
        <v>0</v>
      </c>
      <c r="AO38" s="178" t="s">
        <v>78</v>
      </c>
      <c r="AP38" s="180">
        <f>'24'!AJ30</f>
        <v>2270</v>
      </c>
      <c r="AQ38" s="494" t="s">
        <v>78</v>
      </c>
      <c r="AR38" s="179">
        <f>'24'!AP30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38" t="s">
        <v>86</v>
      </c>
      <c r="AK39" s="326">
        <f>('24'!AK38/'24'!Y30)*1000</f>
        <v>0</v>
      </c>
      <c r="AL39" s="495" t="s">
        <v>86</v>
      </c>
      <c r="AM39" s="328">
        <f>('24'!AM38/'24'!Y30)*1000</f>
        <v>0</v>
      </c>
      <c r="AO39" s="338" t="s">
        <v>86</v>
      </c>
      <c r="AP39" s="326">
        <f>('24'!AP38/'24'!Y30)*1000</f>
        <v>7.796668384</v>
      </c>
      <c r="AQ39" s="495" t="s">
        <v>86</v>
      </c>
      <c r="AR39" s="328">
        <f>('24'!AR38/'24'!Y30)*1000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SUM('24'!AK38,'24'!AM38)</f>
        <v>0</v>
      </c>
      <c r="AM40" s="128"/>
      <c r="AO40" s="210" t="s">
        <v>90</v>
      </c>
      <c r="AP40" s="128"/>
      <c r="AQ40" s="211">
        <f>SUM('24'!AP38,'24'!AR38)</f>
        <v>2270</v>
      </c>
      <c r="AR40" s="128"/>
    </row>
    <row r="41" ht="16.5" customHeight="1">
      <c r="A41" s="212">
        <f>COUNTA('24'!E7:E18)</f>
        <v>12</v>
      </c>
      <c r="B41" s="213">
        <f>COUNTA('24'!I7:I18)</f>
        <v>12</v>
      </c>
      <c r="C41" s="214">
        <f>COUNTA('24'!J7:J18)</f>
        <v>12</v>
      </c>
      <c r="D41" s="80"/>
      <c r="E41" s="214">
        <f>COUNTIF('24'!E7:E18,"&gt;15")</f>
        <v>0</v>
      </c>
      <c r="F41" s="80"/>
      <c r="G41" s="214">
        <f>COUNTIF('24'!J7:J18,"&gt;1")</f>
        <v>0</v>
      </c>
      <c r="H41" s="80"/>
      <c r="I41" s="215"/>
      <c r="J41" s="214">
        <f>'24'!A41-'24'!E41</f>
        <v>12</v>
      </c>
      <c r="K41" s="80"/>
      <c r="L41" s="214">
        <f>'24'!C41-'24'!G41</f>
        <v>12</v>
      </c>
      <c r="M41" s="80"/>
      <c r="N41" s="215"/>
      <c r="O41" s="216">
        <f>COUNTIF('24'!J7:J18,"&lt;=0,5")</f>
        <v>0</v>
      </c>
      <c r="P41" s="217"/>
      <c r="Q41" s="218"/>
      <c r="R41" s="219"/>
      <c r="S41" s="220">
        <f>COUNTIF('24'!J7:J18,"&lt;=1,0")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SUM(('24'!AK38+'24'!AM38)/'24'!Y30)*1000</f>
        <v>0</v>
      </c>
      <c r="AM41" s="128"/>
      <c r="AO41" s="210" t="s">
        <v>91</v>
      </c>
      <c r="AP41" s="128"/>
      <c r="AQ41" s="223">
        <f>SUM(('24'!AP38+'24'!AR38)/'24'!Y30)*1000</f>
        <v>7.796668384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496"/>
      <c r="AE44" s="285"/>
      <c r="AF44" s="244" t="s">
        <v>102</v>
      </c>
      <c r="AG44" s="245">
        <f>SUM('24'!Y45,'24'!AA45,'24'!AC45,'24'!AE45)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COUNTIF('24'!I7:I18,"&lt;=5,0")</f>
        <v>12</v>
      </c>
      <c r="I45" s="127"/>
      <c r="J45" s="128"/>
      <c r="K45" s="215"/>
      <c r="L45" s="208">
        <f>COUNTA('24'!L37)</f>
        <v>1</v>
      </c>
      <c r="M45" s="128"/>
      <c r="O45" s="248"/>
      <c r="P45" s="249"/>
      <c r="Q45" s="250">
        <f>'24'!S41-'24'!O41</f>
        <v>12</v>
      </c>
      <c r="R45" s="251"/>
      <c r="S45" s="252"/>
      <c r="T45" s="253"/>
      <c r="X45" s="133" t="s">
        <v>104</v>
      </c>
      <c r="Y45" s="254">
        <f>'24'!Y44*275.3</f>
        <v>0</v>
      </c>
      <c r="Z45" s="133" t="s">
        <v>104</v>
      </c>
      <c r="AA45" s="254">
        <f>262.4*'24'!AA44</f>
        <v>0</v>
      </c>
      <c r="AB45" s="133" t="s">
        <v>104</v>
      </c>
      <c r="AC45" s="254">
        <f>'24'!AC44*277.7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256"/>
      <c r="AP45" s="233"/>
      <c r="AQ45" s="233"/>
      <c r="AR45" s="89"/>
    </row>
    <row r="46" ht="15.0" customHeight="1">
      <c r="F46" s="257"/>
      <c r="X46" s="196" t="s">
        <v>105</v>
      </c>
      <c r="Y46" s="258">
        <f>'24'!AS6</f>
        <v>1.33</v>
      </c>
      <c r="Z46" s="196" t="s">
        <v>105</v>
      </c>
      <c r="AA46" s="258">
        <f>'24'!Y46</f>
        <v>1.33</v>
      </c>
      <c r="AB46" s="196" t="s">
        <v>105</v>
      </c>
      <c r="AC46" s="258">
        <f>'24'!Y46</f>
        <v>1.33</v>
      </c>
      <c r="AD46" s="196" t="s">
        <v>105</v>
      </c>
      <c r="AE46" s="259">
        <f>'24'!Y46</f>
        <v>1.33</v>
      </c>
      <c r="AF46" s="260" t="s">
        <v>106</v>
      </c>
      <c r="AG46" s="261">
        <f>SUM('24'!Y47,'24'!AA47,'24'!AC47,'24'!AE47)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R46" s="27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'24'!Y45*'24'!Y46</f>
        <v>0</v>
      </c>
      <c r="Z47" s="133" t="s">
        <v>108</v>
      </c>
      <c r="AA47" s="254">
        <f>'24'!AA45*'24'!AA46</f>
        <v>0</v>
      </c>
      <c r="AB47" s="133" t="s">
        <v>108</v>
      </c>
      <c r="AC47" s="254">
        <f>'24'!AC45*'24'!AC46</f>
        <v>0</v>
      </c>
      <c r="AD47" s="133" t="s">
        <v>108</v>
      </c>
      <c r="AE47" s="254">
        <f>'24'!AE45*'24'!AE46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R47" s="27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R48" s="27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7"/>
      <c r="AQ49" s="17"/>
      <c r="AR49" s="18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COUNTA('24'!O7:O18)</f>
        <v>12</v>
      </c>
      <c r="P51" s="128"/>
      <c r="R51" s="247">
        <f>COUNTIF('24'!O7:O18,"&gt;=0,5")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SUM('24'!Y53,'24'!AA53,'24'!AC53,'24'!AE53)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256"/>
      <c r="AP52" s="233"/>
      <c r="AQ52" s="233"/>
      <c r="AR52" s="89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'24'!Y52*275.3</f>
        <v>0</v>
      </c>
      <c r="Z53" s="133" t="s">
        <v>104</v>
      </c>
      <c r="AA53" s="254">
        <f>262.4*'24'!AA52</f>
        <v>0</v>
      </c>
      <c r="AB53" s="133" t="s">
        <v>104</v>
      </c>
      <c r="AC53" s="276">
        <f>'24'!AC52*277.7</f>
        <v>0</v>
      </c>
      <c r="AD53" s="133" t="s">
        <v>104</v>
      </c>
      <c r="AE53" s="352"/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R53" s="27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'24'!AS7</f>
        <v>1.345</v>
      </c>
      <c r="Z54" s="196" t="s">
        <v>105</v>
      </c>
      <c r="AA54" s="258">
        <f>'24'!Y54</f>
        <v>1.345</v>
      </c>
      <c r="AB54" s="196" t="s">
        <v>105</v>
      </c>
      <c r="AC54" s="258">
        <f>'24'!Y54</f>
        <v>1.345</v>
      </c>
      <c r="AD54" s="196" t="s">
        <v>105</v>
      </c>
      <c r="AE54" s="259">
        <f>'24'!Y54</f>
        <v>1.345</v>
      </c>
      <c r="AF54" s="260" t="s">
        <v>106</v>
      </c>
      <c r="AG54" s="261">
        <f>SUM('24'!Y55,'24'!AA55,'24'!AC55,'24'!AE55)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262.4*'10'!AL53</f>
        <v>0</v>
      </c>
      <c r="AM54" s="133" t="s">
        <v>104</v>
      </c>
      <c r="AN54" s="276">
        <f>AN53*277.7</f>
        <v>0</v>
      </c>
      <c r="AO54" s="43"/>
      <c r="AR54" s="27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'24'!Y53*'24'!Y54</f>
        <v>0</v>
      </c>
      <c r="Z55" s="133" t="s">
        <v>108</v>
      </c>
      <c r="AA55" s="254">
        <f>'24'!AA53*'24'!AA54</f>
        <v>0</v>
      </c>
      <c r="AB55" s="133" t="s">
        <v>108</v>
      </c>
      <c r="AC55" s="254">
        <f>'24'!AC53*'24'!AC54</f>
        <v>0</v>
      </c>
      <c r="AD55" s="133" t="s">
        <v>108</v>
      </c>
      <c r="AE55" s="254">
        <f>'24'!AE53*'24'!AE54</f>
        <v>0</v>
      </c>
      <c r="AF55" s="46"/>
      <c r="AG55" s="46"/>
      <c r="AI55" s="196" t="s">
        <v>105</v>
      </c>
      <c r="AJ55" s="258">
        <f>Y54</f>
        <v>1.345</v>
      </c>
      <c r="AK55" s="196" t="s">
        <v>105</v>
      </c>
      <c r="AL55" s="258" t="str">
        <f>'10'!AJ55</f>
        <v/>
      </c>
      <c r="AM55" s="196" t="s">
        <v>105</v>
      </c>
      <c r="AN55" s="258">
        <f>AJ55</f>
        <v>1.345</v>
      </c>
      <c r="AO55" s="43"/>
      <c r="AR55" s="27"/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'10'!AL54*'10'!AL55</f>
        <v>0</v>
      </c>
      <c r="AM56" s="133" t="s">
        <v>108</v>
      </c>
      <c r="AN56" s="254">
        <f>AN54*AN55</f>
        <v>0</v>
      </c>
      <c r="AO56" s="16"/>
      <c r="AP56" s="17"/>
      <c r="AQ56" s="17"/>
      <c r="AR56" s="18"/>
    </row>
    <row r="57" ht="15.75" customHeight="1">
      <c r="O57" s="169">
        <f>COUNTA('24'!N7:N18)</f>
        <v>12</v>
      </c>
      <c r="P57" s="128"/>
      <c r="R57" s="277">
        <f>COUNTIF('24'!N7:N18,"&gt;=6")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44368.8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-44368.8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'23'!$Y$68</f>
        <v>-9221.875</v>
      </c>
      <c r="Z65" s="43"/>
      <c r="AA65" s="27"/>
      <c r="AB65" s="299" t="s">
        <v>126</v>
      </c>
      <c r="AC65" s="330">
        <f>'23'!$AC$68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SUM('24'!AK38,'24'!AP38)</f>
        <v>2270</v>
      </c>
      <c r="Z67" s="43"/>
      <c r="AA67" s="27"/>
      <c r="AB67" s="296" t="s">
        <v>124</v>
      </c>
      <c r="AC67" s="254">
        <f>SUM('24'!AM38,'24'!AR38)</f>
        <v>0</v>
      </c>
    </row>
    <row r="68" ht="15.75" customHeight="1">
      <c r="X68" s="294" t="s">
        <v>128</v>
      </c>
      <c r="Y68" s="301">
        <f>SUM('24'!Y63,'24'!Y65)-'24'!Y67</f>
        <v>-11491.875</v>
      </c>
      <c r="Z68" s="16"/>
      <c r="AA68" s="18"/>
      <c r="AB68" s="296" t="s">
        <v>128</v>
      </c>
      <c r="AC68" s="302">
        <f>SUM('24'!AC63,'24'!AC65)-'24'!AC67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1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D43:AE43"/>
    <mergeCell ref="AD44:AE44"/>
    <mergeCell ref="AF44:AF45"/>
    <mergeCell ref="AG44:AG45"/>
    <mergeCell ref="AI45:AJ45"/>
    <mergeCell ref="AK45:AL45"/>
    <mergeCell ref="AM45:AN45"/>
    <mergeCell ref="O39:Q40"/>
    <mergeCell ref="O41:Q41"/>
    <mergeCell ref="O42:T42"/>
    <mergeCell ref="Q43:S44"/>
    <mergeCell ref="X43:Y43"/>
    <mergeCell ref="Z43:AA43"/>
    <mergeCell ref="AB43:AC43"/>
    <mergeCell ref="Q45:S45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X58:AC58"/>
    <mergeCell ref="X59:AC59"/>
    <mergeCell ref="AI59:AR59"/>
    <mergeCell ref="X60:Y60"/>
    <mergeCell ref="Z60:AA60"/>
    <mergeCell ref="AI60:AM60"/>
    <mergeCell ref="AN60:AR60"/>
    <mergeCell ref="X62:Y62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AB60:AC60"/>
    <mergeCell ref="X61:AC61"/>
    <mergeCell ref="AI61:AK61"/>
    <mergeCell ref="AL61:AM61"/>
    <mergeCell ref="AN61:AP61"/>
    <mergeCell ref="AQ61:AR61"/>
    <mergeCell ref="Z62:AA68"/>
    <mergeCell ref="AO40:AP40"/>
    <mergeCell ref="AO41:AP41"/>
    <mergeCell ref="AI44:AR44"/>
    <mergeCell ref="AO45:AR49"/>
    <mergeCell ref="AF46:AF47"/>
    <mergeCell ref="AG46:AG47"/>
    <mergeCell ref="E40:F40"/>
    <mergeCell ref="G40:H40"/>
    <mergeCell ref="X40:AG40"/>
    <mergeCell ref="AL40:AM40"/>
    <mergeCell ref="AQ40:AR40"/>
    <mergeCell ref="AL41:AM41"/>
    <mergeCell ref="AQ41:AR41"/>
    <mergeCell ref="Z51:AA51"/>
    <mergeCell ref="AB51:AC51"/>
    <mergeCell ref="AI51:AR51"/>
    <mergeCell ref="X41:AG41"/>
    <mergeCell ref="X42:AG42"/>
    <mergeCell ref="O47:T48"/>
    <mergeCell ref="O49:P50"/>
    <mergeCell ref="R49:T50"/>
    <mergeCell ref="X50:AG50"/>
    <mergeCell ref="O51:P51"/>
    <mergeCell ref="AF52:AF53"/>
    <mergeCell ref="AF54:AF55"/>
    <mergeCell ref="AD51:AE51"/>
    <mergeCell ref="AD52:AE52"/>
    <mergeCell ref="AG52:AG53"/>
    <mergeCell ref="AI52:AJ52"/>
    <mergeCell ref="AK52:AL52"/>
    <mergeCell ref="AM52:AN52"/>
    <mergeCell ref="AO52:AR56"/>
    <mergeCell ref="AG54:AG55"/>
    <mergeCell ref="R51:T51"/>
    <mergeCell ref="X51:Y51"/>
    <mergeCell ref="O53:T54"/>
    <mergeCell ref="O55:P56"/>
    <mergeCell ref="R55:T56"/>
    <mergeCell ref="O57:P57"/>
    <mergeCell ref="R57:T57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1" width="8.71"/>
    <col customWidth="1" min="22" max="24" width="8.57"/>
    <col customWidth="1" min="25" max="25" width="8.14"/>
    <col customWidth="1" min="26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47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152</v>
      </c>
      <c r="AF4" s="32" t="s">
        <v>153</v>
      </c>
      <c r="AG4" s="32" t="s">
        <v>154</v>
      </c>
      <c r="AH4" s="32" t="s">
        <v>155</v>
      </c>
      <c r="AI4" s="32" t="s">
        <v>156</v>
      </c>
      <c r="AJ4" s="32" t="s">
        <v>157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3459.0</v>
      </c>
      <c r="Z6" s="60">
        <v>1390.0</v>
      </c>
      <c r="AA6" s="56">
        <v>1.0</v>
      </c>
      <c r="AB6" s="58">
        <f>IF('25'!AA6=1,(('25'!Z6*'25'!$AS$6*'25'!$AT$6)/('25'!Y6*0.0036)),IF('25'!AA6=2,(('25'!Z6*'25'!$AS$7*'25'!$AT$7)/('25'!Y6*0.0036))))</f>
        <v>74.23067039</v>
      </c>
      <c r="AC6" s="58"/>
      <c r="AD6" s="59">
        <f>(('25'!AC6*'25'!$Q$10*1000000))/('25'!Y6*3600)</f>
        <v>0</v>
      </c>
      <c r="AE6" s="60"/>
      <c r="AF6" s="61">
        <f>('25'!AE6/24)*0.454</f>
        <v>0</v>
      </c>
      <c r="AG6" s="60"/>
      <c r="AH6" s="61">
        <f>('25'!AG6/24)*0.454</f>
        <v>0</v>
      </c>
      <c r="AI6" s="60">
        <v>5000.0</v>
      </c>
      <c r="AJ6" s="61">
        <f>('25'!AI6/24)*0.454</f>
        <v>94.58333333</v>
      </c>
      <c r="AK6" s="62"/>
      <c r="AL6" s="63">
        <f>('25'!AK6/24)*0.454</f>
        <v>0</v>
      </c>
      <c r="AM6" s="62"/>
      <c r="AN6" s="63">
        <f>('25'!AM6/24)*0.454</f>
        <v>0</v>
      </c>
      <c r="AO6" s="64"/>
      <c r="AP6" s="63">
        <f>('25'!AO6/24)*0.454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212.0</v>
      </c>
      <c r="C7" s="76">
        <v>21.0</v>
      </c>
      <c r="D7" s="76">
        <v>18.0</v>
      </c>
      <c r="E7" s="76">
        <v>4.0</v>
      </c>
      <c r="F7" s="76">
        <v>66.0</v>
      </c>
      <c r="G7" s="76">
        <v>2.2</v>
      </c>
      <c r="H7" s="76">
        <v>1.2</v>
      </c>
      <c r="I7" s="76">
        <v>0.5</v>
      </c>
      <c r="J7" s="76">
        <v>0.6</v>
      </c>
      <c r="K7" s="76">
        <v>6.9</v>
      </c>
      <c r="L7" s="76">
        <v>6.4</v>
      </c>
      <c r="M7" s="76">
        <v>6.4</v>
      </c>
      <c r="N7" s="76">
        <v>6.0</v>
      </c>
      <c r="O7" s="76">
        <v>3.5</v>
      </c>
      <c r="P7" s="76"/>
      <c r="Q7" s="310"/>
      <c r="R7" s="77">
        <f>'24'!$Z$29</f>
        <v>1390</v>
      </c>
      <c r="S7" s="309">
        <f>'24'!$AB$29</f>
        <v>74.48908874</v>
      </c>
      <c r="T7" s="77">
        <f>'24'!$Y$29</f>
        <v>3447</v>
      </c>
      <c r="U7" s="73" t="str">
        <f>IF('25'!AA6=1,'25'!AR6,'25'!AR7)</f>
        <v>S.A.L</v>
      </c>
      <c r="V7" s="74" t="str">
        <f>ESCALA!$C$26</f>
        <v/>
      </c>
      <c r="W7" s="12"/>
      <c r="X7" s="54">
        <v>0.0833333333333333</v>
      </c>
      <c r="Y7" s="125">
        <v>3479.0</v>
      </c>
      <c r="Z7" s="60">
        <v>1390.0</v>
      </c>
      <c r="AA7" s="56">
        <v>1.0</v>
      </c>
      <c r="AB7" s="58">
        <f>IF('25'!AA7=1,(('25'!Z7*'25'!$AS$6*'25'!$AT$6)/('25'!Y7*0.0036)),IF('25'!AA7=2,(('25'!Z7*'25'!$AS$7*'25'!$AT$7)/('25'!Y7*0.0036))))</f>
        <v>73.80393472</v>
      </c>
      <c r="AC7" s="58"/>
      <c r="AD7" s="59">
        <f>(('25'!AC7*'25'!$Q$10*1000000))/('25'!Y7*3600)</f>
        <v>0</v>
      </c>
      <c r="AE7" s="60"/>
      <c r="AF7" s="61">
        <f>('25'!AE7/24)*0.454</f>
        <v>0</v>
      </c>
      <c r="AG7" s="60"/>
      <c r="AH7" s="61">
        <f>('25'!AG7/24)*0.454</f>
        <v>0</v>
      </c>
      <c r="AI7" s="60">
        <v>5000.0</v>
      </c>
      <c r="AJ7" s="61">
        <f>('25'!AI7/24)*0.454</f>
        <v>94.58333333</v>
      </c>
      <c r="AK7" s="62"/>
      <c r="AL7" s="63">
        <f>('25'!AK7/24)*0.454</f>
        <v>0</v>
      </c>
      <c r="AM7" s="62"/>
      <c r="AN7" s="63">
        <f>('25'!AM7/24)*0.454</f>
        <v>0</v>
      </c>
      <c r="AO7" s="64"/>
      <c r="AP7" s="63">
        <f>('25'!AO7/24)*0.454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208.0</v>
      </c>
      <c r="C8" s="76">
        <v>21.0</v>
      </c>
      <c r="D8" s="76">
        <v>18.0</v>
      </c>
      <c r="E8" s="76">
        <v>4.0</v>
      </c>
      <c r="F8" s="76">
        <v>64.0</v>
      </c>
      <c r="G8" s="76">
        <v>2.3</v>
      </c>
      <c r="H8" s="76">
        <v>1.2</v>
      </c>
      <c r="I8" s="76">
        <v>0.5</v>
      </c>
      <c r="J8" s="76">
        <v>0.6</v>
      </c>
      <c r="K8" s="76">
        <v>6.9</v>
      </c>
      <c r="L8" s="76">
        <v>6.4</v>
      </c>
      <c r="M8" s="76">
        <v>6.4</v>
      </c>
      <c r="N8" s="76">
        <v>6.0</v>
      </c>
      <c r="O8" s="76">
        <v>3.5</v>
      </c>
      <c r="P8" s="76"/>
      <c r="Q8" s="310"/>
      <c r="R8" s="75">
        <f>'25'!Z7</f>
        <v>1390</v>
      </c>
      <c r="S8" s="76">
        <f>'25'!AB7</f>
        <v>73.80393472</v>
      </c>
      <c r="T8" s="77">
        <f>'25'!Y7</f>
        <v>3479</v>
      </c>
      <c r="U8" s="73" t="str">
        <f>IF('25'!AA7=1,'25'!AR6,'25'!AR7)</f>
        <v>S.A.L</v>
      </c>
      <c r="V8" s="43"/>
      <c r="W8" s="27"/>
      <c r="X8" s="54">
        <v>0.125</v>
      </c>
      <c r="Y8" s="125">
        <v>3473.0</v>
      </c>
      <c r="Z8" s="60">
        <v>1390.0</v>
      </c>
      <c r="AA8" s="56">
        <v>1.0</v>
      </c>
      <c r="AB8" s="58">
        <f>IF('25'!AA8=1,(('25'!Z8*'25'!$AS$6*'25'!$AT$6)/('25'!Y8*0.0036)),IF('25'!AA8=2,(('25'!Z8*'25'!$AS$7*'25'!$AT$7)/('25'!Y8*0.0036))))</f>
        <v>73.93143936</v>
      </c>
      <c r="AC8" s="58"/>
      <c r="AD8" s="59">
        <f>(('25'!AC8*'25'!$Q$10*1000000))/('25'!Y8*3600)</f>
        <v>0</v>
      </c>
      <c r="AE8" s="60"/>
      <c r="AF8" s="61">
        <f>('25'!AE8/24)*0.454</f>
        <v>0</v>
      </c>
      <c r="AG8" s="60"/>
      <c r="AH8" s="61">
        <f>('25'!AG8/24)*0.454</f>
        <v>0</v>
      </c>
      <c r="AI8" s="60">
        <v>5000.0</v>
      </c>
      <c r="AJ8" s="61">
        <f>('25'!AI8/24)*0.454</f>
        <v>94.58333333</v>
      </c>
      <c r="AK8" s="62"/>
      <c r="AL8" s="63">
        <f>('25'!AK8/24)*0.454</f>
        <v>0</v>
      </c>
      <c r="AM8" s="62"/>
      <c r="AN8" s="63">
        <f>('25'!AM8/24)*0.454</f>
        <v>0</v>
      </c>
      <c r="AO8" s="64"/>
      <c r="AP8" s="63">
        <f>('25'!AO8/24)*0.454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206.0</v>
      </c>
      <c r="C9" s="76">
        <v>21.0</v>
      </c>
      <c r="D9" s="76">
        <v>17.0</v>
      </c>
      <c r="E9" s="76">
        <v>4.0</v>
      </c>
      <c r="F9" s="76">
        <v>60.0</v>
      </c>
      <c r="G9" s="76">
        <v>2.4</v>
      </c>
      <c r="H9" s="76">
        <v>1.1</v>
      </c>
      <c r="I9" s="76">
        <v>0.6</v>
      </c>
      <c r="J9" s="76">
        <v>0.5</v>
      </c>
      <c r="K9" s="76">
        <v>6.9</v>
      </c>
      <c r="L9" s="76">
        <v>6.4</v>
      </c>
      <c r="M9" s="76">
        <v>6.4</v>
      </c>
      <c r="N9" s="76">
        <v>6.0</v>
      </c>
      <c r="O9" s="76">
        <v>3.6</v>
      </c>
      <c r="P9" s="76"/>
      <c r="Q9" s="310"/>
      <c r="R9" s="77">
        <f>'25'!Z9</f>
        <v>1390</v>
      </c>
      <c r="S9" s="76">
        <f>'25'!AB9</f>
        <v>73.46606263</v>
      </c>
      <c r="T9" s="77">
        <f>'25'!Y9</f>
        <v>3495</v>
      </c>
      <c r="U9" s="73" t="str">
        <f>IF('25'!AA9=1,'25'!AR6,'25'!AR7)</f>
        <v>S.A.L</v>
      </c>
      <c r="V9" s="43"/>
      <c r="W9" s="27"/>
      <c r="X9" s="54">
        <v>0.166666666666667</v>
      </c>
      <c r="Y9" s="125">
        <v>3495.0</v>
      </c>
      <c r="Z9" s="60">
        <v>1390.0</v>
      </c>
      <c r="AA9" s="56">
        <v>1.0</v>
      </c>
      <c r="AB9" s="58">
        <f>IF('25'!AA9=1,(('25'!Z9*'25'!$AS$6*'25'!$AT$6)/('25'!Y9*0.0036)),IF('25'!AA9=2,(('25'!Z9*'25'!$AS$7*'25'!$AT$7)/('25'!Y9*0.0036))))</f>
        <v>73.46606263</v>
      </c>
      <c r="AC9" s="58"/>
      <c r="AD9" s="59">
        <f>(('25'!AC9*'25'!$Q$10*1000000))/('25'!Y9*3600)</f>
        <v>0</v>
      </c>
      <c r="AE9" s="60"/>
      <c r="AF9" s="61">
        <f>('25'!AE9/24)*0.454</f>
        <v>0</v>
      </c>
      <c r="AG9" s="60"/>
      <c r="AH9" s="61">
        <f>('25'!AG9/24)*0.454</f>
        <v>0</v>
      </c>
      <c r="AI9" s="60">
        <v>5000.0</v>
      </c>
      <c r="AJ9" s="61">
        <f>('25'!AI9/24)*0.454</f>
        <v>94.58333333</v>
      </c>
      <c r="AK9" s="62"/>
      <c r="AL9" s="63">
        <f>('25'!AK9/24)*0.454</f>
        <v>0</v>
      </c>
      <c r="AM9" s="62"/>
      <c r="AN9" s="63">
        <f>('25'!AM9/24)*0.454</f>
        <v>0</v>
      </c>
      <c r="AO9" s="64"/>
      <c r="AP9" s="63">
        <f>('25'!AO9/24)*0.454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204.0</v>
      </c>
      <c r="C10" s="76">
        <v>21.0</v>
      </c>
      <c r="D10" s="76">
        <v>17.0</v>
      </c>
      <c r="E10" s="76">
        <v>4.0</v>
      </c>
      <c r="F10" s="76">
        <v>57.0</v>
      </c>
      <c r="G10" s="76">
        <v>2.5</v>
      </c>
      <c r="H10" s="76">
        <v>1.1</v>
      </c>
      <c r="I10" s="76">
        <v>0.6</v>
      </c>
      <c r="J10" s="76">
        <v>0.5</v>
      </c>
      <c r="K10" s="76">
        <v>6.9</v>
      </c>
      <c r="L10" s="76">
        <v>6.4</v>
      </c>
      <c r="M10" s="76">
        <v>6.4</v>
      </c>
      <c r="N10" s="76">
        <v>6.0</v>
      </c>
      <c r="O10" s="76">
        <v>3.6</v>
      </c>
      <c r="P10" s="76"/>
      <c r="Q10" s="310"/>
      <c r="R10" s="77">
        <f>'25'!Z11</f>
        <v>1390</v>
      </c>
      <c r="S10" s="76">
        <f>'25'!AB11</f>
        <v>74.18777489</v>
      </c>
      <c r="T10" s="77">
        <f>'25'!Y11</f>
        <v>3461</v>
      </c>
      <c r="U10" s="73" t="str">
        <f>IF('25'!AA11=1,'25'!AR6,'25'!AR7)</f>
        <v>S.A.L</v>
      </c>
      <c r="V10" s="43"/>
      <c r="W10" s="27"/>
      <c r="X10" s="54">
        <v>0.208333333333333</v>
      </c>
      <c r="Y10" s="125">
        <v>3434.0</v>
      </c>
      <c r="Z10" s="60">
        <v>1390.0</v>
      </c>
      <c r="AA10" s="56">
        <v>1.0</v>
      </c>
      <c r="AB10" s="58">
        <f>IF('25'!AA10=1,(('25'!Z10*'25'!$AS$6*'25'!$AT$6)/('25'!Y10*0.0036)),IF('25'!AA10=2,(('25'!Z10*'25'!$AS$7*'25'!$AT$7)/('25'!Y10*0.0036))))</f>
        <v>74.77108005</v>
      </c>
      <c r="AC10" s="58"/>
      <c r="AD10" s="59">
        <f>(('25'!AC10*'25'!$Q$10*1000000))/('25'!Y10*3600)</f>
        <v>0</v>
      </c>
      <c r="AE10" s="60"/>
      <c r="AF10" s="61">
        <f>('25'!AE10/24)*0.454</f>
        <v>0</v>
      </c>
      <c r="AG10" s="60"/>
      <c r="AH10" s="61">
        <f>('25'!AG10/24)*0.454</f>
        <v>0</v>
      </c>
      <c r="AI10" s="60">
        <v>5000.0</v>
      </c>
      <c r="AJ10" s="61">
        <f>('25'!AI10/24)*0.454</f>
        <v>94.58333333</v>
      </c>
      <c r="AK10" s="62"/>
      <c r="AL10" s="63">
        <f>('25'!AK10/24)*0.454</f>
        <v>0</v>
      </c>
      <c r="AM10" s="62"/>
      <c r="AN10" s="63">
        <f>('25'!AM10/24)*0.454</f>
        <v>0</v>
      </c>
      <c r="AO10" s="64"/>
      <c r="AP10" s="63">
        <f>('25'!AO10/24)*0.454</f>
        <v>0</v>
      </c>
      <c r="AQ10" s="84">
        <v>4600.0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171.0</v>
      </c>
      <c r="C11" s="76">
        <v>14.0</v>
      </c>
      <c r="D11" s="76">
        <v>13.0</v>
      </c>
      <c r="E11" s="76">
        <v>5.0</v>
      </c>
      <c r="F11" s="76">
        <v>51.0</v>
      </c>
      <c r="G11" s="76">
        <v>1.8</v>
      </c>
      <c r="H11" s="76">
        <v>1.1</v>
      </c>
      <c r="I11" s="76">
        <v>0.5</v>
      </c>
      <c r="J11" s="76">
        <v>0.6</v>
      </c>
      <c r="K11" s="76">
        <v>6.9</v>
      </c>
      <c r="L11" s="76">
        <v>6.3</v>
      </c>
      <c r="M11" s="76">
        <v>6.3</v>
      </c>
      <c r="N11" s="76">
        <v>6.0</v>
      </c>
      <c r="O11" s="76">
        <v>3.6</v>
      </c>
      <c r="P11" s="76"/>
      <c r="Q11" s="310"/>
      <c r="R11" s="77">
        <f>'25'!Z13</f>
        <v>1410</v>
      </c>
      <c r="S11" s="76">
        <f>'25'!AB13</f>
        <v>76.29125171</v>
      </c>
      <c r="T11" s="77">
        <f>'25'!Y13</f>
        <v>3414</v>
      </c>
      <c r="U11" s="73" t="str">
        <f>IF('25'!AA13=1,'25'!AR6,'25'!AR7)</f>
        <v>S.A.L</v>
      </c>
      <c r="V11" s="16"/>
      <c r="W11" s="18"/>
      <c r="X11" s="54">
        <v>0.25</v>
      </c>
      <c r="Y11" s="125">
        <v>3461.0</v>
      </c>
      <c r="Z11" s="60">
        <v>1390.0</v>
      </c>
      <c r="AA11" s="56">
        <v>1.0</v>
      </c>
      <c r="AB11" s="58">
        <f>IF('25'!AA11=1,(('25'!Z11*'25'!$AS$6*'25'!$AT$6)/('25'!Y11*0.0036)),IF('25'!AA11=2,(('25'!Z11*'25'!$AS$7*'25'!$AT$7)/('25'!Y11*0.0036))))</f>
        <v>74.18777489</v>
      </c>
      <c r="AC11" s="58"/>
      <c r="AD11" s="59">
        <f>(('25'!AC11*'25'!$Q$10*1000000))/('25'!Y11*3600)</f>
        <v>0</v>
      </c>
      <c r="AE11" s="60"/>
      <c r="AF11" s="61">
        <f>('25'!AE11/24)*0.454</f>
        <v>0</v>
      </c>
      <c r="AG11" s="60"/>
      <c r="AH11" s="61">
        <f>('25'!AG11/24)*0.454</f>
        <v>0</v>
      </c>
      <c r="AI11" s="60">
        <v>5000.0</v>
      </c>
      <c r="AJ11" s="61">
        <f>('25'!AI11/24)*0.454</f>
        <v>94.58333333</v>
      </c>
      <c r="AK11" s="62"/>
      <c r="AL11" s="63">
        <f>('25'!AK11/24)*0.454</f>
        <v>0</v>
      </c>
      <c r="AM11" s="62"/>
      <c r="AN11" s="63">
        <f>('25'!AM11/24)*0.454</f>
        <v>0</v>
      </c>
      <c r="AO11" s="64"/>
      <c r="AP11" s="63">
        <f>('25'!AO11/24)*0.454</f>
        <v>0</v>
      </c>
    </row>
    <row r="12" ht="18.75" customHeight="1">
      <c r="A12" s="69">
        <v>0.416666666666667</v>
      </c>
      <c r="B12" s="76">
        <v>173.0</v>
      </c>
      <c r="C12" s="76">
        <v>14.0</v>
      </c>
      <c r="D12" s="76">
        <v>13.0</v>
      </c>
      <c r="E12" s="76">
        <v>5.0</v>
      </c>
      <c r="F12" s="76">
        <v>53.0</v>
      </c>
      <c r="G12" s="76">
        <v>1.8</v>
      </c>
      <c r="H12" s="76" t="s">
        <v>158</v>
      </c>
      <c r="I12" s="76">
        <v>0.5</v>
      </c>
      <c r="J12" s="76">
        <v>0.5</v>
      </c>
      <c r="K12" s="76">
        <v>6.9</v>
      </c>
      <c r="L12" s="76">
        <v>6.3</v>
      </c>
      <c r="M12" s="76">
        <v>6.3</v>
      </c>
      <c r="N12" s="76">
        <v>6.0</v>
      </c>
      <c r="O12" s="76">
        <v>3.6</v>
      </c>
      <c r="P12" s="76"/>
      <c r="Q12" s="310"/>
      <c r="R12" s="77">
        <f>'25'!Z14</f>
        <v>1410</v>
      </c>
      <c r="S12" s="76">
        <f>'25'!AB15</f>
        <v>74.82284784</v>
      </c>
      <c r="T12" s="77">
        <f>'25'!Y15</f>
        <v>3481</v>
      </c>
      <c r="U12" s="73" t="str">
        <f>IF('25'!AA15=1,'25'!AR6,'25'!AR7)</f>
        <v>S.A.L</v>
      </c>
      <c r="V12" s="88" t="str">
        <f>ESCALA!$B$27</f>
        <v/>
      </c>
      <c r="W12" s="89"/>
      <c r="X12" s="54">
        <v>0.291666666666667</v>
      </c>
      <c r="Y12" s="125">
        <v>3476.0</v>
      </c>
      <c r="Z12" s="60">
        <v>1410.0</v>
      </c>
      <c r="AA12" s="56">
        <v>1.0</v>
      </c>
      <c r="AB12" s="58">
        <f>IF('25'!AA12=1,(('25'!Z12*'25'!$AS$6*'25'!$AT$6)/('25'!Y12*0.0036)),IF('25'!AA12=2,(('25'!Z12*'25'!$AS$7*'25'!$AT$7)/('25'!Y12*0.0036))))</f>
        <v>74.93047564</v>
      </c>
      <c r="AC12" s="58"/>
      <c r="AD12" s="59">
        <f>(('25'!AC12*'25'!$Q$10*1000000))/('25'!Y12*3600)</f>
        <v>0</v>
      </c>
      <c r="AE12" s="60"/>
      <c r="AF12" s="61">
        <f>('25'!AE12/24)*0.454</f>
        <v>0</v>
      </c>
      <c r="AG12" s="60"/>
      <c r="AH12" s="61">
        <f>('25'!AG12/24)*0.454</f>
        <v>0</v>
      </c>
      <c r="AI12" s="60">
        <v>5000.0</v>
      </c>
      <c r="AJ12" s="61">
        <f>('25'!AI12/24)*0.454</f>
        <v>94.58333333</v>
      </c>
      <c r="AK12" s="62"/>
      <c r="AL12" s="63">
        <f>('25'!AK12/24)*0.454</f>
        <v>0</v>
      </c>
      <c r="AM12" s="62"/>
      <c r="AN12" s="63">
        <f>('25'!AM12/24)*0.454</f>
        <v>0</v>
      </c>
      <c r="AO12" s="64"/>
      <c r="AP12" s="63">
        <f>('25'!AO12/24)*0.454</f>
        <v>0</v>
      </c>
    </row>
    <row r="13" ht="18.75" customHeight="1">
      <c r="A13" s="69">
        <v>0.5</v>
      </c>
      <c r="B13" s="76">
        <v>176.0</v>
      </c>
      <c r="C13" s="76">
        <v>14.0</v>
      </c>
      <c r="D13" s="76">
        <v>14.0</v>
      </c>
      <c r="E13" s="76">
        <v>5.0</v>
      </c>
      <c r="F13" s="76">
        <v>51.0</v>
      </c>
      <c r="G13" s="76">
        <v>2.0</v>
      </c>
      <c r="H13" s="76" t="s">
        <v>158</v>
      </c>
      <c r="I13" s="76">
        <v>0.5</v>
      </c>
      <c r="J13" s="76">
        <v>0.5</v>
      </c>
      <c r="K13" s="76">
        <v>6.9</v>
      </c>
      <c r="L13" s="76">
        <v>6.3</v>
      </c>
      <c r="M13" s="76">
        <v>6.3</v>
      </c>
      <c r="N13" s="76">
        <v>6.0</v>
      </c>
      <c r="O13" s="76">
        <v>3.6</v>
      </c>
      <c r="P13" s="76"/>
      <c r="Q13" s="310"/>
      <c r="R13" s="77">
        <f>'25'!Z15</f>
        <v>1410</v>
      </c>
      <c r="S13" s="76">
        <f>'25'!AB17</f>
        <v>75.06003842</v>
      </c>
      <c r="T13" s="77">
        <f>'25'!Y17</f>
        <v>3470</v>
      </c>
      <c r="U13" s="73" t="str">
        <f>IF('25'!AA17=1,'25'!AR6,'25'!AR7)</f>
        <v>S.A.L</v>
      </c>
      <c r="V13" s="43"/>
      <c r="W13" s="27"/>
      <c r="X13" s="54">
        <v>0.333333333333333</v>
      </c>
      <c r="Y13" s="125">
        <v>3414.0</v>
      </c>
      <c r="Z13" s="60">
        <v>1410.0</v>
      </c>
      <c r="AA13" s="56">
        <v>1.0</v>
      </c>
      <c r="AB13" s="58">
        <f>IF('25'!AA13=1,(('25'!Z13*'25'!$AS$6*'25'!$AT$6)/('25'!Y13*0.0036)),IF('25'!AA13=2,(('25'!Z13*'25'!$AS$7*'25'!$AT$7)/('25'!Y13*0.0036))))</f>
        <v>76.29125171</v>
      </c>
      <c r="AC13" s="58"/>
      <c r="AD13" s="59">
        <f>(('25'!AC13*'25'!$Q$10*1000000))/('25'!Y13*3600)</f>
        <v>0</v>
      </c>
      <c r="AE13" s="60"/>
      <c r="AF13" s="61">
        <f>('25'!AE13/24)*0.454</f>
        <v>0</v>
      </c>
      <c r="AG13" s="60"/>
      <c r="AH13" s="61">
        <f>('25'!AG13/24)*0.454</f>
        <v>0</v>
      </c>
      <c r="AI13" s="60">
        <v>5000.0</v>
      </c>
      <c r="AJ13" s="61">
        <f>('25'!AI13/24)*0.454</f>
        <v>94.58333333</v>
      </c>
      <c r="AK13" s="62"/>
      <c r="AL13" s="63">
        <f>('25'!AK13/24)*0.454</f>
        <v>0</v>
      </c>
      <c r="AM13" s="62"/>
      <c r="AN13" s="63">
        <f>('25'!AM13/24)*0.454</f>
        <v>0</v>
      </c>
      <c r="AO13" s="64"/>
      <c r="AP13" s="63">
        <f>('25'!AO13/24)*0.454</f>
        <v>0</v>
      </c>
    </row>
    <row r="14" ht="18.75" customHeight="1">
      <c r="A14" s="69">
        <v>0.583333333333333</v>
      </c>
      <c r="B14" s="76">
        <v>178.0</v>
      </c>
      <c r="C14" s="76">
        <v>14.0</v>
      </c>
      <c r="D14" s="76">
        <v>14.0</v>
      </c>
      <c r="E14" s="76">
        <v>5.0</v>
      </c>
      <c r="F14" s="76">
        <v>50.0</v>
      </c>
      <c r="G14" s="76">
        <v>2.0</v>
      </c>
      <c r="H14" s="76">
        <v>1.3</v>
      </c>
      <c r="I14" s="76">
        <v>0.5</v>
      </c>
      <c r="J14" s="76">
        <v>0.5</v>
      </c>
      <c r="K14" s="76">
        <v>6.9</v>
      </c>
      <c r="L14" s="76">
        <v>6.3</v>
      </c>
      <c r="M14" s="76">
        <v>6.3</v>
      </c>
      <c r="N14" s="76">
        <v>6.0</v>
      </c>
      <c r="O14" s="76">
        <v>3.6</v>
      </c>
      <c r="P14" s="76"/>
      <c r="Q14" s="310"/>
      <c r="R14" s="77">
        <f>'25'!Z16</f>
        <v>1410</v>
      </c>
      <c r="S14" s="76">
        <f>'25'!AB19</f>
        <v>73.9938447</v>
      </c>
      <c r="T14" s="77">
        <f>'25'!Y19</f>
        <v>3520</v>
      </c>
      <c r="U14" s="73" t="str">
        <f>IF('25'!AA19=1,'25'!AR6,'25'!AR7)</f>
        <v>S.A.L</v>
      </c>
      <c r="V14" s="43"/>
      <c r="W14" s="27"/>
      <c r="X14" s="54">
        <v>0.375</v>
      </c>
      <c r="Y14" s="125">
        <v>3507.0</v>
      </c>
      <c r="Z14" s="60">
        <v>1410.0</v>
      </c>
      <c r="AA14" s="56">
        <v>1.0</v>
      </c>
      <c r="AB14" s="58">
        <f>IF('25'!AA14=1,(('25'!Z14*'25'!$AS$6*'25'!$AT$6)/('25'!Y14*0.0036)),IF('25'!AA14=2,(('25'!Z14*'25'!$AS$7*'25'!$AT$7)/('25'!Y14*0.0036))))</f>
        <v>74.26813041</v>
      </c>
      <c r="AC14" s="58"/>
      <c r="AD14" s="59">
        <f>(('25'!AC14*'25'!$Q$10*1000000))/('25'!Y14*3600)</f>
        <v>0</v>
      </c>
      <c r="AE14" s="60"/>
      <c r="AF14" s="61">
        <f>('25'!AE14/24)*0.454</f>
        <v>0</v>
      </c>
      <c r="AG14" s="60"/>
      <c r="AH14" s="61">
        <f>('25'!AG14/24)*0.454</f>
        <v>0</v>
      </c>
      <c r="AI14" s="60">
        <v>5000.0</v>
      </c>
      <c r="AJ14" s="61">
        <f>('25'!AI14/24)*0.454</f>
        <v>94.58333333</v>
      </c>
      <c r="AK14" s="62"/>
      <c r="AL14" s="63">
        <f>('25'!AK14/24)*0.454</f>
        <v>0</v>
      </c>
      <c r="AM14" s="62"/>
      <c r="AN14" s="63">
        <f>('25'!AM14/24)*0.454</f>
        <v>0</v>
      </c>
      <c r="AO14" s="64"/>
      <c r="AP14" s="63">
        <f>('25'!AO14/24)*0.454</f>
        <v>0</v>
      </c>
    </row>
    <row r="15" ht="18.75" customHeight="1">
      <c r="A15" s="69">
        <v>0.666666666666667</v>
      </c>
      <c r="B15" s="76">
        <v>173.0</v>
      </c>
      <c r="C15" s="76">
        <v>15.0</v>
      </c>
      <c r="D15" s="76">
        <v>14.0</v>
      </c>
      <c r="E15" s="76">
        <v>6.0</v>
      </c>
      <c r="F15" s="76">
        <v>48.0</v>
      </c>
      <c r="G15" s="76">
        <v>1.8</v>
      </c>
      <c r="H15" s="76" t="s">
        <v>158</v>
      </c>
      <c r="I15" s="76">
        <v>0.5</v>
      </c>
      <c r="J15" s="76">
        <v>0.6</v>
      </c>
      <c r="K15" s="76">
        <v>6.9</v>
      </c>
      <c r="L15" s="76">
        <v>6.3</v>
      </c>
      <c r="M15" s="76">
        <v>6.3</v>
      </c>
      <c r="N15" s="76">
        <v>6.0</v>
      </c>
      <c r="O15" s="76">
        <v>3.6</v>
      </c>
      <c r="P15" s="76"/>
      <c r="Q15" s="310"/>
      <c r="R15" s="77">
        <f>'25'!Z17</f>
        <v>1410</v>
      </c>
      <c r="S15" s="76">
        <f>'25'!AB21</f>
        <v>74.82284784</v>
      </c>
      <c r="T15" s="77">
        <f>'25'!Y21</f>
        <v>3481</v>
      </c>
      <c r="U15" s="73" t="str">
        <f>IF('25'!AA21=1,'25'!AR6,'25'!AR7)</f>
        <v>S.A.L</v>
      </c>
      <c r="V15" s="43"/>
      <c r="W15" s="27"/>
      <c r="X15" s="54">
        <v>0.416666666666667</v>
      </c>
      <c r="Y15" s="125">
        <v>3481.0</v>
      </c>
      <c r="Z15" s="60">
        <v>1410.0</v>
      </c>
      <c r="AA15" s="56">
        <v>1.0</v>
      </c>
      <c r="AB15" s="58">
        <f>IF('25'!AA15=1,(('25'!Z15*'25'!$AS$6*'25'!$AT$6)/('25'!Y15*0.0036)),IF('25'!AA15=2,(('25'!Z15*'25'!$AS$7*'25'!$AT$7)/('25'!Y15*0.0036))))</f>
        <v>74.82284784</v>
      </c>
      <c r="AC15" s="58"/>
      <c r="AD15" s="59">
        <f>(('25'!AC15*'25'!$Q$10*1000000))/('25'!Y15*3600)</f>
        <v>0</v>
      </c>
      <c r="AE15" s="60"/>
      <c r="AF15" s="61">
        <f>('25'!AE15/24)*0.454</f>
        <v>0</v>
      </c>
      <c r="AG15" s="60"/>
      <c r="AH15" s="61">
        <f>('25'!AG15/24)*0.454</f>
        <v>0</v>
      </c>
      <c r="AI15" s="60">
        <v>5000.0</v>
      </c>
      <c r="AJ15" s="61">
        <f>('25'!AI15/24)*0.454</f>
        <v>94.58333333</v>
      </c>
      <c r="AK15" s="62"/>
      <c r="AL15" s="63">
        <f>('25'!AK15/24)*0.454</f>
        <v>0</v>
      </c>
      <c r="AM15" s="62"/>
      <c r="AN15" s="63">
        <f>('25'!AM15/24)*0.454</f>
        <v>0</v>
      </c>
      <c r="AO15" s="64"/>
      <c r="AP15" s="63">
        <f>('25'!AO15/24)*0.454</f>
        <v>0</v>
      </c>
    </row>
    <row r="16" ht="18.75" customHeight="1">
      <c r="A16" s="69">
        <v>0.75</v>
      </c>
      <c r="B16" s="76">
        <v>172.0</v>
      </c>
      <c r="C16" s="76">
        <v>15.0</v>
      </c>
      <c r="D16" s="76">
        <v>14.0</v>
      </c>
      <c r="E16" s="76">
        <v>5.0</v>
      </c>
      <c r="F16" s="76">
        <v>48.0</v>
      </c>
      <c r="G16" s="76">
        <v>1.8</v>
      </c>
      <c r="H16" s="76" t="s">
        <v>158</v>
      </c>
      <c r="I16" s="76">
        <v>0.5</v>
      </c>
      <c r="J16" s="76">
        <v>0.7</v>
      </c>
      <c r="K16" s="76">
        <v>6.9</v>
      </c>
      <c r="L16" s="76">
        <v>6.3</v>
      </c>
      <c r="M16" s="76">
        <v>6.3</v>
      </c>
      <c r="N16" s="76">
        <v>6.0</v>
      </c>
      <c r="O16" s="76">
        <v>3.6</v>
      </c>
      <c r="P16" s="76"/>
      <c r="Q16" s="310"/>
      <c r="R16" s="77">
        <f>'25'!Z18</f>
        <v>1410</v>
      </c>
      <c r="S16" s="76">
        <f>'25'!AB23</f>
        <v>74.56579826</v>
      </c>
      <c r="T16" s="77">
        <f>'25'!Y23</f>
        <v>3493</v>
      </c>
      <c r="U16" s="73" t="str">
        <f>IF('25'!AA23=1,'25'!AR6,'25'!AR7)</f>
        <v>S.A.L</v>
      </c>
      <c r="V16" s="16"/>
      <c r="W16" s="18"/>
      <c r="X16" s="54">
        <v>0.458333333333333</v>
      </c>
      <c r="Y16" s="125">
        <v>3484.0</v>
      </c>
      <c r="Z16" s="60">
        <v>1410.0</v>
      </c>
      <c r="AA16" s="56">
        <v>1.0</v>
      </c>
      <c r="AB16" s="58">
        <f>IF('25'!AA16=1,(('25'!Z16*'25'!$AS$6*'25'!$AT$6)/('25'!Y16*0.0036)),IF('25'!AA16=2,(('25'!Z16*'25'!$AS$7*'25'!$AT$7)/('25'!Y16*0.0036))))</f>
        <v>74.75841944</v>
      </c>
      <c r="AC16" s="58"/>
      <c r="AD16" s="59">
        <f>(('25'!AC16*'25'!$Q$10*1000000))/('25'!Y16*3600)</f>
        <v>0</v>
      </c>
      <c r="AE16" s="60"/>
      <c r="AF16" s="61">
        <f>('25'!AE16/24)*0.454</f>
        <v>0</v>
      </c>
      <c r="AG16" s="60"/>
      <c r="AH16" s="61">
        <f>('25'!AG16/24)*0.454</f>
        <v>0</v>
      </c>
      <c r="AI16" s="60">
        <v>5000.0</v>
      </c>
      <c r="AJ16" s="61">
        <f>('25'!AI16/24)*0.454</f>
        <v>94.58333333</v>
      </c>
      <c r="AK16" s="62"/>
      <c r="AL16" s="63">
        <f>('25'!AK16/24)*0.454</f>
        <v>0</v>
      </c>
      <c r="AM16" s="62"/>
      <c r="AN16" s="63">
        <f>('25'!AM16/24)*0.454</f>
        <v>0</v>
      </c>
      <c r="AO16" s="64"/>
      <c r="AP16" s="63">
        <f>('25'!AO16/24)*0.454</f>
        <v>0</v>
      </c>
    </row>
    <row r="17" ht="18.75" customHeight="1">
      <c r="A17" s="69">
        <v>0.833333333333333</v>
      </c>
      <c r="B17" s="76">
        <v>170.0</v>
      </c>
      <c r="C17" s="76">
        <v>15.0</v>
      </c>
      <c r="D17" s="76">
        <v>14.0</v>
      </c>
      <c r="E17" s="76">
        <v>5.0</v>
      </c>
      <c r="F17" s="76">
        <v>47.0</v>
      </c>
      <c r="G17" s="76">
        <v>1.8</v>
      </c>
      <c r="H17" s="76" t="s">
        <v>158</v>
      </c>
      <c r="I17" s="76">
        <v>0.5</v>
      </c>
      <c r="J17" s="76">
        <v>0.7</v>
      </c>
      <c r="K17" s="76">
        <v>6.9</v>
      </c>
      <c r="L17" s="76">
        <v>6.3</v>
      </c>
      <c r="M17" s="76">
        <v>6.3</v>
      </c>
      <c r="N17" s="76">
        <v>6.0</v>
      </c>
      <c r="O17" s="76">
        <v>3.6</v>
      </c>
      <c r="P17" s="76"/>
      <c r="Q17" s="310"/>
      <c r="R17" s="77">
        <f>'25'!Z25</f>
        <v>1410</v>
      </c>
      <c r="S17" s="76">
        <f>'25'!AB25</f>
        <v>75.0816758</v>
      </c>
      <c r="T17" s="77">
        <f>'25'!Y25</f>
        <v>3469</v>
      </c>
      <c r="U17" s="73" t="str">
        <f>IF('25'!AA25=1,'25'!AR6,'25'!AR7)</f>
        <v>S.A.L</v>
      </c>
      <c r="V17" s="90" t="str">
        <f>ESCALA!$C$27</f>
        <v/>
      </c>
      <c r="W17" s="89"/>
      <c r="X17" s="54">
        <v>0.5</v>
      </c>
      <c r="Y17" s="125">
        <v>3470.0</v>
      </c>
      <c r="Z17" s="60">
        <v>1410.0</v>
      </c>
      <c r="AA17" s="56">
        <v>1.0</v>
      </c>
      <c r="AB17" s="58">
        <f>IF('25'!AA17=1,(('25'!Z17*'25'!$AS$6*'25'!$AT$6)/('25'!Y17*0.0036)),IF('25'!AA17=2,(('25'!Z17*'25'!$AS$7*'25'!$AT$7)/('25'!Y17*0.0036))))</f>
        <v>75.06003842</v>
      </c>
      <c r="AC17" s="58"/>
      <c r="AD17" s="59">
        <f>(('25'!AC17*'25'!$Q$10*1000000))/('25'!Y17*3600)</f>
        <v>0</v>
      </c>
      <c r="AE17" s="60"/>
      <c r="AF17" s="61">
        <f>('25'!AE17/24)*0.454</f>
        <v>0</v>
      </c>
      <c r="AG17" s="60"/>
      <c r="AH17" s="61">
        <f>('25'!AG17/24)*0.454</f>
        <v>0</v>
      </c>
      <c r="AI17" s="60">
        <v>5000.0</v>
      </c>
      <c r="AJ17" s="61">
        <f>('25'!AI17/24)*0.454</f>
        <v>94.58333333</v>
      </c>
      <c r="AK17" s="62"/>
      <c r="AL17" s="63">
        <f>('25'!AK17/24)*0.454</f>
        <v>0</v>
      </c>
      <c r="AM17" s="62"/>
      <c r="AN17" s="63">
        <f>('25'!AM17/24)*0.454</f>
        <v>0</v>
      </c>
      <c r="AO17" s="64"/>
      <c r="AP17" s="63">
        <f>('25'!AO17/24)*0.454</f>
        <v>0</v>
      </c>
    </row>
    <row r="18" ht="19.5" customHeight="1">
      <c r="A18" s="69">
        <v>0.916666666666667</v>
      </c>
      <c r="B18" s="76">
        <v>169.0</v>
      </c>
      <c r="C18" s="76">
        <v>15.0</v>
      </c>
      <c r="D18" s="76">
        <v>14.0</v>
      </c>
      <c r="E18" s="76">
        <v>5.0</v>
      </c>
      <c r="F18" s="76">
        <v>47.0</v>
      </c>
      <c r="G18" s="76">
        <v>1.8</v>
      </c>
      <c r="H18" s="76" t="s">
        <v>158</v>
      </c>
      <c r="I18" s="76">
        <v>0.5</v>
      </c>
      <c r="J18" s="76">
        <v>0.7</v>
      </c>
      <c r="K18" s="76">
        <v>6.9</v>
      </c>
      <c r="L18" s="76">
        <v>6.3</v>
      </c>
      <c r="M18" s="76">
        <v>6.3</v>
      </c>
      <c r="N18" s="76">
        <v>6.0</v>
      </c>
      <c r="O18" s="76">
        <v>3.6</v>
      </c>
      <c r="P18" s="76"/>
      <c r="Q18" s="310"/>
      <c r="R18" s="77">
        <f>'25'!Z27</f>
        <v>1410</v>
      </c>
      <c r="S18" s="76">
        <f>'25'!AB27</f>
        <v>75.58280132</v>
      </c>
      <c r="T18" s="77">
        <f>'25'!Y27</f>
        <v>3446</v>
      </c>
      <c r="U18" s="73" t="str">
        <f>IF('25'!AA27=1,'25'!AR6,'25'!AR7)</f>
        <v>S.A.L</v>
      </c>
      <c r="V18" s="16"/>
      <c r="W18" s="18"/>
      <c r="X18" s="54">
        <v>0.541666666666667</v>
      </c>
      <c r="Y18" s="125">
        <v>3458.0</v>
      </c>
      <c r="Z18" s="60">
        <v>1410.0</v>
      </c>
      <c r="AA18" s="56">
        <v>1.0</v>
      </c>
      <c r="AB18" s="58">
        <f>IF('25'!AA18=1,(('25'!Z18*'25'!$AS$6*'25'!$AT$6)/('25'!Y18*0.0036)),IF('25'!AA18=2,(('25'!Z18*'25'!$AS$7*'25'!$AT$7)/('25'!Y18*0.0036))))</f>
        <v>75.32051282</v>
      </c>
      <c r="AC18" s="58"/>
      <c r="AD18" s="59">
        <f>(('25'!AC18*'25'!$Q$10*1000000))/('25'!Y18*3600)</f>
        <v>0</v>
      </c>
      <c r="AE18" s="60"/>
      <c r="AF18" s="61">
        <f>('25'!AE18/24)*0.454</f>
        <v>0</v>
      </c>
      <c r="AG18" s="60"/>
      <c r="AH18" s="61">
        <f>('25'!AG18/24)*0.454</f>
        <v>0</v>
      </c>
      <c r="AI18" s="60">
        <v>5000.0</v>
      </c>
      <c r="AJ18" s="61">
        <f>('25'!AI18/24)*0.454</f>
        <v>94.58333333</v>
      </c>
      <c r="AK18" s="62"/>
      <c r="AL18" s="63">
        <f>('25'!AK18/24)*0.454</f>
        <v>0</v>
      </c>
      <c r="AM18" s="62"/>
      <c r="AN18" s="63">
        <f>('25'!AM18/24)*0.454</f>
        <v>0</v>
      </c>
      <c r="AO18" s="64"/>
      <c r="AP18" s="63">
        <f>('25'!AO18/24)*0.454</f>
        <v>0</v>
      </c>
    </row>
    <row r="19" ht="18.75" customHeight="1">
      <c r="A19" s="51" t="s">
        <v>52</v>
      </c>
      <c r="B19" s="91">
        <f>AVERAGE('25'!B7:B18)</f>
        <v>184.3333333</v>
      </c>
      <c r="C19" s="92">
        <f>AVERAGE('25'!C7:C18)</f>
        <v>16.66666667</v>
      </c>
      <c r="D19" s="92">
        <f>AVERAGE('25'!D7:D18)</f>
        <v>15</v>
      </c>
      <c r="E19" s="92">
        <f>AVERAGE('25'!E7:E18)</f>
        <v>4.75</v>
      </c>
      <c r="F19" s="92">
        <f>AVERAGE('25'!F7:F18)</f>
        <v>53.5</v>
      </c>
      <c r="G19" s="92">
        <f>AVERAGE('25'!G7:G18)</f>
        <v>2.016666667</v>
      </c>
      <c r="H19" s="92">
        <f>AVERAGE('25'!H7:H18)</f>
        <v>1.166666667</v>
      </c>
      <c r="I19" s="92">
        <f>AVERAGE('25'!I7:I18)</f>
        <v>0.5166666667</v>
      </c>
      <c r="J19" s="92">
        <f>AVERAGE('25'!J7:J18)</f>
        <v>0.5833333333</v>
      </c>
      <c r="K19" s="92">
        <f>AVERAGE('25'!K7:K18)</f>
        <v>6.9</v>
      </c>
      <c r="L19" s="92">
        <f>AVERAGE('25'!L7:L18)</f>
        <v>6.333333333</v>
      </c>
      <c r="M19" s="92">
        <f>AVERAGE('25'!M7:M18)</f>
        <v>6.333333333</v>
      </c>
      <c r="N19" s="92">
        <f>AVERAGE('25'!N7:N18)</f>
        <v>6</v>
      </c>
      <c r="O19" s="92">
        <f>AVERAGE('25'!O7:O18)</f>
        <v>3.583333333</v>
      </c>
      <c r="P19" s="93" t="str">
        <f>AVERAGE('25'!P7:P18)</f>
        <v>#DIV/0!</v>
      </c>
      <c r="Q19" s="94" t="str">
        <f>AVERAGE('25'!Q7:Q18)</f>
        <v>#DIV/0!</v>
      </c>
      <c r="R19" s="94">
        <f>AVERAGE('25'!R7:R18)</f>
        <v>1403.333333</v>
      </c>
      <c r="S19" s="94">
        <f>AVERAGE('25'!S7:S18)</f>
        <v>74.68066391</v>
      </c>
      <c r="T19" s="95"/>
      <c r="U19" s="96"/>
      <c r="V19" s="97"/>
      <c r="W19" s="97"/>
      <c r="X19" s="54">
        <v>0.583333333333333</v>
      </c>
      <c r="Y19" s="125">
        <v>3520.0</v>
      </c>
      <c r="Z19" s="60">
        <v>1410.0</v>
      </c>
      <c r="AA19" s="56">
        <v>1.0</v>
      </c>
      <c r="AB19" s="58">
        <f>IF('25'!AA19=1,(('25'!Z19*'25'!$AS$6*'25'!$AT$6)/('25'!Y19*0.0036)),IF('25'!AA19=2,(('25'!Z19*'25'!$AS$7*'25'!$AT$7)/('25'!Y19*0.0036))))</f>
        <v>73.9938447</v>
      </c>
      <c r="AC19" s="58"/>
      <c r="AD19" s="59">
        <f>(('25'!AC19*'25'!$Q$10*1000000))/('25'!Y19*3600)</f>
        <v>0</v>
      </c>
      <c r="AE19" s="60"/>
      <c r="AF19" s="61">
        <f>('25'!AE19/24)*0.454</f>
        <v>0</v>
      </c>
      <c r="AG19" s="60"/>
      <c r="AH19" s="61">
        <f>('25'!AG19/24)*0.454</f>
        <v>0</v>
      </c>
      <c r="AI19" s="60">
        <v>5000.0</v>
      </c>
      <c r="AJ19" s="61">
        <f>('25'!AI19/24)*0.454</f>
        <v>94.58333333</v>
      </c>
      <c r="AK19" s="62"/>
      <c r="AL19" s="63">
        <f>('25'!AK19/24)*0.454</f>
        <v>0</v>
      </c>
      <c r="AM19" s="62"/>
      <c r="AN19" s="63">
        <f>('25'!AM19/24)*0.454</f>
        <v>0</v>
      </c>
      <c r="AO19" s="64"/>
      <c r="AP19" s="63">
        <f>('25'!AO19/24)*0.454</f>
        <v>0</v>
      </c>
    </row>
    <row r="20" ht="18.75" customHeight="1">
      <c r="A20" s="51" t="s">
        <v>53</v>
      </c>
      <c r="B20" s="91">
        <f>MAX('25'!B7:B18)</f>
        <v>212</v>
      </c>
      <c r="C20" s="91">
        <f>MAX('25'!C7:C18)</f>
        <v>21</v>
      </c>
      <c r="D20" s="92">
        <f>MAX('25'!D7:D18)</f>
        <v>18</v>
      </c>
      <c r="E20" s="92">
        <f>MAX('25'!E7:E18)</f>
        <v>6</v>
      </c>
      <c r="F20" s="92">
        <f>MAX('25'!F7:F18)</f>
        <v>66</v>
      </c>
      <c r="G20" s="92">
        <f>MAX('25'!G7:G18)</f>
        <v>2.5</v>
      </c>
      <c r="H20" s="92">
        <f>MAX('25'!H7:H18)</f>
        <v>1.3</v>
      </c>
      <c r="I20" s="92">
        <f>MAX('25'!I7:I18)</f>
        <v>0.6</v>
      </c>
      <c r="J20" s="92">
        <f>MAX('25'!J7:J18)</f>
        <v>0.7</v>
      </c>
      <c r="K20" s="92">
        <f>MAX('25'!K7:K18)</f>
        <v>6.9</v>
      </c>
      <c r="L20" s="92">
        <f>MAX('25'!L7:L18)</f>
        <v>6.4</v>
      </c>
      <c r="M20" s="92">
        <f>MAX('25'!M7:M18)</f>
        <v>6.4</v>
      </c>
      <c r="N20" s="92">
        <f>MAX('25'!N7:N18)</f>
        <v>6</v>
      </c>
      <c r="O20" s="98">
        <f>MAX('25'!O7:O18)</f>
        <v>3.6</v>
      </c>
      <c r="P20" s="98">
        <f>MAX('25'!P7:P18)</f>
        <v>0</v>
      </c>
      <c r="Q20" s="98">
        <f>MAX('25'!Q7:Q18)</f>
        <v>0</v>
      </c>
      <c r="R20" s="98">
        <f>MAX('25'!R7:R18)</f>
        <v>1410</v>
      </c>
      <c r="S20" s="98">
        <f>MAX('25'!S7:S18)</f>
        <v>76.29125171</v>
      </c>
      <c r="T20" s="99"/>
      <c r="U20" s="21"/>
      <c r="X20" s="54">
        <v>0.625</v>
      </c>
      <c r="Y20" s="125">
        <v>3479.0</v>
      </c>
      <c r="Z20" s="60">
        <v>1410.0</v>
      </c>
      <c r="AA20" s="56">
        <v>1.0</v>
      </c>
      <c r="AB20" s="58">
        <f>IF('25'!AA20=1,(('25'!Z20*'25'!$AS$6*'25'!$AT$6)/('25'!Y20*0.0036)),IF('25'!AA20=2,(('25'!Z20*'25'!$AS$7*'25'!$AT$7)/('25'!Y20*0.0036))))</f>
        <v>74.86586184</v>
      </c>
      <c r="AC20" s="58"/>
      <c r="AD20" s="59">
        <f>(('25'!AC20*'25'!$Q$10*1000000))/('25'!Y20*3600)</f>
        <v>0</v>
      </c>
      <c r="AE20" s="60"/>
      <c r="AF20" s="61">
        <f>('25'!AE20/24)*0.454</f>
        <v>0</v>
      </c>
      <c r="AG20" s="60"/>
      <c r="AH20" s="61">
        <f>('25'!AG20/24)*0.454</f>
        <v>0</v>
      </c>
      <c r="AI20" s="60">
        <v>5000.0</v>
      </c>
      <c r="AJ20" s="61">
        <f>('25'!AI20/24)*0.454</f>
        <v>94.58333333</v>
      </c>
      <c r="AK20" s="62"/>
      <c r="AL20" s="63">
        <f>('25'!AK20/24)*0.454</f>
        <v>0</v>
      </c>
      <c r="AM20" s="62"/>
      <c r="AN20" s="63">
        <f>('25'!AM20/24)*0.454</f>
        <v>0</v>
      </c>
      <c r="AO20" s="64"/>
      <c r="AP20" s="63">
        <f>('25'!AO20/24)*0.454</f>
        <v>0</v>
      </c>
    </row>
    <row r="21" ht="19.5" customHeight="1">
      <c r="A21" s="51" t="s">
        <v>54</v>
      </c>
      <c r="B21" s="91">
        <f>MIN('25'!B7:B18)</f>
        <v>169</v>
      </c>
      <c r="C21" s="92">
        <f>MIN('25'!C7:C18)</f>
        <v>14</v>
      </c>
      <c r="D21" s="92">
        <f>MIN('25'!D7:D18)</f>
        <v>13</v>
      </c>
      <c r="E21" s="92">
        <f>MIN('25'!E7:E18)</f>
        <v>4</v>
      </c>
      <c r="F21" s="92">
        <f>MIN('25'!F7:F18)</f>
        <v>47</v>
      </c>
      <c r="G21" s="100">
        <f>MIN('25'!G7:G18)</f>
        <v>1.8</v>
      </c>
      <c r="H21" s="100">
        <f>MIN('25'!H7:H18)</f>
        <v>1.1</v>
      </c>
      <c r="I21" s="100">
        <f>MIN('25'!I7:I18)</f>
        <v>0.5</v>
      </c>
      <c r="J21" s="100">
        <f>MIN('25'!J7:J18)</f>
        <v>0.5</v>
      </c>
      <c r="K21" s="100">
        <f>MIN('25'!K7:K18)</f>
        <v>6.9</v>
      </c>
      <c r="L21" s="100">
        <f>MIN('25'!L7:L18)</f>
        <v>6.3</v>
      </c>
      <c r="M21" s="100">
        <f>MIN('25'!M7:M18)</f>
        <v>6.3</v>
      </c>
      <c r="N21" s="100">
        <f>MIN('25'!N7:N18)</f>
        <v>6</v>
      </c>
      <c r="O21" s="101">
        <f>MIN('25'!O7:O18)</f>
        <v>3.5</v>
      </c>
      <c r="P21" s="101">
        <f>MIN('25'!P7:P18)</f>
        <v>0</v>
      </c>
      <c r="Q21" s="101">
        <f>MIN('25'!Q7:Q18)</f>
        <v>0</v>
      </c>
      <c r="R21" s="101">
        <f>MIN('25'!R7:R18)</f>
        <v>1390</v>
      </c>
      <c r="S21" s="101">
        <f>MIN('25'!S7:S18)</f>
        <v>73.46606263</v>
      </c>
      <c r="T21" s="99"/>
      <c r="U21" s="21"/>
      <c r="X21" s="54">
        <v>0.666666666666667</v>
      </c>
      <c r="Y21" s="125">
        <v>3481.0</v>
      </c>
      <c r="Z21" s="60">
        <v>1410.0</v>
      </c>
      <c r="AA21" s="56">
        <v>1.0</v>
      </c>
      <c r="AB21" s="58">
        <f>IF('25'!AA21=1,(('25'!Z21*'25'!$AS$6*'25'!$AT$6)/('25'!Y21*0.0036)),IF('25'!AA21=2,(('25'!Z21*'25'!$AS$7*'25'!$AT$7)/('25'!Y21*0.0036))))</f>
        <v>74.82284784</v>
      </c>
      <c r="AC21" s="58"/>
      <c r="AD21" s="59">
        <f>(('25'!AC21*'25'!$Q$10*1000000))/('25'!Y21*3600)</f>
        <v>0</v>
      </c>
      <c r="AE21" s="60"/>
      <c r="AF21" s="61">
        <f>('25'!AE21/24)*0.454</f>
        <v>0</v>
      </c>
      <c r="AG21" s="60"/>
      <c r="AH21" s="61">
        <f>('25'!AG21/24)*0.454</f>
        <v>0</v>
      </c>
      <c r="AI21" s="60">
        <v>5000.0</v>
      </c>
      <c r="AJ21" s="61">
        <f>('25'!AI21/24)*0.454</f>
        <v>94.58333333</v>
      </c>
      <c r="AK21" s="62"/>
      <c r="AL21" s="63">
        <f>('25'!AK21/24)*0.454</f>
        <v>0</v>
      </c>
      <c r="AM21" s="62"/>
      <c r="AN21" s="63">
        <f>('25'!AM21/24)*0.454</f>
        <v>0</v>
      </c>
      <c r="AO21" s="64"/>
      <c r="AP21" s="63">
        <f>('25'!AO21/24)*0.454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3449.0</v>
      </c>
      <c r="Z22" s="60">
        <v>1410.0</v>
      </c>
      <c r="AA22" s="56">
        <v>1.0</v>
      </c>
      <c r="AB22" s="58">
        <f>IF('25'!AA22=1,(('25'!Z22*'25'!$AS$6*'25'!$AT$6)/('25'!Y22*0.0036)),IF('25'!AA22=2,(('25'!Z22*'25'!$AS$7*'25'!$AT$7)/('25'!Y22*0.0036))))</f>
        <v>75.51705808</v>
      </c>
      <c r="AC22" s="58"/>
      <c r="AD22" s="59">
        <f>(('25'!AC22*'25'!$Q$10*1000000))/('25'!Y22*3600)</f>
        <v>0</v>
      </c>
      <c r="AE22" s="60"/>
      <c r="AF22" s="61">
        <f>('25'!AE22/24)*0.454</f>
        <v>0</v>
      </c>
      <c r="AG22" s="60"/>
      <c r="AH22" s="61">
        <f>('25'!AG22/24)*0.454</f>
        <v>0</v>
      </c>
      <c r="AI22" s="60">
        <v>5000.0</v>
      </c>
      <c r="AJ22" s="61">
        <f>('25'!AI22/24)*0.454</f>
        <v>94.58333333</v>
      </c>
      <c r="AK22" s="62"/>
      <c r="AL22" s="63">
        <f>('25'!AK22/24)*0.454</f>
        <v>0</v>
      </c>
      <c r="AM22" s="62"/>
      <c r="AN22" s="63">
        <f>('25'!AM22/24)*0.454</f>
        <v>0</v>
      </c>
      <c r="AO22" s="64"/>
      <c r="AP22" s="63">
        <f>('25'!AO22/24)*0.454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/>
      <c r="S23" s="107" t="s">
        <v>57</v>
      </c>
      <c r="T23" s="99"/>
      <c r="U23" s="21"/>
      <c r="X23" s="54">
        <v>0.75</v>
      </c>
      <c r="Y23" s="125">
        <v>3493.0</v>
      </c>
      <c r="Z23" s="60">
        <v>1410.0</v>
      </c>
      <c r="AA23" s="56">
        <v>1.0</v>
      </c>
      <c r="AB23" s="58">
        <f>IF('25'!AA23=1,(('25'!Z23*'25'!$AS$6*'25'!$AT$6)/('25'!Y23*0.0036)),IF('25'!AA23=2,(('25'!Z23*'25'!$AS$7*'25'!$AT$7)/('25'!Y23*0.0036))))</f>
        <v>74.56579826</v>
      </c>
      <c r="AC23" s="58"/>
      <c r="AD23" s="59">
        <f>(('25'!AC23*'25'!$Q$10*1000000))/('25'!Y23*3600)</f>
        <v>0</v>
      </c>
      <c r="AE23" s="60"/>
      <c r="AF23" s="61">
        <f>('25'!AE23/24)*0.454</f>
        <v>0</v>
      </c>
      <c r="AG23" s="60"/>
      <c r="AH23" s="61">
        <f>('25'!AG23/24)*0.454</f>
        <v>0</v>
      </c>
      <c r="AI23" s="60">
        <v>5000.0</v>
      </c>
      <c r="AJ23" s="61">
        <f>('25'!AI23/24)*0.454</f>
        <v>94.58333333</v>
      </c>
      <c r="AK23" s="62"/>
      <c r="AL23" s="63">
        <f>('25'!AK23/24)*0.454</f>
        <v>0</v>
      </c>
      <c r="AM23" s="62"/>
      <c r="AN23" s="63">
        <f>('25'!AM23/24)*0.454</f>
        <v>0</v>
      </c>
      <c r="AO23" s="64"/>
      <c r="AP23" s="63">
        <f>('25'!AO23/24)*0.454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3461.0</v>
      </c>
      <c r="Z24" s="60">
        <v>1410.0</v>
      </c>
      <c r="AA24" s="56">
        <v>1.0</v>
      </c>
      <c r="AB24" s="57">
        <f>IF('25'!AA24=1,(('25'!Z24*'25'!$AS$6*'25'!$AT$6)/('25'!Y24*0.0036)),IF('25'!AA24=2,(('25'!Z24*'25'!$AS$7*'25'!$AT$7)/('25'!Y24*0.0036))))</f>
        <v>75.25522489</v>
      </c>
      <c r="AC24" s="58"/>
      <c r="AD24" s="59">
        <f>(('25'!AC24*'25'!$Q$10*1000000))/('25'!Y24*3600)</f>
        <v>0</v>
      </c>
      <c r="AE24" s="60"/>
      <c r="AF24" s="311">
        <f>('25'!AE24/24)*0.454</f>
        <v>0</v>
      </c>
      <c r="AG24" s="125"/>
      <c r="AH24" s="311">
        <f>('25'!AG24/24)*0.454</f>
        <v>0</v>
      </c>
      <c r="AI24" s="60">
        <v>5000.0</v>
      </c>
      <c r="AJ24" s="311">
        <f>('25'!AI24/24)*0.454</f>
        <v>94.58333333</v>
      </c>
      <c r="AK24" s="62"/>
      <c r="AL24" s="110">
        <f>('25'!AK24/24)*0.454</f>
        <v>0</v>
      </c>
      <c r="AM24" s="312"/>
      <c r="AN24" s="110">
        <f>('25'!AM24/24)*0.454</f>
        <v>0</v>
      </c>
      <c r="AO24" s="64"/>
      <c r="AP24" s="110">
        <f>('25'!AO24/24)*0.454</f>
        <v>0</v>
      </c>
    </row>
    <row r="25" ht="19.5" customHeight="1">
      <c r="A25" s="111">
        <v>0.416666666666667</v>
      </c>
      <c r="B25" s="396">
        <v>0.73</v>
      </c>
      <c r="C25" s="396">
        <v>0.89</v>
      </c>
      <c r="D25" s="396">
        <v>0.62</v>
      </c>
      <c r="E25" s="396">
        <v>0.43</v>
      </c>
      <c r="F25" s="396">
        <v>0.4</v>
      </c>
      <c r="G25" s="396"/>
      <c r="H25" s="396">
        <v>0.7</v>
      </c>
      <c r="I25" s="396">
        <v>0.76</v>
      </c>
      <c r="J25" s="396">
        <v>0.76</v>
      </c>
      <c r="K25" s="396">
        <v>0.67</v>
      </c>
      <c r="L25" s="396">
        <v>0.45</v>
      </c>
      <c r="M25" s="396">
        <v>0.43</v>
      </c>
      <c r="N25" s="396">
        <v>0.41</v>
      </c>
      <c r="O25" s="396">
        <v>0.42</v>
      </c>
      <c r="P25" s="396">
        <v>0.54</v>
      </c>
      <c r="Q25" s="396"/>
      <c r="R25" s="112" t="str">
        <f t="shared" ref="R25:R26" si="1">#DIV/0!</f>
        <v>#DIV/0!</v>
      </c>
      <c r="S25" s="113"/>
      <c r="T25" s="314" t="s">
        <v>0</v>
      </c>
      <c r="U25" s="497">
        <f>ESCALA!$A$27</f>
        <v>43946</v>
      </c>
      <c r="X25" s="54">
        <v>0.833333333333333</v>
      </c>
      <c r="Y25" s="125">
        <v>3469.0</v>
      </c>
      <c r="Z25" s="60">
        <v>1410.0</v>
      </c>
      <c r="AA25" s="56">
        <v>1.0</v>
      </c>
      <c r="AB25" s="58">
        <f>IF('25'!AA25=1,(('25'!Z25*'25'!$AS$6*'25'!$AT$6)/('25'!Y25*0.0036)),IF('25'!AA25=2,(('25'!Z25*'25'!$AS$7*'25'!$AT$7)/('25'!Y25*0.0036))))</f>
        <v>75.0816758</v>
      </c>
      <c r="AC25" s="58"/>
      <c r="AD25" s="59">
        <f>(('25'!AC25*'25'!$Q$10*1000000))/('25'!Y25*3600)</f>
        <v>0</v>
      </c>
      <c r="AE25" s="60"/>
      <c r="AF25" s="61">
        <f>('25'!AE25/24)*0.454</f>
        <v>0</v>
      </c>
      <c r="AG25" s="60"/>
      <c r="AH25" s="61">
        <f>('25'!AG25/24)*0.454</f>
        <v>0</v>
      </c>
      <c r="AI25" s="60">
        <v>5000.0</v>
      </c>
      <c r="AJ25" s="61">
        <f>('25'!AI25/24)*0.454</f>
        <v>94.58333333</v>
      </c>
      <c r="AK25" s="62"/>
      <c r="AL25" s="63">
        <f>('25'!AK25/24)*0.454</f>
        <v>0</v>
      </c>
      <c r="AM25" s="62"/>
      <c r="AN25" s="63">
        <f>('25'!AM25/24)*0.454</f>
        <v>0</v>
      </c>
      <c r="AO25" s="64"/>
      <c r="AP25" s="63">
        <f>('25'!AO25/24)*0.454</f>
        <v>0</v>
      </c>
    </row>
    <row r="26" ht="19.5" customHeight="1">
      <c r="A26" s="111">
        <v>0.666666666666667</v>
      </c>
      <c r="B26" s="108"/>
      <c r="C26" s="108"/>
      <c r="D26" s="10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125">
        <v>3460.0</v>
      </c>
      <c r="Z26" s="60">
        <v>1410.0</v>
      </c>
      <c r="AA26" s="56">
        <v>1.0</v>
      </c>
      <c r="AB26" s="58">
        <f>IF('25'!AA26=1,(('25'!Z26*'25'!$AS$6*'25'!$AT$6)/('25'!Y26*0.0036)),IF('25'!AA26=2,(('25'!Z26*'25'!$AS$7*'25'!$AT$7)/('25'!Y26*0.0036))))</f>
        <v>75.27697495</v>
      </c>
      <c r="AC26" s="58"/>
      <c r="AD26" s="59">
        <f>(('25'!AC26*'25'!$Q$10*1000000))/('25'!Y26*3600)</f>
        <v>0</v>
      </c>
      <c r="AE26" s="60"/>
      <c r="AF26" s="61">
        <f>('25'!AE26/24)*0.454</f>
        <v>0</v>
      </c>
      <c r="AG26" s="60"/>
      <c r="AH26" s="61">
        <f>('25'!AG26/24)*0.454</f>
        <v>0</v>
      </c>
      <c r="AI26" s="60">
        <v>5000.0</v>
      </c>
      <c r="AJ26" s="61">
        <f>('25'!AI26/24)*0.454</f>
        <v>94.58333333</v>
      </c>
      <c r="AK26" s="62"/>
      <c r="AL26" s="63">
        <f>('25'!AK26/24)*0.454</f>
        <v>0</v>
      </c>
      <c r="AM26" s="62"/>
      <c r="AN26" s="63">
        <f>('25'!AM26/24)*0.454</f>
        <v>0</v>
      </c>
      <c r="AO26" s="64"/>
      <c r="AP26" s="63">
        <f>('25'!AO26/24)*0.454</f>
        <v>0</v>
      </c>
    </row>
    <row r="27" ht="19.5" customHeight="1">
      <c r="A27" s="119" t="s">
        <v>52</v>
      </c>
      <c r="B27" s="120" t="str">
        <f t="shared" ref="B27:E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>#NAME?</f>
        <v>#NAME?</v>
      </c>
      <c r="G27" s="92" t="str">
        <f t="shared" ref="G27:Q27" si="3">#DIV/0!</f>
        <v>#DIV/0!</v>
      </c>
      <c r="H27" s="92" t="str">
        <f t="shared" si="3"/>
        <v>#DIV/0!</v>
      </c>
      <c r="I27" s="92" t="str">
        <f t="shared" si="3"/>
        <v>#DIV/0!</v>
      </c>
      <c r="J27" s="92" t="str">
        <f t="shared" si="3"/>
        <v>#DIV/0!</v>
      </c>
      <c r="K27" s="92" t="str">
        <f t="shared" si="3"/>
        <v>#DIV/0!</v>
      </c>
      <c r="L27" s="92" t="str">
        <f t="shared" si="3"/>
        <v>#DIV/0!</v>
      </c>
      <c r="M27" s="92" t="str">
        <f t="shared" si="3"/>
        <v>#DIV/0!</v>
      </c>
      <c r="N27" s="92" t="str">
        <f t="shared" si="3"/>
        <v>#DIV/0!</v>
      </c>
      <c r="O27" s="92" t="str">
        <f t="shared" si="3"/>
        <v>#DIV/0!</v>
      </c>
      <c r="P27" s="92" t="str">
        <f t="shared" si="3"/>
        <v>#DIV/0!</v>
      </c>
      <c r="Q27" s="98" t="str">
        <f t="shared" si="3"/>
        <v>#DIV/0!</v>
      </c>
      <c r="R27" s="316"/>
      <c r="S27" s="127"/>
      <c r="T27" s="128"/>
      <c r="U27" s="124"/>
      <c r="X27" s="54">
        <v>0.916666666666667</v>
      </c>
      <c r="Y27" s="125">
        <v>3446.0</v>
      </c>
      <c r="Z27" s="60">
        <v>1410.0</v>
      </c>
      <c r="AA27" s="56">
        <v>1.0</v>
      </c>
      <c r="AB27" s="58">
        <f>IF('25'!AA27=1,(('25'!Z27*'25'!$AS$6*'25'!$AT$6)/('25'!Y27*0.0036)),IF('25'!AA27=2,(('25'!Z27*'25'!$AS$7*'25'!$AT$7)/('25'!Y27*0.0036))))</f>
        <v>75.58280132</v>
      </c>
      <c r="AC27" s="58"/>
      <c r="AD27" s="59">
        <f>(('25'!AC27*'25'!$Q$10*1000000))/('25'!Y27*3600)</f>
        <v>0</v>
      </c>
      <c r="AE27" s="60"/>
      <c r="AF27" s="61">
        <f>('25'!AE27/24)*0.454</f>
        <v>0</v>
      </c>
      <c r="AG27" s="60"/>
      <c r="AH27" s="61">
        <f>('25'!AG27/24)*0.454</f>
        <v>0</v>
      </c>
      <c r="AI27" s="60">
        <v>5000.0</v>
      </c>
      <c r="AJ27" s="61">
        <f>('25'!AI27/24)*0.454</f>
        <v>94.58333333</v>
      </c>
      <c r="AK27" s="62"/>
      <c r="AL27" s="63">
        <f>('25'!AK27/24)*0.454</f>
        <v>0</v>
      </c>
      <c r="AM27" s="62"/>
      <c r="AN27" s="63">
        <f>('25'!AM27/24)*0.454</f>
        <v>0</v>
      </c>
      <c r="AO27" s="64"/>
      <c r="AP27" s="63">
        <f>('25'!AO27/24)*0.454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3469.0</v>
      </c>
      <c r="Z28" s="60">
        <v>1410.0</v>
      </c>
      <c r="AA28" s="56">
        <v>1.0</v>
      </c>
      <c r="AB28" s="58">
        <f>IF('25'!AA28=1,(('25'!Z28*'25'!$AS$6*'25'!$AT$6)/('25'!Y28*0.0036)),IF('25'!AA28=2,(('25'!Z28*'25'!$AS$7*'25'!$AT$7)/('25'!Y28*0.0036))))</f>
        <v>75.0816758</v>
      </c>
      <c r="AC28" s="58"/>
      <c r="AD28" s="59">
        <f>(('25'!AC28*'25'!$Q$10*1000000))/('25'!Y28*3600)</f>
        <v>0</v>
      </c>
      <c r="AE28" s="60"/>
      <c r="AF28" s="61">
        <f>('25'!AE28/24)*0.454</f>
        <v>0</v>
      </c>
      <c r="AG28" s="60"/>
      <c r="AH28" s="61">
        <f>('25'!AG28/24)*0.454</f>
        <v>0</v>
      </c>
      <c r="AI28" s="60">
        <v>5000.0</v>
      </c>
      <c r="AJ28" s="61">
        <f>('25'!AI28/24)*0.454</f>
        <v>94.58333333</v>
      </c>
      <c r="AK28" s="62"/>
      <c r="AL28" s="63">
        <f>('25'!AK28/24)*0.454</f>
        <v>0</v>
      </c>
      <c r="AM28" s="62"/>
      <c r="AN28" s="63">
        <f>('25'!AM28/24)*0.454</f>
        <v>0</v>
      </c>
      <c r="AO28" s="64"/>
      <c r="AP28" s="63">
        <f>('25'!AO28/24)*0.454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3472.0</v>
      </c>
      <c r="Z29" s="60">
        <v>1410.0</v>
      </c>
      <c r="AA29" s="56">
        <v>1.0</v>
      </c>
      <c r="AB29" s="58">
        <f>IF('25'!AA29=1,(('25'!Z29*'25'!$AS$6*'25'!$AT$6)/('25'!Y29*0.0036)),IF('25'!AA29=2,(('25'!Z29*'25'!$AS$7*'25'!$AT$7)/('25'!Y29*0.0036))))</f>
        <v>75.01680108</v>
      </c>
      <c r="AC29" s="58"/>
      <c r="AD29" s="59">
        <f>(('25'!AC29*'25'!$Q$10*1000000))/('25'!Y29*3600)</f>
        <v>0</v>
      </c>
      <c r="AE29" s="60"/>
      <c r="AF29" s="61">
        <f>('25'!AE29/24)*0.454</f>
        <v>0</v>
      </c>
      <c r="AG29" s="60"/>
      <c r="AH29" s="61">
        <f>('25'!AG29/24)*0.454</f>
        <v>0</v>
      </c>
      <c r="AI29" s="60">
        <v>5000.0</v>
      </c>
      <c r="AJ29" s="61">
        <f>('25'!AI29/24)*0.454</f>
        <v>94.58333333</v>
      </c>
      <c r="AK29" s="62"/>
      <c r="AL29" s="63">
        <f>('25'!AK29/24)*0.454</f>
        <v>0</v>
      </c>
      <c r="AM29" s="62"/>
      <c r="AN29" s="63">
        <f>('25'!AM29/24)*0.454</f>
        <v>0</v>
      </c>
      <c r="AO29" s="64"/>
      <c r="AP29" s="63">
        <f>('25'!AO29/24)*0.454</f>
        <v>0</v>
      </c>
    </row>
    <row r="30" ht="18.75" customHeight="1">
      <c r="A30" s="43"/>
      <c r="U30" s="27"/>
      <c r="X30" s="130" t="s">
        <v>55</v>
      </c>
      <c r="Y30" s="131">
        <f>SUM('25'!Y6:Y29)*3.6</f>
        <v>299844</v>
      </c>
      <c r="Z30" s="132">
        <f>SUM('25'!Z6:Z29)</f>
        <v>33720</v>
      </c>
      <c r="AA30" s="133"/>
      <c r="AB30" s="132"/>
      <c r="AC30" s="133"/>
      <c r="AD30" s="132"/>
      <c r="AE30" s="60"/>
      <c r="AF30" s="61">
        <f>SUM('25'!AF6:AF29)</f>
        <v>0</v>
      </c>
      <c r="AG30" s="60"/>
      <c r="AH30" s="61">
        <f>SUM('25'!AH6:AH29)</f>
        <v>0</v>
      </c>
      <c r="AI30" s="60"/>
      <c r="AJ30" s="61">
        <f>SUM('25'!AJ6:AJ29)</f>
        <v>2270</v>
      </c>
      <c r="AK30" s="62"/>
      <c r="AL30" s="63">
        <f>SUM('25'!AL6:AL29)</f>
        <v>0</v>
      </c>
      <c r="AM30" s="62"/>
      <c r="AN30" s="63">
        <f>SUM('25'!AN6:AN29)</f>
        <v>0</v>
      </c>
      <c r="AO30" s="62"/>
      <c r="AP30" s="63">
        <f>SUM('25'!AP6:AP29)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SUMIF('25'!AA6:AA29,"=1",'25'!Z6:Z29)</f>
        <v>33720</v>
      </c>
      <c r="AA32" s="132">
        <f>'25'!Z32*'25'!AS6</f>
        <v>44847.6</v>
      </c>
      <c r="AB32" s="139">
        <f>SUMIF('25'!$AA$6:$AA$29,"=1",'25'!$AB$6:$AB$29)/COUNTIF('25'!$AA$6:$AA$29,"=1")</f>
        <v>74.78763345</v>
      </c>
      <c r="AC32" s="140">
        <f>SUMIF('25'!AA6:AA29,"=1",'25'!AC6:AC29)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SUMIF('25'!AA6:AA29,"=2",'25'!Z6:Z29)</f>
        <v>0</v>
      </c>
      <c r="AA33" s="132">
        <f>Z33*AS7</f>
        <v>0</v>
      </c>
      <c r="AB33" s="139" t="str">
        <f>SUMIF('25'!$AA$6:$AA$29,"=2",'25'!$AB$6:$AB$29)/COUNTIF('25'!$AA$6:$AA$29,"=2")</f>
        <v>#DIV/0!</v>
      </c>
      <c r="AC33" s="145">
        <f>SUMIF('25'!AA6:AA29,"=2",'25'!AC6:AC29)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AVERAGE('25'!Y6:Y29)</f>
        <v>3470.416667</v>
      </c>
      <c r="Z34" s="56">
        <f>AVERAGE('25'!Z6:Z29)</f>
        <v>1405</v>
      </c>
      <c r="AA34" s="152"/>
      <c r="AB34" s="152"/>
      <c r="AC34" s="153" t="str">
        <f>SUM('25'!AC6:AC29)/COUNTIF('25'!AC6:AC29,"&lt;&gt;0")</f>
        <v>#DIV/0!</v>
      </c>
      <c r="AD34" s="154" t="str">
        <f>SUM('25'!AD6:AD29)/COUNTIF('25'!AD6:AD29,"&lt;&gt;0")</f>
        <v>#DIV/0!</v>
      </c>
      <c r="AE34" s="133"/>
      <c r="AF34" s="153">
        <f>AVERAGE('25'!AF6:AF29)</f>
        <v>0</v>
      </c>
      <c r="AG34" s="153"/>
      <c r="AH34" s="153">
        <f>AVERAGE('25'!AH6:AH29)</f>
        <v>0</v>
      </c>
      <c r="AI34" s="153"/>
      <c r="AJ34" s="153">
        <f>'25'!AJ30/24</f>
        <v>94.58333333</v>
      </c>
      <c r="AK34" s="153"/>
      <c r="AL34" s="153">
        <f>AVERAGE('25'!AL6:AL29)</f>
        <v>0</v>
      </c>
      <c r="AM34" s="153"/>
      <c r="AN34" s="153">
        <f>AVERAGE('25'!AN6:AN29)</f>
        <v>0</v>
      </c>
      <c r="AO34" s="153"/>
      <c r="AP34" s="153">
        <f>AVERAGE('25'!AP6:AP29)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359" t="s">
        <v>73</v>
      </c>
      <c r="Y36" s="163">
        <v>1.0</v>
      </c>
      <c r="Z36" s="164"/>
      <c r="AA36" s="165" t="s">
        <v>74</v>
      </c>
      <c r="AB36" s="163">
        <v>5.0</v>
      </c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58.2</v>
      </c>
      <c r="D37" s="76">
        <v>36.1</v>
      </c>
      <c r="E37" s="76">
        <v>24.1</v>
      </c>
      <c r="F37" s="76">
        <v>1.0</v>
      </c>
      <c r="G37" s="60">
        <v>0.1</v>
      </c>
      <c r="H37" s="60">
        <v>0.1</v>
      </c>
      <c r="I37" s="60">
        <v>0.15</v>
      </c>
      <c r="J37" s="60">
        <v>0.05</v>
      </c>
      <c r="K37" s="60">
        <v>0.03</v>
      </c>
      <c r="L37" s="52">
        <v>0.1</v>
      </c>
      <c r="M37" s="106"/>
      <c r="N37" s="157"/>
      <c r="O37" s="51"/>
      <c r="P37" s="51"/>
      <c r="Q37" s="51"/>
      <c r="R37" s="51"/>
      <c r="S37" s="51"/>
      <c r="T37" s="51"/>
      <c r="U37" s="365" t="str">
        <f>'25'!V12</f>
        <v/>
      </c>
      <c r="X37" s="338" t="s">
        <v>75</v>
      </c>
      <c r="Y37" s="128"/>
      <c r="Z37" s="170">
        <f>COUNTA('25'!Z6:Z29)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498" t="s">
        <v>78</v>
      </c>
      <c r="AK38" s="180">
        <f>SUM('25'!AF30+'25'!AH30)</f>
        <v>0</v>
      </c>
      <c r="AL38" s="498" t="s">
        <v>78</v>
      </c>
      <c r="AM38" s="179">
        <f>SUM('25'!AL30+'25'!AN30)</f>
        <v>0</v>
      </c>
      <c r="AO38" s="498" t="s">
        <v>78</v>
      </c>
      <c r="AP38" s="180">
        <f>'25'!AJ30</f>
        <v>2270</v>
      </c>
      <c r="AQ38" s="498" t="s">
        <v>78</v>
      </c>
      <c r="AR38" s="179">
        <f>'25'!AP30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499" t="s">
        <v>86</v>
      </c>
      <c r="AK39" s="326">
        <f>('25'!AK38/'25'!Y30)*1000</f>
        <v>0</v>
      </c>
      <c r="AL39" s="500" t="s">
        <v>86</v>
      </c>
      <c r="AM39" s="328">
        <f>('25'!AM38/'25'!Y30)*1000</f>
        <v>0</v>
      </c>
      <c r="AO39" s="499" t="s">
        <v>86</v>
      </c>
      <c r="AP39" s="326">
        <f>('25'!AP38/'25'!Y30)*1000</f>
        <v>7.57060338</v>
      </c>
      <c r="AQ39" s="500" t="s">
        <v>86</v>
      </c>
      <c r="AR39" s="328">
        <f>('25'!AR38/'25'!Y30)*1000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47" t="s">
        <v>90</v>
      </c>
      <c r="AK40" s="128"/>
      <c r="AL40" s="209">
        <f>SUM('25'!AK38,'25'!AM38)</f>
        <v>0</v>
      </c>
      <c r="AM40" s="128"/>
      <c r="AO40" s="210" t="s">
        <v>90</v>
      </c>
      <c r="AP40" s="128"/>
      <c r="AQ40" s="211">
        <f>SUM('25'!AP38,'25'!AR38)</f>
        <v>2270</v>
      </c>
      <c r="AR40" s="128"/>
    </row>
    <row r="41" ht="16.5" customHeight="1">
      <c r="A41" s="212">
        <f>COUNTA('25'!E7:E18)</f>
        <v>12</v>
      </c>
      <c r="B41" s="213">
        <f>COUNTA('25'!I7:I18)</f>
        <v>12</v>
      </c>
      <c r="C41" s="214">
        <f>COUNTA('25'!J7:J18)</f>
        <v>12</v>
      </c>
      <c r="D41" s="80"/>
      <c r="E41" s="214">
        <f>COUNTIF('25'!E7:E18,"&gt;15")</f>
        <v>0</v>
      </c>
      <c r="F41" s="80"/>
      <c r="G41" s="214">
        <f>COUNTIF('25'!J7:J18,"&gt;1")</f>
        <v>0</v>
      </c>
      <c r="H41" s="80"/>
      <c r="I41" s="215"/>
      <c r="J41" s="214">
        <f>'25'!A41-'25'!E41</f>
        <v>12</v>
      </c>
      <c r="K41" s="80"/>
      <c r="L41" s="214">
        <f>'25'!C41-'25'!G41</f>
        <v>12</v>
      </c>
      <c r="M41" s="80"/>
      <c r="N41" s="215"/>
      <c r="O41" s="216">
        <f>COUNTIF('25'!J7:J18,"&lt;=0,5")</f>
        <v>5</v>
      </c>
      <c r="P41" s="217"/>
      <c r="Q41" s="218"/>
      <c r="R41" s="219"/>
      <c r="S41" s="220">
        <f>COUNTIF('25'!J7:J18,"&lt;=1,0")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47" t="s">
        <v>91</v>
      </c>
      <c r="AK41" s="128"/>
      <c r="AL41" s="223">
        <f>SUM(('25'!AK38+'25'!AM38)/'25'!Y30)*1000</f>
        <v>0</v>
      </c>
      <c r="AM41" s="128"/>
      <c r="AO41" s="210" t="s">
        <v>91</v>
      </c>
      <c r="AP41" s="128"/>
      <c r="AQ41" s="223">
        <f>SUM(('25'!AP38+'25'!AR38)/'25'!Y30)*1000</f>
        <v>7.57060338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>
        <v>155.0</v>
      </c>
      <c r="Z44" s="68" t="s">
        <v>101</v>
      </c>
      <c r="AA44" s="241">
        <v>0.0</v>
      </c>
      <c r="AB44" s="68" t="s">
        <v>101</v>
      </c>
      <c r="AC44" s="241">
        <v>58.0</v>
      </c>
      <c r="AD44" s="242"/>
      <c r="AE44" s="243"/>
      <c r="AF44" s="244" t="s">
        <v>102</v>
      </c>
      <c r="AG44" s="245">
        <f>SUM('25'!Y45,'25'!AA45,'25'!AC45,'25'!AE45)</f>
        <v>188148.1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COUNTIF('25'!I7:I18,"&lt;=5,0")</f>
        <v>12</v>
      </c>
      <c r="I45" s="127"/>
      <c r="J45" s="128"/>
      <c r="K45" s="215"/>
      <c r="L45" s="208">
        <f>COUNTA('25'!L37)</f>
        <v>1</v>
      </c>
      <c r="M45" s="128"/>
      <c r="O45" s="248"/>
      <c r="P45" s="249"/>
      <c r="Q45" s="250">
        <f>'25'!S41-'25'!O41</f>
        <v>7</v>
      </c>
      <c r="R45" s="251"/>
      <c r="S45" s="252"/>
      <c r="T45" s="253"/>
      <c r="X45" s="133" t="s">
        <v>104</v>
      </c>
      <c r="Y45" s="254">
        <f>'25'!Y44*275.3</f>
        <v>42671.5</v>
      </c>
      <c r="Z45" s="133" t="s">
        <v>104</v>
      </c>
      <c r="AA45" s="254">
        <f>262.4*'25'!AA44</f>
        <v>0</v>
      </c>
      <c r="AB45" s="133" t="s">
        <v>104</v>
      </c>
      <c r="AC45" s="254">
        <f>'25'!AC44*277.7</f>
        <v>16106.6</v>
      </c>
      <c r="AD45" s="133" t="s">
        <v>104</v>
      </c>
      <c r="AE45" s="255">
        <v>129370.0</v>
      </c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422"/>
      <c r="AP45" s="89"/>
      <c r="AQ45" s="237"/>
      <c r="AR45" s="238"/>
    </row>
    <row r="46" ht="15.75" customHeight="1">
      <c r="F46" s="257"/>
      <c r="X46" s="196" t="s">
        <v>105</v>
      </c>
      <c r="Y46" s="258">
        <f>'25'!AS6</f>
        <v>1.33</v>
      </c>
      <c r="Z46" s="196" t="s">
        <v>105</v>
      </c>
      <c r="AA46" s="258">
        <f>'25'!Y46</f>
        <v>1.33</v>
      </c>
      <c r="AB46" s="196" t="s">
        <v>105</v>
      </c>
      <c r="AC46" s="258">
        <f>'25'!Y46</f>
        <v>1.33</v>
      </c>
      <c r="AD46" s="196" t="s">
        <v>105</v>
      </c>
      <c r="AE46" s="259">
        <f>'25'!Y46</f>
        <v>1.33</v>
      </c>
      <c r="AF46" s="260" t="s">
        <v>106</v>
      </c>
      <c r="AG46" s="261">
        <f>SUM('25'!Y47,'25'!AA47,'25'!AC47,'25'!AE47)</f>
        <v>250236.973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P46" s="27"/>
      <c r="AQ46" s="244" t="s">
        <v>102</v>
      </c>
      <c r="AR46" s="245">
        <f>SUM('10'!AJ47,'10'!AL47,'10'!AN47,'10'!AP47)</f>
        <v>0</v>
      </c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'25'!Y45*'25'!Y46</f>
        <v>56753.095</v>
      </c>
      <c r="Z47" s="133" t="s">
        <v>108</v>
      </c>
      <c r="AA47" s="254">
        <f>'25'!AA45*'25'!AA46</f>
        <v>0</v>
      </c>
      <c r="AB47" s="133" t="s">
        <v>108</v>
      </c>
      <c r="AC47" s="254">
        <f>'25'!AC45*'25'!AC46</f>
        <v>21421.778</v>
      </c>
      <c r="AD47" s="133" t="s">
        <v>108</v>
      </c>
      <c r="AE47" s="254">
        <f>'25'!AE45*'25'!AE46</f>
        <v>172062.1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P47" s="27"/>
      <c r="AQ47" s="46"/>
      <c r="AR47" s="46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P48" s="27"/>
      <c r="AQ48" s="260" t="s">
        <v>106</v>
      </c>
      <c r="AR48" s="261">
        <f>SUM('10'!AJ49,'10'!AL49,'10'!AN49,'10'!AP49)</f>
        <v>0</v>
      </c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8"/>
      <c r="AQ49" s="46"/>
      <c r="AR49" s="46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COUNTA('25'!O7:O18)</f>
        <v>12</v>
      </c>
      <c r="P51" s="128"/>
      <c r="R51" s="247">
        <f>COUNTIF('25'!O7:O18,"&gt;=0,5")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501" t="str">
        <f>#NAME?</f>
        <v>#NAME?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422"/>
      <c r="AP52" s="89"/>
      <c r="AQ52" s="270"/>
      <c r="AR52" s="271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'25'!Y52*275.3</f>
        <v>0</v>
      </c>
      <c r="Z53" s="133" t="s">
        <v>104</v>
      </c>
      <c r="AA53" s="254">
        <f>262.4*'25'!AA52</f>
        <v>0</v>
      </c>
      <c r="AB53" s="133" t="s">
        <v>104</v>
      </c>
      <c r="AC53" s="276">
        <f>'25'!AC52*277.7</f>
        <v>0</v>
      </c>
      <c r="AD53" s="133" t="s">
        <v>104</v>
      </c>
      <c r="AE53" s="352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P53" s="27"/>
      <c r="AQ53" s="244" t="s">
        <v>102</v>
      </c>
      <c r="AR53" s="245">
        <f>'10'!AJ54+'10'!AL54+'10'!AN54+'10'!AP54</f>
        <v>0</v>
      </c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'25'!AS7</f>
        <v>1.377</v>
      </c>
      <c r="Z54" s="196" t="s">
        <v>105</v>
      </c>
      <c r="AA54" s="258">
        <f>'25'!Y54</f>
        <v>1.377</v>
      </c>
      <c r="AB54" s="196" t="s">
        <v>105</v>
      </c>
      <c r="AC54" s="258">
        <f>'25'!Y54</f>
        <v>1.377</v>
      </c>
      <c r="AD54" s="196" t="s">
        <v>105</v>
      </c>
      <c r="AE54" s="259">
        <f>'25'!Y54</f>
        <v>1.377</v>
      </c>
      <c r="AF54" s="260" t="s">
        <v>106</v>
      </c>
      <c r="AG54" s="261">
        <f>SUM('25'!Y55,'25'!AA55,'25'!AC55,'25'!AE55)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262.4*AL53</f>
        <v>0</v>
      </c>
      <c r="AM54" s="133" t="s">
        <v>104</v>
      </c>
      <c r="AN54" s="276">
        <f>AN53*277.7</f>
        <v>0</v>
      </c>
      <c r="AO54" s="43"/>
      <c r="AP54" s="27"/>
      <c r="AQ54" s="46"/>
      <c r="AR54" s="46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'25'!Y53*'25'!Y54</f>
        <v>0</v>
      </c>
      <c r="Z55" s="133" t="s">
        <v>108</v>
      </c>
      <c r="AA55" s="254">
        <f>'25'!AA53*'25'!AA54</f>
        <v>0</v>
      </c>
      <c r="AB55" s="133" t="s">
        <v>108</v>
      </c>
      <c r="AC55" s="254">
        <f>'25'!AC53*'25'!AC54</f>
        <v>0</v>
      </c>
      <c r="AD55" s="133" t="s">
        <v>108</v>
      </c>
      <c r="AE55" s="254">
        <f>'25'!AE53*'25'!AE54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>
        <f>AJ55</f>
        <v>1.377</v>
      </c>
      <c r="AM55" s="196" t="s">
        <v>105</v>
      </c>
      <c r="AN55" s="258">
        <f>AJ55</f>
        <v>1.377</v>
      </c>
      <c r="AO55" s="43"/>
      <c r="AP55" s="27"/>
      <c r="AQ55" s="260" t="s">
        <v>106</v>
      </c>
      <c r="AR55" s="261">
        <f>SUM('10'!AJ56,'10'!AL56,'10'!AN56,'10'!AP56)</f>
        <v>0</v>
      </c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AL54*AL55</f>
        <v>0</v>
      </c>
      <c r="AM56" s="133" t="s">
        <v>108</v>
      </c>
      <c r="AN56" s="254">
        <f>AN54*AN55</f>
        <v>0</v>
      </c>
      <c r="AO56" s="16"/>
      <c r="AP56" s="18"/>
      <c r="AQ56" s="46"/>
      <c r="AR56" s="46"/>
    </row>
    <row r="57" ht="15.75" customHeight="1">
      <c r="O57" s="169">
        <f>COUNTA('25'!N7:N18)</f>
        <v>12</v>
      </c>
      <c r="P57" s="128"/>
      <c r="R57" s="277">
        <f>COUNTIF('25'!N7:N18,"&gt;=6")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44847.6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/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-44847.6</v>
      </c>
      <c r="AR63" s="80"/>
    </row>
    <row r="64" ht="15.0" customHeight="1">
      <c r="X64" s="294"/>
      <c r="Y64" s="295"/>
      <c r="Z64" s="43"/>
      <c r="AA64" s="27"/>
      <c r="AB64" s="296"/>
      <c r="AC64" s="125">
        <v>0.0</v>
      </c>
    </row>
    <row r="65" ht="39.0" customHeight="1">
      <c r="X65" s="297" t="s">
        <v>126</v>
      </c>
      <c r="Y65" s="298">
        <f>'24'!$Y$68</f>
        <v>-11491.875</v>
      </c>
      <c r="Z65" s="43"/>
      <c r="AA65" s="27"/>
      <c r="AB65" s="299" t="s">
        <v>126</v>
      </c>
      <c r="AC65" s="330">
        <f>'24'!$AC$68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SUM('25'!AK38,'25'!AP38)</f>
        <v>2270</v>
      </c>
      <c r="Z67" s="43"/>
      <c r="AA67" s="27"/>
      <c r="AB67" s="296" t="s">
        <v>124</v>
      </c>
      <c r="AC67" s="254">
        <f>SUM('25'!AM38,'25'!AR38)</f>
        <v>0</v>
      </c>
    </row>
    <row r="68" ht="15.75" customHeight="1">
      <c r="X68" s="294" t="s">
        <v>128</v>
      </c>
      <c r="Y68" s="301">
        <f>SUM('25'!Y63,'25'!Y65)-'25'!Y67</f>
        <v>-13761.875</v>
      </c>
      <c r="Z68" s="16"/>
      <c r="AA68" s="18"/>
      <c r="AB68" s="296" t="s">
        <v>128</v>
      </c>
      <c r="AC68" s="302">
        <f>SUM('25'!AC63,'25'!AC65)-'25'!AC67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9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AO40:AP40"/>
    <mergeCell ref="AO41:AP41"/>
    <mergeCell ref="AI44:AR44"/>
    <mergeCell ref="X41:AG41"/>
    <mergeCell ref="X42:AG42"/>
    <mergeCell ref="E40:F40"/>
    <mergeCell ref="G40:H40"/>
    <mergeCell ref="X40:AG40"/>
    <mergeCell ref="AL40:AM40"/>
    <mergeCell ref="AQ40:AR40"/>
    <mergeCell ref="AL41:AM41"/>
    <mergeCell ref="AQ41:AR41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J40:K40"/>
    <mergeCell ref="L40:M40"/>
    <mergeCell ref="O39:Q40"/>
    <mergeCell ref="O41:Q41"/>
    <mergeCell ref="O42:T42"/>
    <mergeCell ref="Q43:S44"/>
    <mergeCell ref="X43:Y43"/>
    <mergeCell ref="Z43:AA43"/>
    <mergeCell ref="AB43:AC43"/>
    <mergeCell ref="AQ53:AQ54"/>
    <mergeCell ref="AR53:AR54"/>
    <mergeCell ref="AQ55:AQ56"/>
    <mergeCell ref="AR55:AR56"/>
    <mergeCell ref="AF54:AF55"/>
    <mergeCell ref="AG54:AG55"/>
    <mergeCell ref="O55:P56"/>
    <mergeCell ref="R55:T56"/>
    <mergeCell ref="O57:P57"/>
    <mergeCell ref="R57:T57"/>
    <mergeCell ref="X58:AC58"/>
    <mergeCell ref="AD52:AE52"/>
    <mergeCell ref="AF52:AF53"/>
    <mergeCell ref="AG52:AG53"/>
    <mergeCell ref="AI52:AJ52"/>
    <mergeCell ref="AK52:AL52"/>
    <mergeCell ref="AM52:AN52"/>
    <mergeCell ref="AO52:AP56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59:AR59"/>
    <mergeCell ref="AI60:AM60"/>
    <mergeCell ref="AN60:AR60"/>
    <mergeCell ref="AI61:AK61"/>
    <mergeCell ref="AL61:AM61"/>
    <mergeCell ref="AN61:AP61"/>
    <mergeCell ref="AQ61:AR61"/>
    <mergeCell ref="X62:Y62"/>
    <mergeCell ref="X66:Y66"/>
    <mergeCell ref="X59:AC59"/>
    <mergeCell ref="X60:Y60"/>
    <mergeCell ref="Z60:AA60"/>
    <mergeCell ref="AB60:AC60"/>
    <mergeCell ref="X61:AC61"/>
    <mergeCell ref="Z62:AA68"/>
    <mergeCell ref="AB62:AC62"/>
    <mergeCell ref="AB66:AC66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O45:AP49"/>
    <mergeCell ref="AQ46:AQ47"/>
    <mergeCell ref="AR46:AR47"/>
    <mergeCell ref="AQ48:AQ49"/>
    <mergeCell ref="AR48:AR49"/>
    <mergeCell ref="AI51:AR51"/>
    <mergeCell ref="AD43:AE43"/>
    <mergeCell ref="AD44:AE44"/>
    <mergeCell ref="AG44:AG45"/>
    <mergeCell ref="AI45:AJ45"/>
    <mergeCell ref="AK45:AL45"/>
    <mergeCell ref="AM45:AN45"/>
    <mergeCell ref="AG46:AG47"/>
    <mergeCell ref="Q45:S45"/>
    <mergeCell ref="O47:T48"/>
    <mergeCell ref="O49:P50"/>
    <mergeCell ref="R49:T50"/>
    <mergeCell ref="O51:P51"/>
    <mergeCell ref="R51:T51"/>
    <mergeCell ref="O53:T54"/>
    <mergeCell ref="AF44:AF45"/>
    <mergeCell ref="AF46:AF47"/>
    <mergeCell ref="X50:AG50"/>
    <mergeCell ref="X51:Y51"/>
    <mergeCell ref="Z51:AA51"/>
    <mergeCell ref="AB51:AC51"/>
    <mergeCell ref="AD51:AE51"/>
  </mergeCells>
  <conditionalFormatting sqref="O21">
    <cfRule type="cellIs" dxfId="0" priority="1" operator="lessThan">
      <formula>2.5</formula>
    </cfRule>
  </conditionalFormatting>
  <conditionalFormatting sqref="O19">
    <cfRule type="cellIs" dxfId="0" priority="2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0" width="8.71"/>
    <col customWidth="1" min="21" max="21" width="9.29"/>
    <col customWidth="1" min="22" max="22" width="8.57"/>
    <col customWidth="1" min="23" max="24" width="8.71"/>
    <col customWidth="1" min="25" max="25" width="8.14"/>
    <col customWidth="1" min="26" max="26" width="6.14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47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152</v>
      </c>
      <c r="AF4" s="32" t="s">
        <v>153</v>
      </c>
      <c r="AG4" s="32" t="s">
        <v>154</v>
      </c>
      <c r="AH4" s="32" t="s">
        <v>155</v>
      </c>
      <c r="AI4" s="32" t="s">
        <v>156</v>
      </c>
      <c r="AJ4" s="32" t="s">
        <v>157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3491.0</v>
      </c>
      <c r="Z6" s="60">
        <v>1410.0</v>
      </c>
      <c r="AA6" s="56">
        <v>1.0</v>
      </c>
      <c r="AB6" s="58">
        <f>IF('26'!AA6=1,(('26'!Z6*'26'!$AS$6*'26'!$AT$6)/('26'!Y6*0.0036)),IF('26'!AA6=2,(('26'!Z6*'26'!$AS$7*'26'!$AT$7)/('26'!Y6*0.0036))))</f>
        <v>74.60851714</v>
      </c>
      <c r="AC6" s="58"/>
      <c r="AD6" s="59">
        <f>(('26'!AC6*'26'!$Q$10*1000000))/('26'!Y6*3600)</f>
        <v>0</v>
      </c>
      <c r="AE6" s="60"/>
      <c r="AF6" s="61">
        <f>('26'!AE6/24)*0.454</f>
        <v>0</v>
      </c>
      <c r="AG6" s="60"/>
      <c r="AH6" s="61">
        <f>('26'!AG6/24)*0.454</f>
        <v>0</v>
      </c>
      <c r="AI6" s="502">
        <v>5000.0</v>
      </c>
      <c r="AJ6" s="61">
        <f>('26'!AI6/24)*0.454</f>
        <v>94.58333333</v>
      </c>
      <c r="AK6" s="62"/>
      <c r="AL6" s="63">
        <f>('26'!AK6/24)*0.454</f>
        <v>0</v>
      </c>
      <c r="AM6" s="62"/>
      <c r="AN6" s="63">
        <f>('26'!AM6/24)*0.454</f>
        <v>0</v>
      </c>
      <c r="AO6" s="62"/>
      <c r="AP6" s="63">
        <f>('26'!AO6/24)*0.454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165.0</v>
      </c>
      <c r="C7" s="76">
        <v>15.0</v>
      </c>
      <c r="D7" s="76">
        <v>14.0</v>
      </c>
      <c r="E7" s="76">
        <v>5.0</v>
      </c>
      <c r="F7" s="76">
        <v>45.0</v>
      </c>
      <c r="G7" s="76">
        <v>1.8</v>
      </c>
      <c r="H7" s="76">
        <v>1.2</v>
      </c>
      <c r="I7" s="76">
        <v>0.5</v>
      </c>
      <c r="J7" s="76">
        <v>0.6</v>
      </c>
      <c r="K7" s="76">
        <v>6.9</v>
      </c>
      <c r="L7" s="76">
        <v>6.3</v>
      </c>
      <c r="M7" s="76">
        <v>6.3</v>
      </c>
      <c r="N7" s="76">
        <v>6.0</v>
      </c>
      <c r="O7" s="76">
        <v>3.6</v>
      </c>
      <c r="P7" s="76"/>
      <c r="Q7" s="310"/>
      <c r="R7" s="77">
        <f>'25'!$Z$29</f>
        <v>1410</v>
      </c>
      <c r="S7" s="309">
        <f>'25'!$AB$29</f>
        <v>75.01680108</v>
      </c>
      <c r="T7" s="77">
        <f>'25'!$Y$29</f>
        <v>3472</v>
      </c>
      <c r="U7" s="73" t="str">
        <f>IF('26'!AA6=1,'26'!AR6,'26'!AR7)</f>
        <v>S.A.L</v>
      </c>
      <c r="V7" s="74" t="str">
        <f>ESCALA!$B$27</f>
        <v/>
      </c>
      <c r="W7" s="12"/>
      <c r="X7" s="54">
        <v>0.0833333333333333</v>
      </c>
      <c r="Y7" s="125">
        <v>3500.0</v>
      </c>
      <c r="Z7" s="60">
        <v>1410.0</v>
      </c>
      <c r="AA7" s="56">
        <v>1.0</v>
      </c>
      <c r="AB7" s="58">
        <f>IF('26'!AA7=1,(('26'!Z7*'26'!$AS$6*'26'!$AT$6)/('26'!Y7*0.0036)),IF('26'!AA7=2,(('26'!Z7*'26'!$AS$7*'26'!$AT$7)/('26'!Y7*0.0036))))</f>
        <v>74.41666667</v>
      </c>
      <c r="AC7" s="58"/>
      <c r="AD7" s="59">
        <f>(('26'!AC7*'26'!$Q$10*1000000))/('26'!Y7*3600)</f>
        <v>0</v>
      </c>
      <c r="AE7" s="60"/>
      <c r="AF7" s="61">
        <f>('26'!AE7/24)*0.454</f>
        <v>0</v>
      </c>
      <c r="AG7" s="60"/>
      <c r="AH7" s="61">
        <f>('26'!AG7/24)*0.454</f>
        <v>0</v>
      </c>
      <c r="AI7" s="502">
        <v>5000.0</v>
      </c>
      <c r="AJ7" s="61">
        <f>('26'!AI7/24)*0.454</f>
        <v>94.58333333</v>
      </c>
      <c r="AK7" s="62"/>
      <c r="AL7" s="63">
        <f>('26'!AK7/24)*0.454</f>
        <v>0</v>
      </c>
      <c r="AM7" s="62"/>
      <c r="AN7" s="63">
        <f>('26'!AM7/24)*0.454</f>
        <v>0</v>
      </c>
      <c r="AO7" s="62"/>
      <c r="AP7" s="63">
        <f>('26'!AO7/24)*0.454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161.0</v>
      </c>
      <c r="C8" s="76">
        <v>15.0</v>
      </c>
      <c r="D8" s="76">
        <v>14.0</v>
      </c>
      <c r="E8" s="76">
        <v>5.0</v>
      </c>
      <c r="F8" s="76">
        <v>43.0</v>
      </c>
      <c r="G8" s="76">
        <v>1.8</v>
      </c>
      <c r="H8" s="76">
        <v>1.2</v>
      </c>
      <c r="I8" s="76">
        <v>0.5</v>
      </c>
      <c r="J8" s="76">
        <v>0.6</v>
      </c>
      <c r="K8" s="76">
        <v>6.9</v>
      </c>
      <c r="L8" s="76">
        <v>6.3</v>
      </c>
      <c r="M8" s="76">
        <v>6.3</v>
      </c>
      <c r="N8" s="76">
        <v>6.0</v>
      </c>
      <c r="O8" s="76">
        <v>3.6</v>
      </c>
      <c r="P8" s="76"/>
      <c r="Q8" s="310"/>
      <c r="R8" s="75">
        <f>'26'!Z7</f>
        <v>1410</v>
      </c>
      <c r="S8" s="76">
        <f>'26'!AB7</f>
        <v>74.41666667</v>
      </c>
      <c r="T8" s="77">
        <f>'26'!Y7</f>
        <v>3500</v>
      </c>
      <c r="U8" s="73" t="str">
        <f>IF('26'!AA7=1,'26'!AR6,'26'!AR7)</f>
        <v>S.A.L</v>
      </c>
      <c r="V8" s="43"/>
      <c r="W8" s="27"/>
      <c r="X8" s="54">
        <v>0.125</v>
      </c>
      <c r="Y8" s="125">
        <v>3463.0</v>
      </c>
      <c r="Z8" s="60">
        <v>1410.0</v>
      </c>
      <c r="AA8" s="56">
        <v>1.0</v>
      </c>
      <c r="AB8" s="58">
        <f>IF('26'!AA8=1,(('26'!Z8*'26'!$AS$6*'26'!$AT$6)/('26'!Y8*0.0036)),IF('26'!AA8=2,(('26'!Z8*'26'!$AS$7*'26'!$AT$7)/('26'!Y8*0.0036))))</f>
        <v>75.21176244</v>
      </c>
      <c r="AC8" s="58"/>
      <c r="AD8" s="59">
        <f>(('26'!AC8*'26'!$Q$10*1000000))/('26'!Y8*3600)</f>
        <v>0</v>
      </c>
      <c r="AE8" s="60"/>
      <c r="AF8" s="61">
        <f>('26'!AE8/24)*0.454</f>
        <v>0</v>
      </c>
      <c r="AG8" s="60"/>
      <c r="AH8" s="61">
        <f>('26'!AG8/24)*0.454</f>
        <v>0</v>
      </c>
      <c r="AI8" s="502">
        <v>5000.0</v>
      </c>
      <c r="AJ8" s="61">
        <f>('26'!AI8/24)*0.454</f>
        <v>94.58333333</v>
      </c>
      <c r="AK8" s="62"/>
      <c r="AL8" s="63">
        <f>('26'!AK8/24)*0.454</f>
        <v>0</v>
      </c>
      <c r="AM8" s="62"/>
      <c r="AN8" s="63">
        <f>('26'!AM8/24)*0.454</f>
        <v>0</v>
      </c>
      <c r="AO8" s="62"/>
      <c r="AP8" s="63">
        <f>('26'!AO8/24)*0.454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157.0</v>
      </c>
      <c r="C9" s="76">
        <v>15.0</v>
      </c>
      <c r="D9" s="76">
        <v>14.0</v>
      </c>
      <c r="E9" s="76">
        <v>5.0</v>
      </c>
      <c r="F9" s="76">
        <v>41.0</v>
      </c>
      <c r="G9" s="76">
        <v>1.8</v>
      </c>
      <c r="H9" s="76">
        <v>1.2</v>
      </c>
      <c r="I9" s="76">
        <v>0.5</v>
      </c>
      <c r="J9" s="76">
        <v>0.6</v>
      </c>
      <c r="K9" s="76">
        <v>6.9</v>
      </c>
      <c r="L9" s="76">
        <v>6.3</v>
      </c>
      <c r="M9" s="76">
        <v>6.3</v>
      </c>
      <c r="N9" s="76">
        <v>6.0</v>
      </c>
      <c r="O9" s="76">
        <v>3.6</v>
      </c>
      <c r="P9" s="76"/>
      <c r="Q9" s="310"/>
      <c r="R9" s="77">
        <f>'26'!Z9</f>
        <v>1410</v>
      </c>
      <c r="S9" s="76">
        <f>'26'!AB9</f>
        <v>75.23348739</v>
      </c>
      <c r="T9" s="77">
        <f>'26'!Y9</f>
        <v>3462</v>
      </c>
      <c r="U9" s="73" t="str">
        <f>IF('26'!AA9=1,'26'!AR6,'26'!AR7)</f>
        <v>S.A.L</v>
      </c>
      <c r="V9" s="43"/>
      <c r="W9" s="27"/>
      <c r="X9" s="54">
        <v>0.166666666666667</v>
      </c>
      <c r="Y9" s="125">
        <v>3462.0</v>
      </c>
      <c r="Z9" s="60">
        <v>1410.0</v>
      </c>
      <c r="AA9" s="56">
        <v>1.0</v>
      </c>
      <c r="AB9" s="58">
        <f>IF('26'!AA9=1,(('26'!Z9*'26'!$AS$6*'26'!$AT$6)/('26'!Y9*0.0036)),IF('26'!AA9=2,(('26'!Z9*'26'!$AS$7*'26'!$AT$7)/('26'!Y9*0.0036))))</f>
        <v>75.23348739</v>
      </c>
      <c r="AC9" s="58"/>
      <c r="AD9" s="59">
        <f>(('26'!AC9*'26'!$Q$10*1000000))/('26'!Y9*3600)</f>
        <v>0</v>
      </c>
      <c r="AE9" s="60"/>
      <c r="AF9" s="61">
        <f>('26'!AE9/24)*0.454</f>
        <v>0</v>
      </c>
      <c r="AG9" s="60"/>
      <c r="AH9" s="61">
        <f>('26'!AG9/24)*0.454</f>
        <v>0</v>
      </c>
      <c r="AI9" s="502">
        <v>5000.0</v>
      </c>
      <c r="AJ9" s="61">
        <f>('26'!AI9/24)*0.454</f>
        <v>94.58333333</v>
      </c>
      <c r="AK9" s="62"/>
      <c r="AL9" s="63">
        <f>('26'!AK9/24)*0.454</f>
        <v>0</v>
      </c>
      <c r="AM9" s="62"/>
      <c r="AN9" s="63">
        <f>('26'!AM9/24)*0.454</f>
        <v>0</v>
      </c>
      <c r="AO9" s="62"/>
      <c r="AP9" s="63">
        <f>('26'!AO9/24)*0.454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155.0</v>
      </c>
      <c r="C10" s="76">
        <v>15.0</v>
      </c>
      <c r="D10" s="76">
        <v>14.0</v>
      </c>
      <c r="E10" s="76">
        <v>5.0</v>
      </c>
      <c r="F10" s="76">
        <v>40.0</v>
      </c>
      <c r="G10" s="76">
        <v>1.8</v>
      </c>
      <c r="H10" s="76">
        <v>1.2</v>
      </c>
      <c r="I10" s="76">
        <v>0.5</v>
      </c>
      <c r="J10" s="76">
        <v>0.6</v>
      </c>
      <c r="K10" s="76">
        <v>6.9</v>
      </c>
      <c r="L10" s="76">
        <v>6.3</v>
      </c>
      <c r="M10" s="76">
        <v>6.3</v>
      </c>
      <c r="N10" s="76">
        <v>6.0</v>
      </c>
      <c r="O10" s="76">
        <v>3.6</v>
      </c>
      <c r="P10" s="76"/>
      <c r="Q10" s="310"/>
      <c r="R10" s="77">
        <f>'26'!Z11</f>
        <v>1410</v>
      </c>
      <c r="S10" s="76">
        <f>'26'!AB11</f>
        <v>75.0816758</v>
      </c>
      <c r="T10" s="77">
        <f>'26'!Y11</f>
        <v>3469</v>
      </c>
      <c r="U10" s="73" t="str">
        <f>IF('26'!AA11=1,'26'!AR6,'26'!AR7)</f>
        <v>S.A.L</v>
      </c>
      <c r="V10" s="43"/>
      <c r="W10" s="27"/>
      <c r="X10" s="54">
        <v>0.208333333333333</v>
      </c>
      <c r="Y10" s="125">
        <v>3458.0</v>
      </c>
      <c r="Z10" s="60">
        <v>1410.0</v>
      </c>
      <c r="AA10" s="56">
        <v>1.0</v>
      </c>
      <c r="AB10" s="58">
        <f>IF('26'!AA10=1,(('26'!Z10*'26'!$AS$6*'26'!$AT$6)/('26'!Y10*0.0036)),IF('26'!AA10=2,(('26'!Z10*'26'!$AS$7*'26'!$AT$7)/('26'!Y10*0.0036))))</f>
        <v>75.32051282</v>
      </c>
      <c r="AC10" s="58"/>
      <c r="AD10" s="59">
        <f>(('26'!AC10*'26'!$Q$10*1000000))/('26'!Y10*3600)</f>
        <v>0</v>
      </c>
      <c r="AE10" s="60"/>
      <c r="AF10" s="61">
        <f>('26'!AE10/24)*0.454</f>
        <v>0</v>
      </c>
      <c r="AG10" s="60"/>
      <c r="AH10" s="61">
        <f>('26'!AG10/24)*0.454</f>
        <v>0</v>
      </c>
      <c r="AI10" s="502">
        <v>5000.0</v>
      </c>
      <c r="AJ10" s="61">
        <f>('26'!AI10/24)*0.454</f>
        <v>94.58333333</v>
      </c>
      <c r="AK10" s="62"/>
      <c r="AL10" s="63">
        <f>('26'!AK10/24)*0.454</f>
        <v>0</v>
      </c>
      <c r="AM10" s="62"/>
      <c r="AN10" s="63">
        <f>('26'!AM10/24)*0.454</f>
        <v>0</v>
      </c>
      <c r="AO10" s="62"/>
      <c r="AP10" s="63">
        <f>('26'!AO10/24)*0.454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153.0</v>
      </c>
      <c r="C11" s="76">
        <v>15.0</v>
      </c>
      <c r="D11" s="76">
        <v>14.0</v>
      </c>
      <c r="E11" s="76">
        <v>6.0</v>
      </c>
      <c r="F11" s="76">
        <v>43.0</v>
      </c>
      <c r="G11" s="76">
        <v>1.7</v>
      </c>
      <c r="H11" s="76">
        <v>1.2</v>
      </c>
      <c r="I11" s="76">
        <v>0.5</v>
      </c>
      <c r="J11" s="76">
        <v>0.6</v>
      </c>
      <c r="K11" s="76">
        <v>6.9</v>
      </c>
      <c r="L11" s="76">
        <v>6.3</v>
      </c>
      <c r="M11" s="76">
        <v>6.3</v>
      </c>
      <c r="N11" s="76">
        <v>6.0</v>
      </c>
      <c r="O11" s="76">
        <v>3.6</v>
      </c>
      <c r="P11" s="76"/>
      <c r="Q11" s="310"/>
      <c r="R11" s="77">
        <f>'26'!Z13</f>
        <v>1410</v>
      </c>
      <c r="S11" s="76">
        <f>'26'!AB13</f>
        <v>74.97361351</v>
      </c>
      <c r="T11" s="77">
        <f>'26'!Y13</f>
        <v>3474</v>
      </c>
      <c r="U11" s="73" t="str">
        <f>IF('26'!AA13=1,'26'!AR6,'26'!AR7)</f>
        <v>S.A.L</v>
      </c>
      <c r="V11" s="16"/>
      <c r="W11" s="18"/>
      <c r="X11" s="54">
        <v>0.25</v>
      </c>
      <c r="Y11" s="125">
        <v>3469.0</v>
      </c>
      <c r="Z11" s="60">
        <v>1410.0</v>
      </c>
      <c r="AA11" s="56">
        <v>1.0</v>
      </c>
      <c r="AB11" s="58">
        <f>IF('26'!AA11=1,(('26'!Z11*'26'!$AS$6*'26'!$AT$6)/('26'!Y11*0.0036)),IF('26'!AA11=2,(('26'!Z11*'26'!$AS$7*'26'!$AT$7)/('26'!Y11*0.0036))))</f>
        <v>75.0816758</v>
      </c>
      <c r="AC11" s="58"/>
      <c r="AD11" s="59">
        <f>(('26'!AC11*'26'!$Q$10*1000000))/('26'!Y11*3600)</f>
        <v>0</v>
      </c>
      <c r="AE11" s="60"/>
      <c r="AF11" s="61">
        <f>('26'!AE11/24)*0.454</f>
        <v>0</v>
      </c>
      <c r="AG11" s="60"/>
      <c r="AH11" s="61">
        <f>('26'!AG11/24)*0.454</f>
        <v>0</v>
      </c>
      <c r="AI11" s="502">
        <v>5000.0</v>
      </c>
      <c r="AJ11" s="61">
        <f>('26'!AI11/24)*0.454</f>
        <v>94.58333333</v>
      </c>
      <c r="AK11" s="62"/>
      <c r="AL11" s="63">
        <f>('26'!AK11/24)*0.454</f>
        <v>0</v>
      </c>
      <c r="AM11" s="62"/>
      <c r="AN11" s="63">
        <f>('26'!AM11/24)*0.454</f>
        <v>0</v>
      </c>
      <c r="AO11" s="62"/>
      <c r="AP11" s="63">
        <f>('26'!AO11/24)*0.454</f>
        <v>0</v>
      </c>
    </row>
    <row r="12" ht="18.75" customHeight="1">
      <c r="A12" s="69">
        <v>0.416666666666667</v>
      </c>
      <c r="B12" s="76">
        <v>149.0</v>
      </c>
      <c r="C12" s="76">
        <v>17.0</v>
      </c>
      <c r="D12" s="76">
        <v>16.0</v>
      </c>
      <c r="E12" s="76">
        <v>6.0</v>
      </c>
      <c r="F12" s="76">
        <v>38.0</v>
      </c>
      <c r="G12" s="76">
        <v>1.6</v>
      </c>
      <c r="H12" s="76">
        <v>1.4</v>
      </c>
      <c r="I12" s="76">
        <v>0.6</v>
      </c>
      <c r="J12" s="76">
        <v>0.6</v>
      </c>
      <c r="K12" s="76">
        <v>6.9</v>
      </c>
      <c r="L12" s="76">
        <v>6.3</v>
      </c>
      <c r="M12" s="76">
        <v>6.3</v>
      </c>
      <c r="N12" s="76">
        <v>6.0</v>
      </c>
      <c r="O12" s="76">
        <v>3.6</v>
      </c>
      <c r="P12" s="76"/>
      <c r="Q12" s="310"/>
      <c r="R12" s="77">
        <f>'26'!Z15</f>
        <v>1410</v>
      </c>
      <c r="S12" s="76">
        <f>'26'!AB15</f>
        <v>75.38591413</v>
      </c>
      <c r="T12" s="77">
        <f>'26'!Y15</f>
        <v>3455</v>
      </c>
      <c r="U12" s="73" t="str">
        <f>IF('26'!AA15=1,'26'!AR6,'26'!AR7)</f>
        <v>S.A.L</v>
      </c>
      <c r="V12" s="88" t="str">
        <f>ESCALA!$B$28</f>
        <v/>
      </c>
      <c r="W12" s="89"/>
      <c r="X12" s="54">
        <v>0.291666666666667</v>
      </c>
      <c r="Y12" s="125">
        <v>3549.0</v>
      </c>
      <c r="Z12" s="60">
        <v>1410.0</v>
      </c>
      <c r="AA12" s="56">
        <v>1.0</v>
      </c>
      <c r="AB12" s="58">
        <f>IF('26'!AA12=1,(('26'!Z12*'26'!$AS$6*'26'!$AT$6)/('26'!Y12*0.0036)),IF('26'!AA12=2,(('26'!Z12*'26'!$AS$7*'26'!$AT$7)/('26'!Y12*0.0036))))</f>
        <v>73.38921762</v>
      </c>
      <c r="AC12" s="58"/>
      <c r="AD12" s="59">
        <f>(('26'!AC12*'26'!$Q$10*1000000))/('26'!Y12*3600)</f>
        <v>0</v>
      </c>
      <c r="AE12" s="60"/>
      <c r="AF12" s="61">
        <f>('26'!AE12/24)*0.454</f>
        <v>0</v>
      </c>
      <c r="AG12" s="60"/>
      <c r="AH12" s="61">
        <f>('26'!AG12/24)*0.454</f>
        <v>0</v>
      </c>
      <c r="AI12" s="502">
        <v>5000.0</v>
      </c>
      <c r="AJ12" s="61">
        <f>('26'!AI12/24)*0.454</f>
        <v>94.58333333</v>
      </c>
      <c r="AK12" s="62"/>
      <c r="AL12" s="63">
        <f>('26'!AK12/24)*0.454</f>
        <v>0</v>
      </c>
      <c r="AM12" s="62"/>
      <c r="AN12" s="63">
        <f>('26'!AM12/24)*0.454</f>
        <v>0</v>
      </c>
      <c r="AO12" s="62"/>
      <c r="AP12" s="63">
        <f>('26'!AO12/24)*0.454</f>
        <v>0</v>
      </c>
    </row>
    <row r="13" ht="18.75" customHeight="1">
      <c r="A13" s="69">
        <v>0.5</v>
      </c>
      <c r="B13" s="76">
        <v>142.0</v>
      </c>
      <c r="C13" s="76">
        <v>18.0</v>
      </c>
      <c r="D13" s="76">
        <v>16.0</v>
      </c>
      <c r="E13" s="76">
        <v>6.0</v>
      </c>
      <c r="F13" s="76">
        <v>35.0</v>
      </c>
      <c r="G13" s="76">
        <v>1.4</v>
      </c>
      <c r="H13" s="76">
        <v>1.3</v>
      </c>
      <c r="I13" s="76">
        <v>0.6</v>
      </c>
      <c r="J13" s="76">
        <v>0.6</v>
      </c>
      <c r="K13" s="76">
        <v>6.9</v>
      </c>
      <c r="L13" s="76">
        <v>6.3</v>
      </c>
      <c r="M13" s="76">
        <v>6.3</v>
      </c>
      <c r="N13" s="76">
        <v>6.0</v>
      </c>
      <c r="O13" s="76">
        <v>3.6</v>
      </c>
      <c r="P13" s="76"/>
      <c r="Q13" s="310"/>
      <c r="R13" s="77">
        <f>'26'!Z17</f>
        <v>1410</v>
      </c>
      <c r="S13" s="76">
        <f>'26'!AB17</f>
        <v>75.93537415</v>
      </c>
      <c r="T13" s="77">
        <f>'26'!Y17</f>
        <v>3430</v>
      </c>
      <c r="U13" s="73" t="str">
        <f>IF('26'!AA17=1,'26'!AR6,'26'!AR7)</f>
        <v>S.A.L</v>
      </c>
      <c r="V13" s="43"/>
      <c r="W13" s="27"/>
      <c r="X13" s="54">
        <v>0.333333333333333</v>
      </c>
      <c r="Y13" s="125">
        <v>3474.0</v>
      </c>
      <c r="Z13" s="60">
        <v>1410.0</v>
      </c>
      <c r="AA13" s="56">
        <v>1.0</v>
      </c>
      <c r="AB13" s="58">
        <f>IF('26'!AA13=1,(('26'!Z13*'26'!$AS$6*'26'!$AT$6)/('26'!Y13*0.0036)),IF('26'!AA13=2,(('26'!Z13*'26'!$AS$7*'26'!$AT$7)/('26'!Y13*0.0036))))</f>
        <v>74.97361351</v>
      </c>
      <c r="AC13" s="58"/>
      <c r="AD13" s="59">
        <f>(('26'!AC13*'26'!$Q$10*1000000))/('26'!Y13*3600)</f>
        <v>0</v>
      </c>
      <c r="AE13" s="60"/>
      <c r="AF13" s="61">
        <f>('26'!AE13/24)*0.454</f>
        <v>0</v>
      </c>
      <c r="AG13" s="60"/>
      <c r="AH13" s="61">
        <f>('26'!AG13/24)*0.454</f>
        <v>0</v>
      </c>
      <c r="AI13" s="502">
        <v>5000.0</v>
      </c>
      <c r="AJ13" s="61">
        <f>('26'!AI13/24)*0.454</f>
        <v>94.58333333</v>
      </c>
      <c r="AK13" s="62"/>
      <c r="AL13" s="63">
        <f>('26'!AK13/24)*0.454</f>
        <v>0</v>
      </c>
      <c r="AM13" s="62"/>
      <c r="AN13" s="63">
        <f>('26'!AM13/24)*0.454</f>
        <v>0</v>
      </c>
      <c r="AO13" s="62"/>
      <c r="AP13" s="63">
        <f>('26'!AO13/24)*0.454</f>
        <v>0</v>
      </c>
    </row>
    <row r="14" ht="18.75" customHeight="1">
      <c r="A14" s="69">
        <v>0.583333333333333</v>
      </c>
      <c r="B14" s="76">
        <v>145.0</v>
      </c>
      <c r="C14" s="76">
        <v>19.0</v>
      </c>
      <c r="D14" s="76">
        <v>17.0</v>
      </c>
      <c r="E14" s="76">
        <v>6.0</v>
      </c>
      <c r="F14" s="76">
        <v>38.0</v>
      </c>
      <c r="G14" s="76">
        <v>1.7</v>
      </c>
      <c r="H14" s="76">
        <v>1.6</v>
      </c>
      <c r="I14" s="76">
        <v>0.6</v>
      </c>
      <c r="J14" s="76">
        <v>0.6</v>
      </c>
      <c r="K14" s="76">
        <v>6.9</v>
      </c>
      <c r="L14" s="76">
        <v>6.3</v>
      </c>
      <c r="M14" s="76">
        <v>6.3</v>
      </c>
      <c r="N14" s="76">
        <v>6.0</v>
      </c>
      <c r="O14" s="76">
        <v>3.6</v>
      </c>
      <c r="P14" s="76"/>
      <c r="Q14" s="310"/>
      <c r="R14" s="77">
        <f>'26'!Z19</f>
        <v>1410</v>
      </c>
      <c r="S14" s="76">
        <f>'26'!AB19</f>
        <v>75.34230065</v>
      </c>
      <c r="T14" s="77">
        <f>'26'!Y19</f>
        <v>3457</v>
      </c>
      <c r="U14" s="73" t="str">
        <f>IF('26'!AA19=1,'26'!AR6,'26'!AR7)</f>
        <v>S.A.L</v>
      </c>
      <c r="V14" s="43"/>
      <c r="W14" s="27"/>
      <c r="X14" s="54">
        <v>0.375</v>
      </c>
      <c r="Y14" s="125">
        <v>3494.0</v>
      </c>
      <c r="Z14" s="60">
        <v>1410.0</v>
      </c>
      <c r="AA14" s="56">
        <v>1.0</v>
      </c>
      <c r="AB14" s="58">
        <f>IF('26'!AA14=1,(('26'!Z14*'26'!$AS$6*'26'!$AT$6)/('26'!Y14*0.0036)),IF('26'!AA14=2,(('26'!Z14*'26'!$AS$7*'26'!$AT$7)/('26'!Y14*0.0036))))</f>
        <v>74.54445716</v>
      </c>
      <c r="AC14" s="58"/>
      <c r="AD14" s="59">
        <f>(('26'!AC14*'26'!$Q$10*1000000))/('26'!Y14*3600)</f>
        <v>0</v>
      </c>
      <c r="AE14" s="60"/>
      <c r="AF14" s="61">
        <f>('26'!AE14/24)*0.454</f>
        <v>0</v>
      </c>
      <c r="AG14" s="60"/>
      <c r="AH14" s="61">
        <f>('26'!AG14/24)*0.454</f>
        <v>0</v>
      </c>
      <c r="AI14" s="502">
        <v>5000.0</v>
      </c>
      <c r="AJ14" s="61">
        <f>('26'!AI14/24)*0.454</f>
        <v>94.58333333</v>
      </c>
      <c r="AK14" s="62"/>
      <c r="AL14" s="63">
        <f>('26'!AK14/24)*0.454</f>
        <v>0</v>
      </c>
      <c r="AM14" s="62"/>
      <c r="AN14" s="63">
        <f>('26'!AM14/24)*0.454</f>
        <v>0</v>
      </c>
      <c r="AO14" s="62"/>
      <c r="AP14" s="63">
        <f>('26'!AO14/24)*0.454</f>
        <v>0</v>
      </c>
    </row>
    <row r="15" ht="18.75" customHeight="1">
      <c r="A15" s="69">
        <v>0.666666666666667</v>
      </c>
      <c r="B15" s="76">
        <v>147.0</v>
      </c>
      <c r="C15" s="76">
        <v>17.0</v>
      </c>
      <c r="D15" s="76">
        <v>15.0</v>
      </c>
      <c r="E15" s="76">
        <v>5.0</v>
      </c>
      <c r="F15" s="76">
        <v>38.0</v>
      </c>
      <c r="G15" s="76">
        <v>1.8</v>
      </c>
      <c r="H15" s="76">
        <v>1.4</v>
      </c>
      <c r="I15" s="76">
        <v>0.5</v>
      </c>
      <c r="J15" s="76">
        <v>0.6</v>
      </c>
      <c r="K15" s="76">
        <v>6.9</v>
      </c>
      <c r="L15" s="76">
        <v>6.3</v>
      </c>
      <c r="M15" s="76">
        <v>6.3</v>
      </c>
      <c r="N15" s="76">
        <v>6.0</v>
      </c>
      <c r="O15" s="76">
        <v>3.6</v>
      </c>
      <c r="P15" s="76"/>
      <c r="Q15" s="310"/>
      <c r="R15" s="77">
        <f>'26'!Z21</f>
        <v>1410</v>
      </c>
      <c r="S15" s="76">
        <f>'26'!AB21</f>
        <v>75.0816758</v>
      </c>
      <c r="T15" s="77">
        <f>'26'!Y21</f>
        <v>3469</v>
      </c>
      <c r="U15" s="73" t="str">
        <f>IF('26'!AA21=1,'26'!AR6,'26'!AR7)</f>
        <v>S.A.L</v>
      </c>
      <c r="V15" s="43"/>
      <c r="W15" s="27"/>
      <c r="X15" s="54">
        <v>0.416666666666667</v>
      </c>
      <c r="Y15" s="125">
        <v>3455.0</v>
      </c>
      <c r="Z15" s="60">
        <v>1410.0</v>
      </c>
      <c r="AA15" s="56">
        <v>1.0</v>
      </c>
      <c r="AB15" s="58">
        <f>IF('26'!AA15=1,(('26'!Z15*'26'!$AS$6*'26'!$AT$6)/('26'!Y15*0.0036)),IF('26'!AA15=2,(('26'!Z15*'26'!$AS$7*'26'!$AT$7)/('26'!Y15*0.0036))))</f>
        <v>75.38591413</v>
      </c>
      <c r="AC15" s="58"/>
      <c r="AD15" s="59">
        <f>(('26'!AC15*'26'!$Q$10*1000000))/('26'!Y15*3600)</f>
        <v>0</v>
      </c>
      <c r="AE15" s="60"/>
      <c r="AF15" s="61">
        <f>('26'!AE15/24)*0.454</f>
        <v>0</v>
      </c>
      <c r="AG15" s="60"/>
      <c r="AH15" s="61">
        <f>('26'!AG15/24)*0.454</f>
        <v>0</v>
      </c>
      <c r="AI15" s="502">
        <v>5000.0</v>
      </c>
      <c r="AJ15" s="61">
        <f>('26'!AI15/24)*0.454</f>
        <v>94.58333333</v>
      </c>
      <c r="AK15" s="62"/>
      <c r="AL15" s="63">
        <f>('26'!AK15/24)*0.454</f>
        <v>0</v>
      </c>
      <c r="AM15" s="62"/>
      <c r="AN15" s="63">
        <f>('26'!AM15/24)*0.454</f>
        <v>0</v>
      </c>
      <c r="AO15" s="62"/>
      <c r="AP15" s="63">
        <f>('26'!AO15/24)*0.454</f>
        <v>0</v>
      </c>
    </row>
    <row r="16" ht="18.75" customHeight="1">
      <c r="A16" s="69">
        <v>0.75</v>
      </c>
      <c r="B16" s="76">
        <v>151.0</v>
      </c>
      <c r="C16" s="76">
        <v>16.0</v>
      </c>
      <c r="D16" s="76">
        <v>14.0</v>
      </c>
      <c r="E16" s="76">
        <v>5.0</v>
      </c>
      <c r="F16" s="76">
        <v>40.0</v>
      </c>
      <c r="G16" s="76">
        <v>1.7</v>
      </c>
      <c r="H16" s="76">
        <v>1.4</v>
      </c>
      <c r="I16" s="76">
        <v>0.5</v>
      </c>
      <c r="J16" s="76">
        <v>0.6</v>
      </c>
      <c r="K16" s="76">
        <v>6.9</v>
      </c>
      <c r="L16" s="76">
        <v>6.3</v>
      </c>
      <c r="M16" s="76">
        <v>6.3</v>
      </c>
      <c r="N16" s="76">
        <v>6.0</v>
      </c>
      <c r="O16" s="76">
        <v>3.6</v>
      </c>
      <c r="P16" s="76"/>
      <c r="Q16" s="310"/>
      <c r="R16" s="77">
        <f>'26'!Z23</f>
        <v>1410</v>
      </c>
      <c r="S16" s="76">
        <f>'26'!AB23</f>
        <v>74.50181159</v>
      </c>
      <c r="T16" s="77">
        <f>'26'!Y23</f>
        <v>3496</v>
      </c>
      <c r="U16" s="73" t="str">
        <f>IF('26'!AA23=1,'26'!AR6,'26'!AR7)</f>
        <v>S.A.L</v>
      </c>
      <c r="V16" s="43"/>
      <c r="W16" s="27"/>
      <c r="X16" s="54">
        <v>0.458333333333333</v>
      </c>
      <c r="Y16" s="125">
        <v>3433.0</v>
      </c>
      <c r="Z16" s="60">
        <v>1410.0</v>
      </c>
      <c r="AA16" s="56">
        <v>1.0</v>
      </c>
      <c r="AB16" s="58">
        <f>IF('26'!AA16=1,(('26'!Z16*'26'!$AS$6*'26'!$AT$6)/('26'!Y16*0.0036)),IF('26'!AA16=2,(('26'!Z16*'26'!$AS$7*'26'!$AT$7)/('26'!Y16*0.0036))))</f>
        <v>75.86901641</v>
      </c>
      <c r="AC16" s="58"/>
      <c r="AD16" s="59">
        <f>(('26'!AC16*'26'!$Q$10*1000000))/('26'!Y16*3600)</f>
        <v>0</v>
      </c>
      <c r="AE16" s="60"/>
      <c r="AF16" s="61">
        <f>('26'!AE16/24)*0.454</f>
        <v>0</v>
      </c>
      <c r="AG16" s="60"/>
      <c r="AH16" s="61">
        <f>('26'!AG16/24)*0.454</f>
        <v>0</v>
      </c>
      <c r="AI16" s="502">
        <v>5000.0</v>
      </c>
      <c r="AJ16" s="61">
        <f>('26'!AI16/24)*0.454</f>
        <v>94.58333333</v>
      </c>
      <c r="AK16" s="62"/>
      <c r="AL16" s="63">
        <f>('26'!AK16/24)*0.454</f>
        <v>0</v>
      </c>
      <c r="AM16" s="62"/>
      <c r="AN16" s="63">
        <f>('26'!AM16/24)*0.454</f>
        <v>0</v>
      </c>
      <c r="AO16" s="62"/>
      <c r="AP16" s="63">
        <f>('26'!AO16/24)*0.454</f>
        <v>0</v>
      </c>
    </row>
    <row r="17" ht="18.75" customHeight="1">
      <c r="A17" s="69">
        <v>0.833333333333333</v>
      </c>
      <c r="B17" s="76">
        <v>148.0</v>
      </c>
      <c r="C17" s="76">
        <v>16.0</v>
      </c>
      <c r="D17" s="76">
        <v>14.0</v>
      </c>
      <c r="E17" s="76">
        <v>5.0</v>
      </c>
      <c r="F17" s="76">
        <v>38.0</v>
      </c>
      <c r="G17" s="76">
        <v>1.6</v>
      </c>
      <c r="H17" s="76">
        <v>1.2</v>
      </c>
      <c r="I17" s="76">
        <v>0.5</v>
      </c>
      <c r="J17" s="76">
        <v>0.5</v>
      </c>
      <c r="K17" s="76">
        <v>6.9</v>
      </c>
      <c r="L17" s="76">
        <v>6.3</v>
      </c>
      <c r="M17" s="76">
        <v>6.3</v>
      </c>
      <c r="N17" s="76">
        <v>6.0</v>
      </c>
      <c r="O17" s="76">
        <v>3.6</v>
      </c>
      <c r="P17" s="76"/>
      <c r="Q17" s="310"/>
      <c r="R17" s="77">
        <f>'26'!Z25</f>
        <v>1410</v>
      </c>
      <c r="S17" s="76">
        <f>'26'!AB25</f>
        <v>72.91666667</v>
      </c>
      <c r="T17" s="77">
        <f>'26'!Y25</f>
        <v>3572</v>
      </c>
      <c r="U17" s="73" t="str">
        <f>IF('26'!AA25=1,'26'!AR6,'26'!AR7)</f>
        <v>S.A.L</v>
      </c>
      <c r="V17" s="43"/>
      <c r="W17" s="27"/>
      <c r="X17" s="54">
        <v>0.5</v>
      </c>
      <c r="Y17" s="125">
        <v>3430.0</v>
      </c>
      <c r="Z17" s="60">
        <v>1410.0</v>
      </c>
      <c r="AA17" s="56">
        <v>1.0</v>
      </c>
      <c r="AB17" s="58">
        <f>IF('26'!AA17=1,(('26'!Z17*'26'!$AS$6*'26'!$AT$6)/('26'!Y17*0.0036)),IF('26'!AA17=2,(('26'!Z17*'26'!$AS$7*'26'!$AT$7)/('26'!Y17*0.0036))))</f>
        <v>75.93537415</v>
      </c>
      <c r="AC17" s="58"/>
      <c r="AD17" s="59">
        <f>(('26'!AC17*'26'!$Q$10*1000000))/('26'!Y17*3600)</f>
        <v>0</v>
      </c>
      <c r="AE17" s="60"/>
      <c r="AF17" s="61">
        <f>('26'!AE17/24)*0.454</f>
        <v>0</v>
      </c>
      <c r="AG17" s="60"/>
      <c r="AH17" s="61">
        <f>('26'!AG17/24)*0.454</f>
        <v>0</v>
      </c>
      <c r="AI17" s="502">
        <v>5000.0</v>
      </c>
      <c r="AJ17" s="61">
        <f>('26'!AI17/24)*0.454</f>
        <v>94.58333333</v>
      </c>
      <c r="AK17" s="62"/>
      <c r="AL17" s="63">
        <f>('26'!AK17/24)*0.454</f>
        <v>0</v>
      </c>
      <c r="AM17" s="62"/>
      <c r="AN17" s="63">
        <f>('26'!AM17/24)*0.454</f>
        <v>0</v>
      </c>
      <c r="AO17" s="62"/>
      <c r="AP17" s="63">
        <f>('26'!AO17/24)*0.454</f>
        <v>0</v>
      </c>
    </row>
    <row r="18" ht="19.5" customHeight="1">
      <c r="A18" s="69">
        <v>0.916666666666667</v>
      </c>
      <c r="B18" s="76">
        <v>153.0</v>
      </c>
      <c r="C18" s="76">
        <v>16.0</v>
      </c>
      <c r="D18" s="76">
        <v>14.0</v>
      </c>
      <c r="E18" s="76">
        <v>5.0</v>
      </c>
      <c r="F18" s="76">
        <v>39.0</v>
      </c>
      <c r="G18" s="76">
        <v>1.6</v>
      </c>
      <c r="H18" s="76">
        <v>1.2</v>
      </c>
      <c r="I18" s="76">
        <v>0.5</v>
      </c>
      <c r="J18" s="76">
        <v>0.5</v>
      </c>
      <c r="K18" s="76">
        <v>6.9</v>
      </c>
      <c r="L18" s="76">
        <v>6.3</v>
      </c>
      <c r="M18" s="76">
        <v>6.3</v>
      </c>
      <c r="N18" s="76">
        <v>6.0</v>
      </c>
      <c r="O18" s="76">
        <v>3.6</v>
      </c>
      <c r="P18" s="76"/>
      <c r="Q18" s="310"/>
      <c r="R18" s="77">
        <f>'26'!Z27</f>
        <v>1410</v>
      </c>
      <c r="S18" s="76">
        <f>'26'!AB27</f>
        <v>75.14666282</v>
      </c>
      <c r="T18" s="77">
        <f>'26'!Y27</f>
        <v>3466</v>
      </c>
      <c r="U18" s="73" t="str">
        <f>IF('26'!AA27=1,'26'!AR6,'26'!AR7)</f>
        <v>S.A.L</v>
      </c>
      <c r="V18" s="16"/>
      <c r="W18" s="18"/>
      <c r="X18" s="54">
        <v>0.541666666666667</v>
      </c>
      <c r="Y18" s="125">
        <v>3428.0</v>
      </c>
      <c r="Z18" s="60">
        <v>1410.0</v>
      </c>
      <c r="AA18" s="56">
        <v>1.0</v>
      </c>
      <c r="AB18" s="58">
        <f>IF('26'!AA18=1,(('26'!Z18*'26'!$AS$6*'26'!$AT$6)/('26'!Y18*0.0036)),IF('26'!AA18=2,(('26'!Z18*'26'!$AS$7*'26'!$AT$7)/('26'!Y18*0.0036))))</f>
        <v>75.97967717</v>
      </c>
      <c r="AC18" s="58"/>
      <c r="AD18" s="59">
        <f>(('26'!AC18*'26'!$Q$10*1000000))/('26'!Y18*3600)</f>
        <v>0</v>
      </c>
      <c r="AE18" s="60"/>
      <c r="AF18" s="61">
        <f>('26'!AE18/24)*0.454</f>
        <v>0</v>
      </c>
      <c r="AG18" s="60"/>
      <c r="AH18" s="61">
        <f>('26'!AG18/24)*0.454</f>
        <v>0</v>
      </c>
      <c r="AI18" s="502">
        <v>5000.0</v>
      </c>
      <c r="AJ18" s="61">
        <f>('26'!AI18/24)*0.454</f>
        <v>94.58333333</v>
      </c>
      <c r="AK18" s="62"/>
      <c r="AL18" s="63">
        <f>('26'!AK18/24)*0.454</f>
        <v>0</v>
      </c>
      <c r="AM18" s="62"/>
      <c r="AN18" s="63">
        <f>('26'!AM18/24)*0.454</f>
        <v>0</v>
      </c>
      <c r="AO18" s="62"/>
      <c r="AP18" s="63">
        <f>('26'!AO18/24)*0.454</f>
        <v>0</v>
      </c>
    </row>
    <row r="19" ht="18.75" customHeight="1">
      <c r="A19" s="51" t="s">
        <v>52</v>
      </c>
      <c r="B19" s="91">
        <f>AVERAGE('26'!B7:B18)</f>
        <v>152.1666667</v>
      </c>
      <c r="C19" s="92">
        <f>AVERAGE('26'!C7:C18)</f>
        <v>16.16666667</v>
      </c>
      <c r="D19" s="92">
        <f>AVERAGE('26'!D7:D18)</f>
        <v>14.66666667</v>
      </c>
      <c r="E19" s="92">
        <f>AVERAGE('26'!E7:E18)</f>
        <v>5.333333333</v>
      </c>
      <c r="F19" s="92">
        <f>AVERAGE('26'!F7:F18)</f>
        <v>39.83333333</v>
      </c>
      <c r="G19" s="92">
        <f>AVERAGE('26'!G7:G18)</f>
        <v>1.691666667</v>
      </c>
      <c r="H19" s="92">
        <f>AVERAGE('26'!H7:H18)</f>
        <v>1.291666667</v>
      </c>
      <c r="I19" s="92">
        <f>AVERAGE('26'!I8:I18)</f>
        <v>0.5272727273</v>
      </c>
      <c r="J19" s="92">
        <f>AVERAGE('26'!J8:J18)</f>
        <v>0.5818181818</v>
      </c>
      <c r="K19" s="92">
        <f>AVERAGE('26'!K7:K18)</f>
        <v>6.9</v>
      </c>
      <c r="L19" s="92">
        <f>AVERAGE('26'!L7:L18)</f>
        <v>6.3</v>
      </c>
      <c r="M19" s="92">
        <f>AVERAGE('26'!M7:M18)</f>
        <v>6.3</v>
      </c>
      <c r="N19" s="92">
        <f>AVERAGE('26'!N7:N18)</f>
        <v>6</v>
      </c>
      <c r="O19" s="92">
        <f>AVERAGE('26'!O7:O18)</f>
        <v>3.6</v>
      </c>
      <c r="P19" s="93" t="str">
        <f>AVERAGE('26'!P7:P18)</f>
        <v>#DIV/0!</v>
      </c>
      <c r="Q19" s="94" t="str">
        <f>AVERAGE('26'!Q7:Q18)</f>
        <v>#DIV/0!</v>
      </c>
      <c r="R19" s="94">
        <f>AVERAGE('26'!R7:R18)</f>
        <v>1410</v>
      </c>
      <c r="S19" s="94">
        <f>AVERAGE('26'!S7:S18)</f>
        <v>74.91938752</v>
      </c>
      <c r="T19" s="95"/>
      <c r="U19" s="96"/>
      <c r="V19" s="97"/>
      <c r="W19" s="97"/>
      <c r="X19" s="54">
        <v>0.583333333333333</v>
      </c>
      <c r="Y19" s="125">
        <v>3457.0</v>
      </c>
      <c r="Z19" s="60">
        <v>1410.0</v>
      </c>
      <c r="AA19" s="56">
        <v>1.0</v>
      </c>
      <c r="AB19" s="58">
        <f>IF('26'!AA19=1,(('26'!Z19*'26'!$AS$6*'26'!$AT$6)/('26'!Y19*0.0036)),IF('26'!AA19=2,(('26'!Z19*'26'!$AS$7*'26'!$AT$7)/('26'!Y19*0.0036))))</f>
        <v>75.34230065</v>
      </c>
      <c r="AC19" s="58"/>
      <c r="AD19" s="59">
        <f>(('26'!AC19*'26'!$Q$10*1000000))/('26'!Y19*3600)</f>
        <v>0</v>
      </c>
      <c r="AE19" s="60"/>
      <c r="AF19" s="61">
        <f>('26'!AE19/24)*0.454</f>
        <v>0</v>
      </c>
      <c r="AG19" s="60"/>
      <c r="AH19" s="61">
        <f>('26'!AG19/24)*0.454</f>
        <v>0</v>
      </c>
      <c r="AI19" s="502">
        <v>5000.0</v>
      </c>
      <c r="AJ19" s="61">
        <f>('26'!AI19/24)*0.454</f>
        <v>94.58333333</v>
      </c>
      <c r="AK19" s="62"/>
      <c r="AL19" s="63">
        <f>('26'!AK19/24)*0.454</f>
        <v>0</v>
      </c>
      <c r="AM19" s="62"/>
      <c r="AN19" s="63">
        <f>('26'!AM19/24)*0.454</f>
        <v>0</v>
      </c>
      <c r="AO19" s="62"/>
      <c r="AP19" s="63">
        <f>('26'!AO19/24)*0.454</f>
        <v>0</v>
      </c>
    </row>
    <row r="20" ht="18.75" customHeight="1">
      <c r="A20" s="51" t="s">
        <v>53</v>
      </c>
      <c r="B20" s="91">
        <f>MAX('26'!B7:B18)</f>
        <v>165</v>
      </c>
      <c r="C20" s="92">
        <f>MAX('26'!C7:C18)</f>
        <v>19</v>
      </c>
      <c r="D20" s="92">
        <f>MAX('26'!D7:D18)</f>
        <v>17</v>
      </c>
      <c r="E20" s="92">
        <f>MAX('26'!E7:E18)</f>
        <v>6</v>
      </c>
      <c r="F20" s="92">
        <f>MAX('26'!F7:F18)</f>
        <v>45</v>
      </c>
      <c r="G20" s="92">
        <f>MAX('26'!G7:G18)</f>
        <v>1.8</v>
      </c>
      <c r="H20" s="92">
        <f>MAX('26'!H7:H18)</f>
        <v>1.6</v>
      </c>
      <c r="I20" s="92">
        <f>MAX('26'!I8:I18)</f>
        <v>0.6</v>
      </c>
      <c r="J20" s="92">
        <f>MAX('26'!J8:J18)</f>
        <v>0.6</v>
      </c>
      <c r="K20" s="92">
        <f>MAX('26'!K7:K18)</f>
        <v>6.9</v>
      </c>
      <c r="L20" s="92">
        <f>MAX('26'!L7:L18)</f>
        <v>6.3</v>
      </c>
      <c r="M20" s="92">
        <f>MAX('26'!M7:M18)</f>
        <v>6.3</v>
      </c>
      <c r="N20" s="92">
        <f>MAX('26'!N7:N18)</f>
        <v>6</v>
      </c>
      <c r="O20" s="98">
        <f>MAX('26'!O7:O18)</f>
        <v>3.6</v>
      </c>
      <c r="P20" s="98">
        <f>MAX('26'!P7:P18)</f>
        <v>0</v>
      </c>
      <c r="Q20" s="98">
        <f>MAX('26'!Q7:Q18)</f>
        <v>0</v>
      </c>
      <c r="R20" s="98">
        <f>MAX('26'!R7:R18)</f>
        <v>1410</v>
      </c>
      <c r="S20" s="98">
        <f>MAX('26'!S7:S18)</f>
        <v>75.93537415</v>
      </c>
      <c r="T20" s="99"/>
      <c r="U20" s="21"/>
      <c r="X20" s="54">
        <v>0.625</v>
      </c>
      <c r="Y20" s="125">
        <v>3427.0</v>
      </c>
      <c r="Z20" s="60">
        <v>1410.0</v>
      </c>
      <c r="AA20" s="56">
        <v>1.0</v>
      </c>
      <c r="AB20" s="58">
        <f>IF('26'!AA20=1,(('26'!Z20*'26'!$AS$6*'26'!$AT$6)/('26'!Y20*0.0036)),IF('26'!AA20=2,(('26'!Z20*'26'!$AS$7*'26'!$AT$7)/('26'!Y20*0.0036))))</f>
        <v>76.00184807</v>
      </c>
      <c r="AC20" s="58"/>
      <c r="AD20" s="59">
        <f>(('26'!AC20*'26'!$Q$10*1000000))/('26'!Y20*3600)</f>
        <v>0</v>
      </c>
      <c r="AE20" s="60"/>
      <c r="AF20" s="61">
        <f>('26'!AE20/24)*0.454</f>
        <v>0</v>
      </c>
      <c r="AG20" s="60"/>
      <c r="AH20" s="61">
        <f>('26'!AG20/24)*0.454</f>
        <v>0</v>
      </c>
      <c r="AI20" s="502">
        <v>5000.0</v>
      </c>
      <c r="AJ20" s="61">
        <f>('26'!AI20/24)*0.454</f>
        <v>94.58333333</v>
      </c>
      <c r="AK20" s="62"/>
      <c r="AL20" s="63">
        <f>('26'!AK20/24)*0.454</f>
        <v>0</v>
      </c>
      <c r="AM20" s="62"/>
      <c r="AN20" s="63">
        <f>('26'!AM20/24)*0.454</f>
        <v>0</v>
      </c>
      <c r="AO20" s="62"/>
      <c r="AP20" s="63">
        <f>('26'!AO20/24)*0.454</f>
        <v>0</v>
      </c>
    </row>
    <row r="21" ht="19.5" customHeight="1">
      <c r="A21" s="51" t="s">
        <v>54</v>
      </c>
      <c r="B21" s="91">
        <f>MIN('26'!B7:B18)</f>
        <v>142</v>
      </c>
      <c r="C21" s="92">
        <f>MIN('26'!C7:C18)</f>
        <v>15</v>
      </c>
      <c r="D21" s="92">
        <f>MIN('26'!D7:D18)</f>
        <v>14</v>
      </c>
      <c r="E21" s="92">
        <f>MIN('26'!E7:E18)</f>
        <v>5</v>
      </c>
      <c r="F21" s="92">
        <f>MIN('26'!F7:F18)</f>
        <v>35</v>
      </c>
      <c r="G21" s="100">
        <f>MIN('26'!G7:G18)</f>
        <v>1.4</v>
      </c>
      <c r="H21" s="100">
        <f>MIN('26'!H7:H18)</f>
        <v>1.2</v>
      </c>
      <c r="I21" s="100">
        <f>MIN('26'!I8:I18)</f>
        <v>0.5</v>
      </c>
      <c r="J21" s="100">
        <f>MIN('26'!J8:J18)</f>
        <v>0.5</v>
      </c>
      <c r="K21" s="100">
        <f>MIN('26'!K7:K18)</f>
        <v>6.9</v>
      </c>
      <c r="L21" s="100">
        <f>MIN('26'!L7:L18)</f>
        <v>6.3</v>
      </c>
      <c r="M21" s="100">
        <f>MIN('26'!M7:M18)</f>
        <v>6.3</v>
      </c>
      <c r="N21" s="100">
        <f>MIN('26'!N7:N18)</f>
        <v>6</v>
      </c>
      <c r="O21" s="101">
        <f>MIN('26'!O7:O18)</f>
        <v>3.6</v>
      </c>
      <c r="P21" s="101">
        <f>MIN('26'!P7:P18)</f>
        <v>0</v>
      </c>
      <c r="Q21" s="101">
        <f>MIN('26'!Q7:Q18)</f>
        <v>0</v>
      </c>
      <c r="R21" s="101">
        <f>MIN('26'!R7:R18)</f>
        <v>1410</v>
      </c>
      <c r="S21" s="101">
        <f>MIN('26'!S7:S18)</f>
        <v>72.91666667</v>
      </c>
      <c r="T21" s="99"/>
      <c r="U21" s="21"/>
      <c r="X21" s="54">
        <v>0.666666666666667</v>
      </c>
      <c r="Y21" s="125">
        <v>3469.0</v>
      </c>
      <c r="Z21" s="60">
        <v>1410.0</v>
      </c>
      <c r="AA21" s="56">
        <v>1.0</v>
      </c>
      <c r="AB21" s="58">
        <f>IF('26'!AA21=1,(('26'!Z21*'26'!$AS$6*'26'!$AT$6)/('26'!Y21*0.0036)),IF('26'!AA21=2,(('26'!Z21*'26'!$AS$7*'26'!$AT$7)/('26'!Y21*0.0036))))</f>
        <v>75.0816758</v>
      </c>
      <c r="AC21" s="58"/>
      <c r="AD21" s="59">
        <f>(('26'!AC21*'26'!$Q$10*1000000))/('26'!Y21*3600)</f>
        <v>0</v>
      </c>
      <c r="AE21" s="60"/>
      <c r="AF21" s="61">
        <f>('26'!AE21/24)*0.454</f>
        <v>0</v>
      </c>
      <c r="AG21" s="60"/>
      <c r="AH21" s="61">
        <f>('26'!AG21/24)*0.454</f>
        <v>0</v>
      </c>
      <c r="AI21" s="502">
        <v>5000.0</v>
      </c>
      <c r="AJ21" s="61">
        <f>('26'!AI21/24)*0.454</f>
        <v>94.58333333</v>
      </c>
      <c r="AK21" s="62"/>
      <c r="AL21" s="63">
        <f>('26'!AK21/24)*0.454</f>
        <v>0</v>
      </c>
      <c r="AM21" s="62"/>
      <c r="AN21" s="63">
        <f>('26'!AM21/24)*0.454</f>
        <v>0</v>
      </c>
      <c r="AO21" s="62"/>
      <c r="AP21" s="63">
        <f>('26'!AO21/24)*0.454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3537.0</v>
      </c>
      <c r="Z22" s="60">
        <v>1410.0</v>
      </c>
      <c r="AA22" s="56">
        <v>1.0</v>
      </c>
      <c r="AB22" s="58">
        <f>IF('26'!AA22=1,(('26'!Z22*'26'!$AS$6*'26'!$AT$6)/('26'!Y22*0.0036)),IF('26'!AA22=2,(('26'!Z22*'26'!$AS$7*'26'!$AT$7)/('26'!Y22*0.0036))))</f>
        <v>73.63820564</v>
      </c>
      <c r="AC22" s="58"/>
      <c r="AD22" s="59">
        <f>(('26'!AC22*'26'!$Q$10*1000000))/('26'!Y22*3600)</f>
        <v>0</v>
      </c>
      <c r="AE22" s="60"/>
      <c r="AF22" s="61">
        <f>('26'!AE22/24)*0.454</f>
        <v>0</v>
      </c>
      <c r="AG22" s="60"/>
      <c r="AH22" s="61">
        <f>('26'!AG22/24)*0.454</f>
        <v>0</v>
      </c>
      <c r="AI22" s="502">
        <v>5000.0</v>
      </c>
      <c r="AJ22" s="61">
        <f>('26'!AI22/24)*0.454</f>
        <v>94.58333333</v>
      </c>
      <c r="AK22" s="62"/>
      <c r="AL22" s="63">
        <f>('26'!AK22/24)*0.454</f>
        <v>0</v>
      </c>
      <c r="AM22" s="62"/>
      <c r="AN22" s="63">
        <f>('26'!AM22/24)*0.454</f>
        <v>0</v>
      </c>
      <c r="AO22" s="62"/>
      <c r="AP22" s="63">
        <f>('26'!AO22/24)*0.454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3496.0</v>
      </c>
      <c r="Z23" s="60">
        <v>1410.0</v>
      </c>
      <c r="AA23" s="56">
        <v>1.0</v>
      </c>
      <c r="AB23" s="58">
        <f>IF('26'!AA23=1,(('26'!Z23*'26'!$AS$6*'26'!$AT$6)/('26'!Y23*0.0036)),IF('26'!AA23=2,(('26'!Z23*'26'!$AS$7*'26'!$AT$7)/('26'!Y23*0.0036))))</f>
        <v>74.50181159</v>
      </c>
      <c r="AC23" s="58"/>
      <c r="AD23" s="59">
        <f>(('26'!AC23*'26'!$Q$10*1000000))/('26'!Y23*3600)</f>
        <v>0</v>
      </c>
      <c r="AE23" s="60"/>
      <c r="AF23" s="61">
        <f>('26'!AE23/24)*0.454</f>
        <v>0</v>
      </c>
      <c r="AG23" s="60"/>
      <c r="AH23" s="61">
        <f>('26'!AG23/24)*0.454</f>
        <v>0</v>
      </c>
      <c r="AI23" s="502">
        <v>5000.0</v>
      </c>
      <c r="AJ23" s="61">
        <f>('26'!AI23/24)*0.454</f>
        <v>94.58333333</v>
      </c>
      <c r="AK23" s="62"/>
      <c r="AL23" s="63">
        <f>('26'!AK23/24)*0.454</f>
        <v>0</v>
      </c>
      <c r="AM23" s="62"/>
      <c r="AN23" s="63">
        <f>('26'!AM23/24)*0.454</f>
        <v>0</v>
      </c>
      <c r="AO23" s="62"/>
      <c r="AP23" s="63">
        <f>('26'!AO23/24)*0.454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3417.0</v>
      </c>
      <c r="Z24" s="60">
        <v>1410.0</v>
      </c>
      <c r="AA24" s="56">
        <v>1.0</v>
      </c>
      <c r="AB24" s="57">
        <f>IF('26'!AA24=1,(('26'!Z24*'26'!$AS$6*'26'!$AT$6)/('26'!Y24*0.0036)),IF('26'!AA24=2,(('26'!Z24*'26'!$AS$7*'26'!$AT$7)/('26'!Y24*0.0036))))</f>
        <v>76.2242708</v>
      </c>
      <c r="AC24" s="58"/>
      <c r="AD24" s="59">
        <f>(('26'!AC24*'26'!$Q$10*1000000))/('26'!Y24*3600)</f>
        <v>0</v>
      </c>
      <c r="AE24" s="60"/>
      <c r="AF24" s="311">
        <f>('26'!AE24/24)*0.454</f>
        <v>0</v>
      </c>
      <c r="AG24" s="125"/>
      <c r="AH24" s="311">
        <f>('26'!AG24/24)*0.454</f>
        <v>0</v>
      </c>
      <c r="AI24" s="502">
        <v>5000.0</v>
      </c>
      <c r="AJ24" s="311">
        <f>('26'!AI24/24)*0.454</f>
        <v>94.58333333</v>
      </c>
      <c r="AK24" s="62"/>
      <c r="AL24" s="110">
        <f>('26'!AK24/24)*0.454</f>
        <v>0</v>
      </c>
      <c r="AM24" s="312"/>
      <c r="AN24" s="110">
        <f>('26'!AM24/24)*0.454</f>
        <v>0</v>
      </c>
      <c r="AO24" s="62"/>
      <c r="AP24" s="110">
        <f>('26'!AO24/24)*0.454</f>
        <v>0</v>
      </c>
    </row>
    <row r="25" ht="19.5" customHeight="1">
      <c r="A25" s="111">
        <v>0.416666666666667</v>
      </c>
      <c r="B25" s="108">
        <v>0.57</v>
      </c>
      <c r="C25" s="108">
        <v>0.53</v>
      </c>
      <c r="D25" s="108">
        <v>0.61</v>
      </c>
      <c r="E25" s="313">
        <v>0.62</v>
      </c>
      <c r="F25" s="313">
        <v>0.54</v>
      </c>
      <c r="G25" s="313" t="s">
        <v>132</v>
      </c>
      <c r="H25" s="313">
        <v>0.55</v>
      </c>
      <c r="I25" s="313">
        <v>0.5</v>
      </c>
      <c r="J25" s="313" t="s">
        <v>132</v>
      </c>
      <c r="K25" s="313">
        <v>0.46</v>
      </c>
      <c r="L25" s="313">
        <v>0.5</v>
      </c>
      <c r="M25" s="313">
        <v>0.48</v>
      </c>
      <c r="N25" s="313">
        <v>0.44</v>
      </c>
      <c r="O25" s="313">
        <v>0.47</v>
      </c>
      <c r="P25" s="313">
        <v>0.5</v>
      </c>
      <c r="Q25" s="313" t="s">
        <v>132</v>
      </c>
      <c r="R25" s="112" t="str">
        <f t="shared" ref="R25:R26" si="1">#DIV/0!</f>
        <v>#DIV/0!</v>
      </c>
      <c r="S25" s="113"/>
      <c r="T25" s="348" t="s">
        <v>0</v>
      </c>
      <c r="U25" s="370">
        <f>ESCALA!$A$28</f>
        <v>43947</v>
      </c>
      <c r="X25" s="54">
        <v>0.833333333333333</v>
      </c>
      <c r="Y25" s="125">
        <v>3572.0</v>
      </c>
      <c r="Z25" s="60">
        <v>1410.0</v>
      </c>
      <c r="AA25" s="56">
        <v>1.0</v>
      </c>
      <c r="AB25" s="58">
        <f>IF('26'!AA25=1,(('26'!Z25*'26'!$AS$6*'26'!$AT$6)/('26'!Y25*0.0036)),IF('26'!AA25=2,(('26'!Z25*'26'!$AS$7*'26'!$AT$7)/('26'!Y25*0.0036))))</f>
        <v>72.91666667</v>
      </c>
      <c r="AC25" s="58"/>
      <c r="AD25" s="59">
        <f>(('26'!AC25*'26'!$Q$10*1000000))/('26'!Y25*3600)</f>
        <v>0</v>
      </c>
      <c r="AE25" s="60"/>
      <c r="AF25" s="61">
        <f>('26'!AE25/24)*0.454</f>
        <v>0</v>
      </c>
      <c r="AG25" s="60"/>
      <c r="AH25" s="61">
        <f>('26'!AG25/24)*0.454</f>
        <v>0</v>
      </c>
      <c r="AI25" s="502">
        <v>5000.0</v>
      </c>
      <c r="AJ25" s="61">
        <f>('26'!AI25/24)*0.454</f>
        <v>94.58333333</v>
      </c>
      <c r="AK25" s="62"/>
      <c r="AL25" s="63">
        <f>('26'!AK25/24)*0.454</f>
        <v>0</v>
      </c>
      <c r="AM25" s="62"/>
      <c r="AN25" s="63">
        <f>('26'!AM25/24)*0.454</f>
        <v>0</v>
      </c>
      <c r="AO25" s="62"/>
      <c r="AP25" s="63">
        <f>('26'!AO25/24)*0.454</f>
        <v>0</v>
      </c>
    </row>
    <row r="26" ht="19.5" customHeight="1">
      <c r="A26" s="111">
        <v>0.666666666666667</v>
      </c>
      <c r="B26" s="108"/>
      <c r="C26" s="108"/>
      <c r="D26" s="10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125">
        <v>3403.0</v>
      </c>
      <c r="Z26" s="60">
        <v>1410.0</v>
      </c>
      <c r="AA26" s="56">
        <v>1.0</v>
      </c>
      <c r="AB26" s="58">
        <f>IF('26'!AA26=1,(('26'!Z26*'26'!$AS$6*'26'!$AT$6)/('26'!Y26*0.0036)),IF('26'!AA26=2,(('26'!Z26*'26'!$AS$7*'26'!$AT$7)/('26'!Y26*0.0036))))</f>
        <v>76.53785875</v>
      </c>
      <c r="AC26" s="58"/>
      <c r="AD26" s="59">
        <f>(('26'!AC26*'26'!$Q$10*1000000))/('26'!Y26*3600)</f>
        <v>0</v>
      </c>
      <c r="AE26" s="60"/>
      <c r="AF26" s="61">
        <f>('26'!AE26/24)*0.454</f>
        <v>0</v>
      </c>
      <c r="AG26" s="60"/>
      <c r="AH26" s="61">
        <f>('26'!AG26/24)*0.454</f>
        <v>0</v>
      </c>
      <c r="AI26" s="502">
        <v>5000.0</v>
      </c>
      <c r="AJ26" s="61">
        <f>('26'!AI26/24)*0.454</f>
        <v>94.58333333</v>
      </c>
      <c r="AK26" s="62"/>
      <c r="AL26" s="63">
        <f>('26'!AK26/24)*0.454</f>
        <v>0</v>
      </c>
      <c r="AM26" s="62"/>
      <c r="AN26" s="63">
        <f>('26'!AM26/24)*0.454</f>
        <v>0</v>
      </c>
      <c r="AO26" s="62"/>
      <c r="AP26" s="63">
        <f>('26'!AO26/24)*0.454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3466.0</v>
      </c>
      <c r="Z27" s="60">
        <v>1410.0</v>
      </c>
      <c r="AA27" s="56">
        <v>1.0</v>
      </c>
      <c r="AB27" s="58">
        <f>IF('26'!AA27=1,(('26'!Z27*'26'!$AS$6*'26'!$AT$6)/('26'!Y27*0.0036)),IF('26'!AA27=2,(('26'!Z27*'26'!$AS$7*'26'!$AT$7)/('26'!Y27*0.0036))))</f>
        <v>75.14666282</v>
      </c>
      <c r="AC27" s="58"/>
      <c r="AD27" s="59">
        <f>(('26'!AC27*'26'!$Q$10*1000000))/('26'!Y27*3600)</f>
        <v>0</v>
      </c>
      <c r="AE27" s="60"/>
      <c r="AF27" s="61">
        <f>('26'!AE27/24)*0.454</f>
        <v>0</v>
      </c>
      <c r="AG27" s="60"/>
      <c r="AH27" s="61">
        <f>('26'!AG27/24)*0.454</f>
        <v>0</v>
      </c>
      <c r="AI27" s="502">
        <v>5000.0</v>
      </c>
      <c r="AJ27" s="61">
        <f>('26'!AI27/24)*0.454</f>
        <v>94.58333333</v>
      </c>
      <c r="AK27" s="62"/>
      <c r="AL27" s="63">
        <f>('26'!AK27/24)*0.454</f>
        <v>0</v>
      </c>
      <c r="AM27" s="62"/>
      <c r="AN27" s="63">
        <f>('26'!AM27/24)*0.454</f>
        <v>0</v>
      </c>
      <c r="AO27" s="62"/>
      <c r="AP27" s="63">
        <f>('26'!AO27/24)*0.454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3463.0</v>
      </c>
      <c r="Z28" s="60">
        <v>1410.0</v>
      </c>
      <c r="AA28" s="56">
        <v>1.0</v>
      </c>
      <c r="AB28" s="58">
        <f>IF('26'!AA28=1,(('26'!Z28*'26'!$AS$6*'26'!$AT$6)/('26'!Y28*0.0036)),IF('26'!AA28=2,(('26'!Z28*'26'!$AS$7*'26'!$AT$7)/('26'!Y28*0.0036))))</f>
        <v>75.21176244</v>
      </c>
      <c r="AC28" s="58"/>
      <c r="AD28" s="59">
        <f>(('26'!AC28*'26'!$Q$10*1000000))/('26'!Y28*3600)</f>
        <v>0</v>
      </c>
      <c r="AE28" s="60"/>
      <c r="AF28" s="61">
        <f>('26'!AE28/24)*0.454</f>
        <v>0</v>
      </c>
      <c r="AG28" s="60"/>
      <c r="AH28" s="61">
        <f>('26'!AG28/24)*0.454</f>
        <v>0</v>
      </c>
      <c r="AI28" s="502">
        <v>5000.0</v>
      </c>
      <c r="AJ28" s="61">
        <f>('26'!AI28/24)*0.454</f>
        <v>94.58333333</v>
      </c>
      <c r="AK28" s="62"/>
      <c r="AL28" s="63">
        <f>('26'!AK28/24)*0.454</f>
        <v>0</v>
      </c>
      <c r="AM28" s="62"/>
      <c r="AN28" s="63">
        <f>('26'!AM28/24)*0.454</f>
        <v>0</v>
      </c>
      <c r="AO28" s="62"/>
      <c r="AP28" s="63">
        <f>('26'!AO28/24)*0.454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3449.0</v>
      </c>
      <c r="Z29" s="60">
        <v>1410.0</v>
      </c>
      <c r="AA29" s="56">
        <v>1.0</v>
      </c>
      <c r="AB29" s="58">
        <f>IF('26'!AA29=1,(('26'!Z29*'26'!$AS$6*'26'!$AT$6)/('26'!Y29*0.0036)),IF('26'!AA29=2,(('26'!Z29*'26'!$AS$7*'26'!$AT$7)/('26'!Y29*0.0036))))</f>
        <v>75.51705808</v>
      </c>
      <c r="AC29" s="58"/>
      <c r="AD29" s="59">
        <f>(('26'!AC29*'26'!$Q$10*1000000))/('26'!Y29*3600)</f>
        <v>0</v>
      </c>
      <c r="AE29" s="60"/>
      <c r="AF29" s="61">
        <f>('26'!AE29/24)*0.454</f>
        <v>0</v>
      </c>
      <c r="AG29" s="60"/>
      <c r="AH29" s="61">
        <f>('26'!AG29/24)*0.454</f>
        <v>0</v>
      </c>
      <c r="AI29" s="502">
        <v>5000.0</v>
      </c>
      <c r="AJ29" s="61">
        <f>('26'!AI29/24)*0.454</f>
        <v>94.58333333</v>
      </c>
      <c r="AK29" s="62"/>
      <c r="AL29" s="63">
        <f>('26'!AK29/24)*0.454</f>
        <v>0</v>
      </c>
      <c r="AM29" s="62"/>
      <c r="AN29" s="63">
        <f>('26'!AM29/24)*0.454</f>
        <v>0</v>
      </c>
      <c r="AO29" s="62"/>
      <c r="AP29" s="63">
        <f>('26'!AO29/24)*0.454</f>
        <v>0</v>
      </c>
    </row>
    <row r="30" ht="18.75" customHeight="1">
      <c r="A30" s="43"/>
      <c r="U30" s="27"/>
      <c r="X30" s="130" t="s">
        <v>55</v>
      </c>
      <c r="Y30" s="131">
        <f>SUM('26'!Y6:Y29)*3.6</f>
        <v>299743.2</v>
      </c>
      <c r="Z30" s="132">
        <f>SUM('26'!Z6:Z29)</f>
        <v>33840</v>
      </c>
      <c r="AA30" s="133"/>
      <c r="AB30" s="132"/>
      <c r="AC30" s="133"/>
      <c r="AD30" s="132"/>
      <c r="AE30" s="60"/>
      <c r="AF30" s="61">
        <f>SUM('26'!AF6:AF29)</f>
        <v>0</v>
      </c>
      <c r="AG30" s="60"/>
      <c r="AH30" s="61">
        <f>SUM('26'!AH6:AH29)</f>
        <v>0</v>
      </c>
      <c r="AI30" s="60"/>
      <c r="AJ30" s="61">
        <f>SUM('26'!AJ6:AJ29)</f>
        <v>2270</v>
      </c>
      <c r="AK30" s="62"/>
      <c r="AL30" s="63">
        <f>SUM('26'!AL6:AL29)</f>
        <v>0</v>
      </c>
      <c r="AM30" s="62"/>
      <c r="AN30" s="63">
        <f>SUM('26'!AN6:AN29)</f>
        <v>0</v>
      </c>
      <c r="AO30" s="62"/>
      <c r="AP30" s="63">
        <f>SUM('26'!AP6:AP29)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SUMIF('26'!AA6:AA29,"=1",'26'!Z6:Z29)</f>
        <v>33840</v>
      </c>
      <c r="AA32" s="132">
        <f>'26'!Z32*'26'!AS6</f>
        <v>45007.2</v>
      </c>
      <c r="AB32" s="139">
        <f>SUMIF('26'!$AA$6:$AA$29,"=1",'26'!$AB$6:$AB$29)/COUNTIF('26'!$AA$6:$AA$29,"=1")</f>
        <v>75.08625057</v>
      </c>
      <c r="AC32" s="140">
        <f>SUMIF('26'!AA6:AA29,"=1",'26'!AC6:AC29)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SUMIF('26'!AA6:AA29,"=2",'26'!Z6:Z29)</f>
        <v>0</v>
      </c>
      <c r="AA33" s="132">
        <f>'26'!Z33*'26'!AS7</f>
        <v>0</v>
      </c>
      <c r="AB33" s="139" t="str">
        <f>SUMIF('26'!$AA$6:$AA$29,"=2",'26'!$AB$6:$AB$29)/COUNTIF('26'!$AA$6:$AA$29,"=2")</f>
        <v>#DIV/0!</v>
      </c>
      <c r="AC33" s="145">
        <f>SUMIF('26'!AA6:AA29,"=2",'26'!AC6:AC29)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AVERAGE('26'!Y6:Y29)</f>
        <v>3469.25</v>
      </c>
      <c r="Z34" s="56">
        <f>AVERAGE('26'!Z6:Z29)</f>
        <v>1410</v>
      </c>
      <c r="AA34" s="152"/>
      <c r="AB34" s="152"/>
      <c r="AC34" s="153" t="str">
        <f>SUM('26'!AC6:AC29)/COUNTIF('26'!AC6:AC29,"&lt;&gt;0")</f>
        <v>#DIV/0!</v>
      </c>
      <c r="AD34" s="154" t="str">
        <f>SUM('26'!AD6:AD29)/COUNTIF('26'!AD6:AD29,"&lt;&gt;0")</f>
        <v>#DIV/0!</v>
      </c>
      <c r="AE34" s="133"/>
      <c r="AF34" s="153">
        <f>AVERAGE('26'!AF6:AF29)</f>
        <v>0</v>
      </c>
      <c r="AG34" s="153"/>
      <c r="AH34" s="153">
        <f>AVERAGE('26'!AH6:AH29)</f>
        <v>0</v>
      </c>
      <c r="AI34" s="153"/>
      <c r="AJ34" s="153">
        <f>'26'!AJ30/24</f>
        <v>94.58333333</v>
      </c>
      <c r="AK34" s="153"/>
      <c r="AL34" s="153">
        <f>AVERAGE('26'!AL6:AL29)</f>
        <v>0</v>
      </c>
      <c r="AM34" s="153"/>
      <c r="AN34" s="153">
        <f>AVERAGE('26'!AN6:AN29)</f>
        <v>0</v>
      </c>
      <c r="AO34" s="153"/>
      <c r="AP34" s="153">
        <f>AVERAGE('26'!AP6:AP29)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456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56.2</v>
      </c>
      <c r="D37" s="76">
        <v>34.1</v>
      </c>
      <c r="E37" s="76">
        <v>24.1</v>
      </c>
      <c r="F37" s="76">
        <v>1.0</v>
      </c>
      <c r="G37" s="76">
        <v>0.1</v>
      </c>
      <c r="H37" s="76">
        <v>0.1</v>
      </c>
      <c r="I37" s="60">
        <v>0.15</v>
      </c>
      <c r="J37" s="60">
        <v>0.1</v>
      </c>
      <c r="K37" s="60">
        <v>0.03</v>
      </c>
      <c r="L37" s="52"/>
      <c r="M37" s="106"/>
      <c r="N37" s="157"/>
      <c r="O37" s="51"/>
      <c r="P37" s="51"/>
      <c r="Q37" s="51"/>
      <c r="R37" s="51"/>
      <c r="S37" s="51"/>
      <c r="T37" s="51"/>
      <c r="U37" s="365" t="str">
        <f>'26'!V12</f>
        <v/>
      </c>
      <c r="X37" s="277" t="s">
        <v>75</v>
      </c>
      <c r="Y37" s="128"/>
      <c r="Z37" s="170">
        <f>COUNTA('26'!Z6:Z29)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SUM('26'!AF30+'26'!AH30)</f>
        <v>0</v>
      </c>
      <c r="AL38" s="178" t="s">
        <v>78</v>
      </c>
      <c r="AM38" s="179">
        <f>SUM('26'!AL30+'26'!AN30)</f>
        <v>0</v>
      </c>
      <c r="AO38" s="178" t="s">
        <v>78</v>
      </c>
      <c r="AP38" s="180">
        <f>'26'!AJ30</f>
        <v>2270</v>
      </c>
      <c r="AQ38" s="178" t="s">
        <v>78</v>
      </c>
      <c r="AR38" s="179">
        <f>'26'!AP30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/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('26'!AK38/'26'!Y30)*1000</f>
        <v>0</v>
      </c>
      <c r="AL39" s="327" t="s">
        <v>86</v>
      </c>
      <c r="AM39" s="328">
        <f>('26'!AM38/'26'!Y30)*1000</f>
        <v>0</v>
      </c>
      <c r="AO39" s="325" t="s">
        <v>86</v>
      </c>
      <c r="AP39" s="326">
        <f>('26'!AP38/'26'!Y30)*1000</f>
        <v>7.573149282</v>
      </c>
      <c r="AQ39" s="327" t="s">
        <v>86</v>
      </c>
      <c r="AR39" s="328">
        <f>('26'!AR38/'26'!Y30)*1000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SUM('26'!AK38,'26'!AM38)</f>
        <v>0</v>
      </c>
      <c r="AM40" s="128"/>
      <c r="AO40" s="210" t="s">
        <v>90</v>
      </c>
      <c r="AP40" s="128"/>
      <c r="AQ40" s="211">
        <f>SUM('26'!AP38,'26'!AR38)</f>
        <v>2270</v>
      </c>
      <c r="AR40" s="128"/>
    </row>
    <row r="41" ht="16.5" customHeight="1">
      <c r="A41" s="212">
        <f>COUNTA('26'!E7:E18)</f>
        <v>12</v>
      </c>
      <c r="B41" s="213">
        <f>COUNTA('26'!I7:I18)</f>
        <v>12</v>
      </c>
      <c r="C41" s="214">
        <f>COUNTA('26'!J7:J18)</f>
        <v>12</v>
      </c>
      <c r="D41" s="80"/>
      <c r="E41" s="214">
        <f>COUNTIF('26'!E7:E18,"&gt;15")</f>
        <v>0</v>
      </c>
      <c r="F41" s="80"/>
      <c r="G41" s="214">
        <f>COUNTIF('26'!J8:J18,"&gt;1")</f>
        <v>0</v>
      </c>
      <c r="H41" s="80"/>
      <c r="I41" s="215"/>
      <c r="J41" s="214">
        <f>'26'!A41-'26'!E41</f>
        <v>12</v>
      </c>
      <c r="K41" s="80"/>
      <c r="L41" s="214">
        <f>'26'!C41-'26'!G41</f>
        <v>12</v>
      </c>
      <c r="M41" s="80"/>
      <c r="N41" s="215"/>
      <c r="O41" s="216">
        <f>COUNTIF('26'!J7:J18,"&lt;=0,5")</f>
        <v>2</v>
      </c>
      <c r="P41" s="217"/>
      <c r="Q41" s="218"/>
      <c r="R41" s="219"/>
      <c r="S41" s="220">
        <f>COUNTIF('26'!J7:J18,"&lt;=1,0")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SUM(('26'!AK38+'26'!AM38)/'26'!Y30)*1000</f>
        <v>0</v>
      </c>
      <c r="AM41" s="128"/>
      <c r="AO41" s="210" t="s">
        <v>91</v>
      </c>
      <c r="AP41" s="128"/>
      <c r="AQ41" s="223">
        <f>SUM(('26'!AP38+'26'!AR38)/'26'!Y30)*1000</f>
        <v>7.573149282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SUM('26'!Y45,'26'!AA45,'26'!AC45,'26'!AE45)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COUNTIF('26'!I7:I18,"&lt;=5,0")</f>
        <v>12</v>
      </c>
      <c r="I45" s="127"/>
      <c r="J45" s="128"/>
      <c r="K45" s="215"/>
      <c r="L45" s="208">
        <f>COUNTA('26'!L37)</f>
        <v>0</v>
      </c>
      <c r="M45" s="128"/>
      <c r="O45" s="248"/>
      <c r="P45" s="249"/>
      <c r="Q45" s="250">
        <f>'26'!S41-'26'!O41</f>
        <v>10</v>
      </c>
      <c r="R45" s="251"/>
      <c r="S45" s="252"/>
      <c r="T45" s="253"/>
      <c r="X45" s="133" t="s">
        <v>104</v>
      </c>
      <c r="Y45" s="254">
        <f>'26'!Y44*275.3</f>
        <v>0</v>
      </c>
      <c r="Z45" s="133" t="s">
        <v>104</v>
      </c>
      <c r="AA45" s="254">
        <f>262.4*'26'!AA44</f>
        <v>0</v>
      </c>
      <c r="AB45" s="133" t="s">
        <v>104</v>
      </c>
      <c r="AC45" s="254">
        <f>'26'!AC44*277.7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422"/>
      <c r="AP45" s="89"/>
      <c r="AQ45" s="237"/>
      <c r="AR45" s="238"/>
    </row>
    <row r="46" ht="15.75" customHeight="1">
      <c r="F46" s="257"/>
      <c r="X46" s="196" t="s">
        <v>105</v>
      </c>
      <c r="Y46" s="258">
        <f>'26'!AS6</f>
        <v>1.33</v>
      </c>
      <c r="Z46" s="196" t="s">
        <v>105</v>
      </c>
      <c r="AA46" s="258">
        <f>'26'!Y46</f>
        <v>1.33</v>
      </c>
      <c r="AB46" s="196" t="s">
        <v>105</v>
      </c>
      <c r="AC46" s="258">
        <f>'26'!Y46</f>
        <v>1.33</v>
      </c>
      <c r="AD46" s="196" t="s">
        <v>105</v>
      </c>
      <c r="AE46" s="259">
        <f>'26'!Y46</f>
        <v>1.33</v>
      </c>
      <c r="AF46" s="260" t="s">
        <v>106</v>
      </c>
      <c r="AG46" s="261">
        <f>SUM('26'!Y47,'26'!AA47,'26'!AC47,'26'!AE47)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P46" s="27"/>
      <c r="AQ46" s="244" t="s">
        <v>102</v>
      </c>
      <c r="AR46" s="245">
        <f>SUM('10'!AJ47,'10'!AL47,'10'!AN47,'10'!AP47)</f>
        <v>0</v>
      </c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'26'!Y45*'26'!Y46</f>
        <v>0</v>
      </c>
      <c r="Z47" s="133" t="s">
        <v>108</v>
      </c>
      <c r="AA47" s="254">
        <f>'26'!AA45*'26'!AA46</f>
        <v>0</v>
      </c>
      <c r="AB47" s="133" t="s">
        <v>108</v>
      </c>
      <c r="AC47" s="254">
        <f>'26'!AC45*'26'!AC46</f>
        <v>0</v>
      </c>
      <c r="AD47" s="133" t="s">
        <v>108</v>
      </c>
      <c r="AE47" s="254">
        <f>'26'!AE45*'26'!AE46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P47" s="27"/>
      <c r="AQ47" s="46"/>
      <c r="AR47" s="46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P48" s="27"/>
      <c r="AQ48" s="260" t="s">
        <v>106</v>
      </c>
      <c r="AR48" s="261">
        <f>SUM('10'!AJ49,'10'!AL49,'10'!AN49,'10'!AP49)</f>
        <v>0</v>
      </c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8"/>
      <c r="AQ49" s="46"/>
      <c r="AR49" s="46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COUNTA('26'!O7:O18)</f>
        <v>12</v>
      </c>
      <c r="P51" s="128"/>
      <c r="R51" s="247">
        <f>COUNTIF('26'!O7:O18,"&gt;=0,5")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SUM('26'!Y53,'26'!AA53,'26'!AC53,'26'!AE53)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422"/>
      <c r="AP52" s="89"/>
      <c r="AQ52" s="270"/>
      <c r="AR52" s="271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'26'!Y52*275.3</f>
        <v>0</v>
      </c>
      <c r="Z53" s="133" t="s">
        <v>104</v>
      </c>
      <c r="AA53" s="254">
        <f>262.4*'26'!AA52</f>
        <v>0</v>
      </c>
      <c r="AB53" s="133" t="s">
        <v>104</v>
      </c>
      <c r="AC53" s="276">
        <f>'26'!AC52*277.7</f>
        <v>0</v>
      </c>
      <c r="AD53" s="133" t="s">
        <v>104</v>
      </c>
      <c r="AE53" s="352"/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P53" s="27"/>
      <c r="AQ53" s="244" t="s">
        <v>102</v>
      </c>
      <c r="AR53" s="245">
        <f>'10'!AJ54+'10'!AL54+'10'!AN54+'10'!AP54</f>
        <v>0</v>
      </c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'26'!AS7</f>
        <v>1.377</v>
      </c>
      <c r="Z54" s="196" t="s">
        <v>105</v>
      </c>
      <c r="AA54" s="258">
        <f>'26'!Y54</f>
        <v>1.377</v>
      </c>
      <c r="AB54" s="196" t="s">
        <v>105</v>
      </c>
      <c r="AC54" s="258">
        <f>'26'!Y54</f>
        <v>1.377</v>
      </c>
      <c r="AD54" s="196" t="s">
        <v>105</v>
      </c>
      <c r="AE54" s="259">
        <f>'26'!Y54</f>
        <v>1.377</v>
      </c>
      <c r="AF54" s="260" t="s">
        <v>106</v>
      </c>
      <c r="AG54" s="261">
        <f>SUM('26'!Y55,'26'!AA55,'26'!AC55,'26'!AE55)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262.4*AL53</f>
        <v>0</v>
      </c>
      <c r="AM54" s="133" t="s">
        <v>104</v>
      </c>
      <c r="AN54" s="276">
        <f>AN53*277.7</f>
        <v>0</v>
      </c>
      <c r="AO54" s="43"/>
      <c r="AP54" s="27"/>
      <c r="AQ54" s="46"/>
      <c r="AR54" s="46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'26'!Y53*'26'!Y54</f>
        <v>0</v>
      </c>
      <c r="Z55" s="133" t="s">
        <v>108</v>
      </c>
      <c r="AA55" s="254">
        <f>'26'!AA53*'26'!AA54</f>
        <v>0</v>
      </c>
      <c r="AB55" s="133" t="s">
        <v>108</v>
      </c>
      <c r="AC55" s="254">
        <f>'26'!AC53*'26'!AC54</f>
        <v>0</v>
      </c>
      <c r="AD55" s="133" t="s">
        <v>108</v>
      </c>
      <c r="AE55" s="254">
        <f>'26'!AE53*'26'!AE54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>
        <f>AJ55</f>
        <v>1.377</v>
      </c>
      <c r="AM55" s="196" t="s">
        <v>105</v>
      </c>
      <c r="AN55" s="258">
        <f>AJ55</f>
        <v>1.377</v>
      </c>
      <c r="AO55" s="43"/>
      <c r="AP55" s="27"/>
      <c r="AQ55" s="260" t="s">
        <v>106</v>
      </c>
      <c r="AR55" s="261">
        <f>SUM('10'!AJ56,'10'!AL56,'10'!AN56,'10'!AP56)</f>
        <v>0</v>
      </c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AL54*AL55</f>
        <v>0</v>
      </c>
      <c r="AM56" s="133" t="s">
        <v>108</v>
      </c>
      <c r="AN56" s="254">
        <f>AN54*AN55</f>
        <v>0</v>
      </c>
      <c r="AO56" s="16"/>
      <c r="AP56" s="18"/>
      <c r="AQ56" s="46"/>
      <c r="AR56" s="46"/>
    </row>
    <row r="57" ht="15.75" customHeight="1">
      <c r="O57" s="169">
        <f>COUNTA('26'!N7:N18)</f>
        <v>12</v>
      </c>
      <c r="P57" s="128"/>
      <c r="R57" s="277">
        <f>COUNTIF('26'!N7:N18,"&gt;=6")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45007.2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>
        <v>0.0</v>
      </c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-45007.2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'25'!$Y$68</f>
        <v>-13761.875</v>
      </c>
      <c r="Z65" s="43"/>
      <c r="AA65" s="27"/>
      <c r="AB65" s="299" t="s">
        <v>126</v>
      </c>
      <c r="AC65" s="330">
        <f>'25'!$AC$68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SUM('26'!AK38,'26'!AP38)</f>
        <v>2270</v>
      </c>
      <c r="Z67" s="43"/>
      <c r="AA67" s="27"/>
      <c r="AB67" s="296" t="s">
        <v>124</v>
      </c>
      <c r="AC67" s="254">
        <f>SUM('26'!AM38,'26'!AR38)</f>
        <v>0</v>
      </c>
    </row>
    <row r="68" ht="15.75" customHeight="1">
      <c r="X68" s="294" t="s">
        <v>128</v>
      </c>
      <c r="Y68" s="301">
        <f>SUM('26'!Y63,'26'!Y65)-'26'!Y67</f>
        <v>-16031.875</v>
      </c>
      <c r="Z68" s="16"/>
      <c r="AA68" s="18"/>
      <c r="AB68" s="296" t="s">
        <v>128</v>
      </c>
      <c r="AC68" s="302">
        <f>SUM('26'!AC63,'26'!AC65)-'26'!AC67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8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AO40:AP40"/>
    <mergeCell ref="AO41:AP41"/>
    <mergeCell ref="AI44:AR44"/>
    <mergeCell ref="X41:AG41"/>
    <mergeCell ref="X42:AG42"/>
    <mergeCell ref="E40:F40"/>
    <mergeCell ref="G40:H40"/>
    <mergeCell ref="X40:AG40"/>
    <mergeCell ref="AL40:AM40"/>
    <mergeCell ref="AQ40:AR40"/>
    <mergeCell ref="AL41:AM41"/>
    <mergeCell ref="AQ41:AR41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J40:K40"/>
    <mergeCell ref="L40:M40"/>
    <mergeCell ref="O39:Q40"/>
    <mergeCell ref="O41:Q41"/>
    <mergeCell ref="O42:T42"/>
    <mergeCell ref="Q43:S44"/>
    <mergeCell ref="X43:Y43"/>
    <mergeCell ref="Z43:AA43"/>
    <mergeCell ref="AB43:AC43"/>
    <mergeCell ref="AQ53:AQ54"/>
    <mergeCell ref="AR53:AR54"/>
    <mergeCell ref="AQ55:AQ56"/>
    <mergeCell ref="AR55:AR56"/>
    <mergeCell ref="AF54:AF55"/>
    <mergeCell ref="AG54:AG55"/>
    <mergeCell ref="O55:P56"/>
    <mergeCell ref="R55:T56"/>
    <mergeCell ref="O57:P57"/>
    <mergeCell ref="R57:T57"/>
    <mergeCell ref="X58:AC58"/>
    <mergeCell ref="AD52:AE52"/>
    <mergeCell ref="AF52:AF53"/>
    <mergeCell ref="AG52:AG53"/>
    <mergeCell ref="AI52:AJ52"/>
    <mergeCell ref="AK52:AL52"/>
    <mergeCell ref="AM52:AN52"/>
    <mergeCell ref="AO52:AP56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59:AR59"/>
    <mergeCell ref="AI60:AM60"/>
    <mergeCell ref="AN60:AR60"/>
    <mergeCell ref="AI61:AK61"/>
    <mergeCell ref="AL61:AM61"/>
    <mergeCell ref="AN61:AP61"/>
    <mergeCell ref="AQ61:AR61"/>
    <mergeCell ref="X62:Y62"/>
    <mergeCell ref="X66:Y66"/>
    <mergeCell ref="X59:AC59"/>
    <mergeCell ref="X60:Y60"/>
    <mergeCell ref="Z60:AA60"/>
    <mergeCell ref="AB60:AC60"/>
    <mergeCell ref="X61:AC61"/>
    <mergeCell ref="Z62:AA68"/>
    <mergeCell ref="AB62:AC62"/>
    <mergeCell ref="AB66:AC66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O45:AP49"/>
    <mergeCell ref="AQ46:AQ47"/>
    <mergeCell ref="AR46:AR47"/>
    <mergeCell ref="AQ48:AQ49"/>
    <mergeCell ref="AR48:AR49"/>
    <mergeCell ref="AI51:AR51"/>
    <mergeCell ref="AD43:AE43"/>
    <mergeCell ref="AD44:AE44"/>
    <mergeCell ref="AG44:AG45"/>
    <mergeCell ref="AI45:AJ45"/>
    <mergeCell ref="AK45:AL45"/>
    <mergeCell ref="AM45:AN45"/>
    <mergeCell ref="AG46:AG47"/>
    <mergeCell ref="Q45:S45"/>
    <mergeCell ref="O47:T48"/>
    <mergeCell ref="O49:P50"/>
    <mergeCell ref="R49:T50"/>
    <mergeCell ref="O51:P51"/>
    <mergeCell ref="R51:T51"/>
    <mergeCell ref="O53:T54"/>
    <mergeCell ref="AF44:AF45"/>
    <mergeCell ref="AF46:AF47"/>
    <mergeCell ref="X50:AG50"/>
    <mergeCell ref="X51:Y51"/>
    <mergeCell ref="Z51:AA51"/>
    <mergeCell ref="AB51:AC51"/>
    <mergeCell ref="AD51:AE51"/>
  </mergeCells>
  <conditionalFormatting sqref="O19:O20">
    <cfRule type="cellIs" dxfId="0" priority="1" operator="greaterThan">
      <formula>l</formula>
    </cfRule>
  </conditionalFormatting>
  <conditionalFormatting sqref="O21">
    <cfRule type="cellIs" dxfId="0" priority="2" operator="lessThan">
      <formula>2.5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8.57"/>
    <col customWidth="1" min="19" max="19" width="8.14"/>
    <col customWidth="1" min="20" max="21" width="8.71"/>
    <col customWidth="1" min="22" max="24" width="8.57"/>
    <col customWidth="1" min="25" max="26" width="8.71"/>
    <col customWidth="1" min="27" max="34" width="8.57"/>
    <col customWidth="1" min="35" max="35" width="8.71"/>
    <col customWidth="1" min="36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47" t="s">
        <v>13</v>
      </c>
      <c r="U4" s="442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152</v>
      </c>
      <c r="AF4" s="32" t="s">
        <v>153</v>
      </c>
      <c r="AG4" s="32" t="s">
        <v>154</v>
      </c>
      <c r="AH4" s="32" t="s">
        <v>155</v>
      </c>
      <c r="AI4" s="32" t="s">
        <v>156</v>
      </c>
      <c r="AJ4" s="32" t="s">
        <v>157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3460.0</v>
      </c>
      <c r="Z6" s="125">
        <v>1410.0</v>
      </c>
      <c r="AA6" s="56">
        <v>1.0</v>
      </c>
      <c r="AB6" s="58">
        <f>IF('27'!AA6=1,(('27'!Z6*'27'!$AS$6*'27'!$AT$6)/('27'!Y6*0.0036)),IF('27'!AA6=2,(('27'!Z6*'27'!$AS$7*'27'!$AT$7)/('27'!Y6*0.0036))))</f>
        <v>75.27697495</v>
      </c>
      <c r="AC6" s="58"/>
      <c r="AD6" s="59">
        <f>(('27'!AC6*'27'!$Q$10*1000000))/('27'!Y6*3600)</f>
        <v>0</v>
      </c>
      <c r="AE6" s="60"/>
      <c r="AF6" s="61">
        <f>('27'!AE6/24)*0.454</f>
        <v>0</v>
      </c>
      <c r="AG6" s="60"/>
      <c r="AH6" s="61">
        <f>('27'!AG6/24)*0.454</f>
        <v>0</v>
      </c>
      <c r="AI6" s="60">
        <v>5000.0</v>
      </c>
      <c r="AJ6" s="61">
        <f>('27'!AI6/24)*0.454</f>
        <v>94.58333333</v>
      </c>
      <c r="AK6" s="62"/>
      <c r="AL6" s="63">
        <f>('27'!AK6/24)*0.454</f>
        <v>0</v>
      </c>
      <c r="AM6" s="62"/>
      <c r="AN6" s="63">
        <f>('27'!AM6/24)*0.454</f>
        <v>0</v>
      </c>
      <c r="AO6" s="62"/>
      <c r="AP6" s="63">
        <f>('27'!AO6/24)*0.454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147.0</v>
      </c>
      <c r="C7" s="76">
        <v>19.0</v>
      </c>
      <c r="D7" s="76">
        <v>17.0</v>
      </c>
      <c r="E7" s="76">
        <v>5.0</v>
      </c>
      <c r="F7" s="76">
        <v>37.0</v>
      </c>
      <c r="G7" s="76">
        <v>1.6</v>
      </c>
      <c r="H7" s="76">
        <v>1.2</v>
      </c>
      <c r="I7" s="76">
        <v>0.6</v>
      </c>
      <c r="J7" s="76">
        <v>0.6</v>
      </c>
      <c r="K7" s="76">
        <v>6.9</v>
      </c>
      <c r="L7" s="76">
        <v>6.3</v>
      </c>
      <c r="M7" s="76">
        <v>6.3</v>
      </c>
      <c r="N7" s="76">
        <v>6.0</v>
      </c>
      <c r="O7" s="76">
        <v>3.3</v>
      </c>
      <c r="P7" s="76"/>
      <c r="Q7" s="310"/>
      <c r="R7" s="77">
        <f>'26'!$Z$29</f>
        <v>1410</v>
      </c>
      <c r="S7" s="309">
        <f>'26'!$AB$29</f>
        <v>75.51705808</v>
      </c>
      <c r="T7" s="77">
        <f>'26'!$Y$29</f>
        <v>3449</v>
      </c>
      <c r="U7" s="73" t="str">
        <f>IF('27'!AA6=1,'27'!AR6,'27'!AR7)</f>
        <v>S.A.L</v>
      </c>
      <c r="V7" s="74" t="str">
        <f>ESCALA!$C$28</f>
        <v/>
      </c>
      <c r="W7" s="12"/>
      <c r="X7" s="54">
        <v>0.0833333333333333</v>
      </c>
      <c r="Y7" s="125">
        <v>3459.0</v>
      </c>
      <c r="Z7" s="125">
        <v>1410.0</v>
      </c>
      <c r="AA7" s="56">
        <v>1.0</v>
      </c>
      <c r="AB7" s="58">
        <f>IF('27'!AA7=1,(('27'!Z7*'27'!$AS$6*'27'!$AT$6)/('27'!Y7*0.0036)),IF('27'!AA7=2,(('27'!Z7*'27'!$AS$7*'27'!$AT$7)/('27'!Y7*0.0036))))</f>
        <v>75.29873759</v>
      </c>
      <c r="AC7" s="58"/>
      <c r="AD7" s="59">
        <f>(('27'!AC7*'27'!$Q$10*1000000))/('27'!Y7*3600)</f>
        <v>0</v>
      </c>
      <c r="AE7" s="60"/>
      <c r="AF7" s="61">
        <f>('27'!AE7/24)*0.454</f>
        <v>0</v>
      </c>
      <c r="AG7" s="60"/>
      <c r="AH7" s="61">
        <f>('27'!AG7/24)*0.454</f>
        <v>0</v>
      </c>
      <c r="AI7" s="60">
        <v>5000.0</v>
      </c>
      <c r="AJ7" s="61">
        <f>('27'!AI7/24)*0.454</f>
        <v>94.58333333</v>
      </c>
      <c r="AK7" s="62"/>
      <c r="AL7" s="63">
        <f>('27'!AK7/24)*0.454</f>
        <v>0</v>
      </c>
      <c r="AM7" s="62"/>
      <c r="AN7" s="63">
        <f>('27'!AM7/24)*0.454</f>
        <v>0</v>
      </c>
      <c r="AO7" s="62"/>
      <c r="AP7" s="63">
        <f>('27'!AO7/24)*0.454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150.0</v>
      </c>
      <c r="C8" s="76">
        <v>19.0</v>
      </c>
      <c r="D8" s="76">
        <v>17.0</v>
      </c>
      <c r="E8" s="76">
        <v>5.0</v>
      </c>
      <c r="F8" s="76">
        <v>34.0</v>
      </c>
      <c r="G8" s="76">
        <v>1.7</v>
      </c>
      <c r="H8" s="76">
        <v>1.4</v>
      </c>
      <c r="I8" s="76">
        <v>0.6</v>
      </c>
      <c r="J8" s="76">
        <v>0.6</v>
      </c>
      <c r="K8" s="76">
        <v>6.9</v>
      </c>
      <c r="L8" s="76">
        <v>6.3</v>
      </c>
      <c r="M8" s="76">
        <v>6.3</v>
      </c>
      <c r="N8" s="76">
        <v>6.0</v>
      </c>
      <c r="O8" s="76">
        <v>3.3</v>
      </c>
      <c r="P8" s="76"/>
      <c r="Q8" s="310"/>
      <c r="R8" s="75">
        <f>'27'!Z7</f>
        <v>1410</v>
      </c>
      <c r="S8" s="76">
        <f>'27'!AB7</f>
        <v>75.29873759</v>
      </c>
      <c r="T8" s="77">
        <f>'27'!Y7</f>
        <v>3459</v>
      </c>
      <c r="U8" s="73" t="str">
        <f>IF('27'!AA7=1,'27'!AR6,'27'!AR7)</f>
        <v>S.A.L</v>
      </c>
      <c r="V8" s="43"/>
      <c r="W8" s="27"/>
      <c r="X8" s="54">
        <v>0.125</v>
      </c>
      <c r="Y8" s="125">
        <v>3591.0</v>
      </c>
      <c r="Z8" s="125">
        <v>1410.0</v>
      </c>
      <c r="AA8" s="56">
        <v>1.0</v>
      </c>
      <c r="AB8" s="58">
        <f>IF('27'!AA8=1,(('27'!Z8*'27'!$AS$6*'27'!$AT$6)/('27'!Y8*0.0036)),IF('27'!AA8=2,(('27'!Z8*'27'!$AS$7*'27'!$AT$7)/('27'!Y8*0.0036))))</f>
        <v>72.5308642</v>
      </c>
      <c r="AC8" s="58"/>
      <c r="AD8" s="59">
        <f>(('27'!AC8*'27'!$Q$10*1000000))/('27'!Y8*3600)</f>
        <v>0</v>
      </c>
      <c r="AE8" s="60"/>
      <c r="AF8" s="61">
        <f>('27'!AE8/24)*0.454</f>
        <v>0</v>
      </c>
      <c r="AG8" s="60"/>
      <c r="AH8" s="61">
        <f>('27'!AG8/24)*0.454</f>
        <v>0</v>
      </c>
      <c r="AI8" s="60">
        <v>5000.0</v>
      </c>
      <c r="AJ8" s="61">
        <f>('27'!AI8/24)*0.454</f>
        <v>94.58333333</v>
      </c>
      <c r="AK8" s="62"/>
      <c r="AL8" s="63">
        <f>('27'!AK8/24)*0.454</f>
        <v>0</v>
      </c>
      <c r="AM8" s="62"/>
      <c r="AN8" s="63">
        <f>('27'!AM8/24)*0.454</f>
        <v>0</v>
      </c>
      <c r="AO8" s="62"/>
      <c r="AP8" s="63">
        <f>('27'!AO8/24)*0.454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146.0</v>
      </c>
      <c r="C9" s="76">
        <v>21.0</v>
      </c>
      <c r="D9" s="76">
        <v>18.0</v>
      </c>
      <c r="E9" s="76">
        <v>4.0</v>
      </c>
      <c r="F9" s="76">
        <v>33.0</v>
      </c>
      <c r="G9" s="76">
        <v>1.5</v>
      </c>
      <c r="H9" s="76">
        <v>1.2</v>
      </c>
      <c r="I9" s="76">
        <v>0.5</v>
      </c>
      <c r="J9" s="76">
        <v>0.6</v>
      </c>
      <c r="K9" s="76">
        <v>6.9</v>
      </c>
      <c r="L9" s="76">
        <v>6.3</v>
      </c>
      <c r="M9" s="76">
        <v>6.3</v>
      </c>
      <c r="N9" s="76">
        <v>6.0</v>
      </c>
      <c r="O9" s="76">
        <v>3.3</v>
      </c>
      <c r="P9" s="76"/>
      <c r="Q9" s="310"/>
      <c r="R9" s="77">
        <f>'27'!Z9</f>
        <v>1410</v>
      </c>
      <c r="S9" s="76">
        <f>'27'!AB9</f>
        <v>75.91324201</v>
      </c>
      <c r="T9" s="77">
        <f>'27'!Y9</f>
        <v>3431</v>
      </c>
      <c r="U9" s="73" t="str">
        <f>IF('27'!AA9=1,'27'!AR6,'27'!AR7)</f>
        <v>S.A.L</v>
      </c>
      <c r="V9" s="43"/>
      <c r="W9" s="27"/>
      <c r="X9" s="54">
        <v>0.166666666666667</v>
      </c>
      <c r="Y9" s="125">
        <v>3431.0</v>
      </c>
      <c r="Z9" s="125">
        <v>1410.0</v>
      </c>
      <c r="AA9" s="56">
        <v>1.0</v>
      </c>
      <c r="AB9" s="58">
        <f>IF('27'!AA9=1,(('27'!Z9*'27'!$AS$6*'27'!$AT$6)/('27'!Y9*0.0036)),IF('27'!AA9=2,(('27'!Z9*'27'!$AS$7*'27'!$AT$7)/('27'!Y9*0.0036))))</f>
        <v>75.91324201</v>
      </c>
      <c r="AC9" s="58"/>
      <c r="AD9" s="59">
        <f>(('27'!AC9*'27'!$Q$10*1000000))/('27'!Y9*3600)</f>
        <v>0</v>
      </c>
      <c r="AE9" s="60"/>
      <c r="AF9" s="61">
        <f>('27'!AE9/24)*0.454</f>
        <v>0</v>
      </c>
      <c r="AG9" s="60"/>
      <c r="AH9" s="61">
        <f>('27'!AG9/24)*0.454</f>
        <v>0</v>
      </c>
      <c r="AI9" s="60">
        <v>5000.0</v>
      </c>
      <c r="AJ9" s="61">
        <f>('27'!AI9/24)*0.454</f>
        <v>94.58333333</v>
      </c>
      <c r="AK9" s="62"/>
      <c r="AL9" s="63">
        <f>('27'!AK9/24)*0.454</f>
        <v>0</v>
      </c>
      <c r="AM9" s="62"/>
      <c r="AN9" s="63">
        <f>('27'!AM9/24)*0.454</f>
        <v>0</v>
      </c>
      <c r="AO9" s="62"/>
      <c r="AP9" s="63">
        <f>('27'!AO9/24)*0.454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144.0</v>
      </c>
      <c r="C10" s="76">
        <v>23.0</v>
      </c>
      <c r="D10" s="76">
        <v>21.0</v>
      </c>
      <c r="E10" s="76">
        <v>4.0</v>
      </c>
      <c r="F10" s="76">
        <v>33.0</v>
      </c>
      <c r="G10" s="76">
        <v>1.4</v>
      </c>
      <c r="H10" s="76">
        <v>1.2</v>
      </c>
      <c r="I10" s="76">
        <v>0.5</v>
      </c>
      <c r="J10" s="76">
        <v>0.5</v>
      </c>
      <c r="K10" s="76">
        <v>6.9</v>
      </c>
      <c r="L10" s="76">
        <v>6.3</v>
      </c>
      <c r="M10" s="76">
        <v>6.3</v>
      </c>
      <c r="N10" s="76">
        <v>6.0</v>
      </c>
      <c r="O10" s="76">
        <v>3.3</v>
      </c>
      <c r="P10" s="76"/>
      <c r="Q10" s="310"/>
      <c r="R10" s="77">
        <f>'27'!Z11</f>
        <v>1410</v>
      </c>
      <c r="S10" s="76">
        <f>'27'!AB11</f>
        <v>75.16835017</v>
      </c>
      <c r="T10" s="77">
        <f>'27'!Y11</f>
        <v>3465</v>
      </c>
      <c r="U10" s="73" t="str">
        <f>IF('27'!AA11=1,'27'!AR6,'27'!AR7)</f>
        <v>S.A.L</v>
      </c>
      <c r="V10" s="43"/>
      <c r="W10" s="27"/>
      <c r="X10" s="54">
        <v>0.208333333333333</v>
      </c>
      <c r="Y10" s="125">
        <v>3564.0</v>
      </c>
      <c r="Z10" s="125">
        <v>1410.0</v>
      </c>
      <c r="AA10" s="56">
        <v>1.0</v>
      </c>
      <c r="AB10" s="58">
        <f>IF('27'!AA10=1,(('27'!Z10*'27'!$AS$6*'27'!$AT$6)/('27'!Y10*0.0036)),IF('27'!AA10=2,(('27'!Z10*'27'!$AS$7*'27'!$AT$7)/('27'!Y10*0.0036))))</f>
        <v>73.08034044</v>
      </c>
      <c r="AC10" s="58"/>
      <c r="AD10" s="59">
        <f>(('27'!AC10*'27'!$Q$10*1000000))/('27'!Y10*3600)</f>
        <v>0</v>
      </c>
      <c r="AE10" s="60"/>
      <c r="AF10" s="61">
        <f>('27'!AE10/24)*0.454</f>
        <v>0</v>
      </c>
      <c r="AG10" s="60"/>
      <c r="AH10" s="61">
        <f>('27'!AG10/24)*0.454</f>
        <v>0</v>
      </c>
      <c r="AI10" s="60">
        <v>5000.0</v>
      </c>
      <c r="AJ10" s="61">
        <f>('27'!AI10/24)*0.454</f>
        <v>94.58333333</v>
      </c>
      <c r="AK10" s="62"/>
      <c r="AL10" s="63">
        <f>('27'!AK10/24)*0.454</f>
        <v>0</v>
      </c>
      <c r="AM10" s="62"/>
      <c r="AN10" s="63">
        <f>('27'!AM10/24)*0.454</f>
        <v>0</v>
      </c>
      <c r="AO10" s="62"/>
      <c r="AP10" s="63">
        <f>('27'!AO10/24)*0.454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132.0</v>
      </c>
      <c r="C11" s="76">
        <v>20.0</v>
      </c>
      <c r="D11" s="76">
        <v>20.0</v>
      </c>
      <c r="E11" s="76">
        <v>4.0</v>
      </c>
      <c r="F11" s="76">
        <v>30.0</v>
      </c>
      <c r="G11" s="76">
        <v>1.5</v>
      </c>
      <c r="H11" s="76">
        <v>1.4</v>
      </c>
      <c r="I11" s="76">
        <v>0.4</v>
      </c>
      <c r="J11" s="76">
        <v>0.4</v>
      </c>
      <c r="K11" s="76">
        <v>6.9</v>
      </c>
      <c r="L11" s="76">
        <v>6.3</v>
      </c>
      <c r="M11" s="76">
        <v>6.3</v>
      </c>
      <c r="N11" s="76">
        <v>6.0</v>
      </c>
      <c r="O11" s="76">
        <v>3.2</v>
      </c>
      <c r="P11" s="76"/>
      <c r="Q11" s="310"/>
      <c r="R11" s="77">
        <f>'27'!Z13</f>
        <v>1410</v>
      </c>
      <c r="S11" s="76">
        <f>'27'!AB13</f>
        <v>74.56579826</v>
      </c>
      <c r="T11" s="77">
        <f>'27'!Y13</f>
        <v>3493</v>
      </c>
      <c r="U11" s="73" t="str">
        <f>IF('27'!AA13=1,'27'!AR6,'27'!AR7)</f>
        <v>S.A.L</v>
      </c>
      <c r="V11" s="16"/>
      <c r="W11" s="18"/>
      <c r="X11" s="54">
        <v>0.25</v>
      </c>
      <c r="Y11" s="125">
        <v>3465.0</v>
      </c>
      <c r="Z11" s="125">
        <v>1410.0</v>
      </c>
      <c r="AA11" s="56">
        <v>1.0</v>
      </c>
      <c r="AB11" s="58">
        <f>IF('27'!AA11=1,(('27'!Z11*'27'!$AS$6*'27'!$AT$6)/('27'!Y11*0.0036)),IF('27'!AA11=2,(('27'!Z11*'27'!$AS$7*'27'!$AT$7)/('27'!Y11*0.0036))))</f>
        <v>75.16835017</v>
      </c>
      <c r="AC11" s="58"/>
      <c r="AD11" s="59">
        <f>(('27'!AC11*'27'!$Q$10*1000000))/('27'!Y11*3600)</f>
        <v>0</v>
      </c>
      <c r="AE11" s="60"/>
      <c r="AF11" s="61">
        <f>('27'!AE11/24)*0.454</f>
        <v>0</v>
      </c>
      <c r="AG11" s="60"/>
      <c r="AH11" s="61">
        <f>('27'!AG11/24)*0.454</f>
        <v>0</v>
      </c>
      <c r="AI11" s="60">
        <v>5000.0</v>
      </c>
      <c r="AJ11" s="61">
        <f>('27'!AI11/24)*0.454</f>
        <v>94.58333333</v>
      </c>
      <c r="AK11" s="62"/>
      <c r="AL11" s="63">
        <f>('27'!AK11/24)*0.454</f>
        <v>0</v>
      </c>
      <c r="AM11" s="62"/>
      <c r="AN11" s="63">
        <f>('27'!AM11/24)*0.454</f>
        <v>0</v>
      </c>
      <c r="AO11" s="62"/>
      <c r="AP11" s="63">
        <f>('27'!AO11/24)*0.454</f>
        <v>0</v>
      </c>
    </row>
    <row r="12" ht="18.75" customHeight="1">
      <c r="A12" s="69">
        <v>0.416666666666667</v>
      </c>
      <c r="B12" s="76">
        <v>134.0</v>
      </c>
      <c r="C12" s="76">
        <v>20.0</v>
      </c>
      <c r="D12" s="76">
        <v>19.0</v>
      </c>
      <c r="E12" s="76">
        <v>4.0</v>
      </c>
      <c r="F12" s="76">
        <v>31.0</v>
      </c>
      <c r="G12" s="76">
        <v>1.5</v>
      </c>
      <c r="H12" s="76">
        <v>1.3</v>
      </c>
      <c r="I12" s="76">
        <v>0.4</v>
      </c>
      <c r="J12" s="76">
        <v>0.4</v>
      </c>
      <c r="K12" s="76">
        <v>6.9</v>
      </c>
      <c r="L12" s="76">
        <v>6.3</v>
      </c>
      <c r="M12" s="76">
        <v>6.3</v>
      </c>
      <c r="N12" s="76">
        <v>6.0</v>
      </c>
      <c r="O12" s="76">
        <v>3.2</v>
      </c>
      <c r="P12" s="76"/>
      <c r="Q12" s="310"/>
      <c r="R12" s="77">
        <f>'27'!Z15</f>
        <v>1410</v>
      </c>
      <c r="S12" s="76">
        <f>'27'!AB15</f>
        <v>74.84434866</v>
      </c>
      <c r="T12" s="77">
        <f>'27'!Y15</f>
        <v>3480</v>
      </c>
      <c r="U12" s="73" t="str">
        <f>IF('27'!AA15=1,'27'!AR6,'27'!AR7)</f>
        <v>S.A.L</v>
      </c>
      <c r="V12" s="88" t="str">
        <f>ESCALA!$B$29</f>
        <v/>
      </c>
      <c r="W12" s="89"/>
      <c r="X12" s="54">
        <v>0.291666666666667</v>
      </c>
      <c r="Y12" s="125">
        <v>3460.0</v>
      </c>
      <c r="Z12" s="125">
        <v>1410.0</v>
      </c>
      <c r="AA12" s="56">
        <v>1.0</v>
      </c>
      <c r="AB12" s="58">
        <f>IF('27'!AA12=1,(('27'!Z12*'27'!$AS$6*'27'!$AT$6)/('27'!Y12*0.0036)),IF('27'!AA12=2,(('27'!Z12*'27'!$AS$7*'27'!$AT$7)/('27'!Y12*0.0036))))</f>
        <v>75.27697495</v>
      </c>
      <c r="AC12" s="58"/>
      <c r="AD12" s="59">
        <f>(('27'!AC12*'27'!$Q$10*1000000))/('27'!Y12*3600)</f>
        <v>0</v>
      </c>
      <c r="AE12" s="60"/>
      <c r="AF12" s="61">
        <f>('27'!AE12/24)*0.454</f>
        <v>0</v>
      </c>
      <c r="AG12" s="60"/>
      <c r="AH12" s="61">
        <f>('27'!AG12/24)*0.454</f>
        <v>0</v>
      </c>
      <c r="AI12" s="60">
        <v>5000.0</v>
      </c>
      <c r="AJ12" s="61">
        <f>('27'!AI12/24)*0.454</f>
        <v>94.58333333</v>
      </c>
      <c r="AK12" s="62"/>
      <c r="AL12" s="63">
        <f>('27'!AK12/24)*0.454</f>
        <v>0</v>
      </c>
      <c r="AM12" s="62"/>
      <c r="AN12" s="63">
        <f>('27'!AM12/24)*0.454</f>
        <v>0</v>
      </c>
      <c r="AO12" s="62"/>
      <c r="AP12" s="63">
        <f>('27'!AO12/24)*0.454</f>
        <v>0</v>
      </c>
    </row>
    <row r="13" ht="18.75" customHeight="1">
      <c r="A13" s="69">
        <v>0.5</v>
      </c>
      <c r="B13" s="76">
        <v>130.0</v>
      </c>
      <c r="C13" s="76">
        <v>20.0</v>
      </c>
      <c r="D13" s="76">
        <v>19.0</v>
      </c>
      <c r="E13" s="76">
        <v>4.0</v>
      </c>
      <c r="F13" s="76">
        <v>29.0</v>
      </c>
      <c r="G13" s="76">
        <v>1.6</v>
      </c>
      <c r="H13" s="76">
        <v>1.3</v>
      </c>
      <c r="I13" s="76">
        <v>0.4</v>
      </c>
      <c r="J13" s="76">
        <v>0.5</v>
      </c>
      <c r="K13" s="76">
        <v>6.9</v>
      </c>
      <c r="L13" s="76">
        <v>6.3</v>
      </c>
      <c r="M13" s="76">
        <v>6.3</v>
      </c>
      <c r="N13" s="76">
        <v>6.0</v>
      </c>
      <c r="O13" s="76">
        <v>3.2</v>
      </c>
      <c r="P13" s="76"/>
      <c r="Q13" s="310"/>
      <c r="R13" s="77">
        <f>'27'!Z17</f>
        <v>1380</v>
      </c>
      <c r="S13" s="76">
        <f>'27'!AB17</f>
        <v>73.42069892</v>
      </c>
      <c r="T13" s="77">
        <f>'27'!Y17</f>
        <v>3472</v>
      </c>
      <c r="U13" s="73" t="str">
        <f>IF('27'!AA17=1,'27'!AR6,'27'!AR7)</f>
        <v>S.A.L</v>
      </c>
      <c r="V13" s="43"/>
      <c r="W13" s="27"/>
      <c r="X13" s="54">
        <v>0.333333333333333</v>
      </c>
      <c r="Y13" s="125">
        <v>3493.0</v>
      </c>
      <c r="Z13" s="125">
        <v>1410.0</v>
      </c>
      <c r="AA13" s="56">
        <v>1.0</v>
      </c>
      <c r="AB13" s="58">
        <f>IF('27'!AA13=1,(('27'!Z13*'27'!$AS$6*'27'!$AT$6)/('27'!Y13*0.0036)),IF('27'!AA13=2,(('27'!Z13*'27'!$AS$7*'27'!$AT$7)/('27'!Y13*0.0036))))</f>
        <v>74.56579826</v>
      </c>
      <c r="AC13" s="58"/>
      <c r="AD13" s="59">
        <f>(('27'!AC13*'27'!$Q$10*1000000))/('27'!Y13*3600)</f>
        <v>0</v>
      </c>
      <c r="AE13" s="60"/>
      <c r="AF13" s="61">
        <f>('27'!AE13/24)*0.454</f>
        <v>0</v>
      </c>
      <c r="AG13" s="60"/>
      <c r="AH13" s="61">
        <f>('27'!AG13/24)*0.454</f>
        <v>0</v>
      </c>
      <c r="AI13" s="60">
        <v>5000.0</v>
      </c>
      <c r="AJ13" s="61">
        <f>('27'!AI13/24)*0.454</f>
        <v>94.58333333</v>
      </c>
      <c r="AK13" s="62"/>
      <c r="AL13" s="63">
        <f>('27'!AK13/24)*0.454</f>
        <v>0</v>
      </c>
      <c r="AM13" s="62"/>
      <c r="AN13" s="63">
        <f>('27'!AM13/24)*0.454</f>
        <v>0</v>
      </c>
      <c r="AO13" s="62"/>
      <c r="AP13" s="63">
        <f>('27'!AO13/24)*0.454</f>
        <v>0</v>
      </c>
    </row>
    <row r="14" ht="18.75" customHeight="1">
      <c r="A14" s="69">
        <v>0.583333333333333</v>
      </c>
      <c r="B14" s="76">
        <v>135.0</v>
      </c>
      <c r="C14" s="76">
        <v>20.0</v>
      </c>
      <c r="D14" s="76">
        <v>19.0</v>
      </c>
      <c r="E14" s="76">
        <v>4.0</v>
      </c>
      <c r="F14" s="76">
        <v>32.0</v>
      </c>
      <c r="G14" s="76">
        <v>1.6</v>
      </c>
      <c r="H14" s="76">
        <v>1.3</v>
      </c>
      <c r="I14" s="76">
        <v>0.5</v>
      </c>
      <c r="J14" s="76">
        <v>0.5</v>
      </c>
      <c r="K14" s="76">
        <v>6.9</v>
      </c>
      <c r="L14" s="76">
        <v>6.3</v>
      </c>
      <c r="M14" s="76">
        <v>6.3</v>
      </c>
      <c r="N14" s="76">
        <v>6.0</v>
      </c>
      <c r="O14" s="76">
        <v>3.0</v>
      </c>
      <c r="P14" s="76"/>
      <c r="Q14" s="310"/>
      <c r="R14" s="77">
        <f>'27'!Z19</f>
        <v>1380</v>
      </c>
      <c r="S14" s="76">
        <f>'27'!AB19</f>
        <v>73.56902357</v>
      </c>
      <c r="T14" s="77">
        <f>'27'!Y19</f>
        <v>3465</v>
      </c>
      <c r="U14" s="73" t="str">
        <f>IF('27'!AA19=1,'27'!AR6,'27'!AR7)</f>
        <v>S.A.L</v>
      </c>
      <c r="V14" s="43"/>
      <c r="W14" s="27"/>
      <c r="X14" s="54">
        <v>0.375</v>
      </c>
      <c r="Y14" s="125">
        <v>3509.0</v>
      </c>
      <c r="Z14" s="125">
        <v>1410.0</v>
      </c>
      <c r="AA14" s="56">
        <v>1.0</v>
      </c>
      <c r="AB14" s="58">
        <f>IF('27'!AA14=1,(('27'!Z14*'27'!$AS$6*'27'!$AT$6)/('27'!Y14*0.0036)),IF('27'!AA14=2,(('27'!Z14*'27'!$AS$7*'27'!$AT$7)/('27'!Y14*0.0036))))</f>
        <v>74.22580032</v>
      </c>
      <c r="AC14" s="58"/>
      <c r="AD14" s="59">
        <f>(('27'!AC14*'27'!$Q$10*1000000))/('27'!Y14*3600)</f>
        <v>0</v>
      </c>
      <c r="AE14" s="60"/>
      <c r="AF14" s="61">
        <f>('27'!AE14/24)*0.454</f>
        <v>0</v>
      </c>
      <c r="AG14" s="60"/>
      <c r="AH14" s="61">
        <f>('27'!AG14/24)*0.454</f>
        <v>0</v>
      </c>
      <c r="AI14" s="60">
        <v>5000.0</v>
      </c>
      <c r="AJ14" s="61">
        <f>('27'!AI14/24)*0.454</f>
        <v>94.58333333</v>
      </c>
      <c r="AK14" s="62"/>
      <c r="AL14" s="63">
        <f>('27'!AK14/24)*0.454</f>
        <v>0</v>
      </c>
      <c r="AM14" s="62"/>
      <c r="AN14" s="63">
        <f>('27'!AM14/24)*0.454</f>
        <v>0</v>
      </c>
      <c r="AO14" s="62"/>
      <c r="AP14" s="63">
        <f>('27'!AO14/24)*0.454</f>
        <v>0</v>
      </c>
    </row>
    <row r="15" ht="18.75" customHeight="1">
      <c r="A15" s="69">
        <v>0.666666666666667</v>
      </c>
      <c r="B15" s="76">
        <v>138.0</v>
      </c>
      <c r="C15" s="76">
        <v>20.0</v>
      </c>
      <c r="D15" s="76">
        <v>18.0</v>
      </c>
      <c r="E15" s="76">
        <v>4.0</v>
      </c>
      <c r="F15" s="76">
        <v>32.0</v>
      </c>
      <c r="G15" s="76">
        <v>1.5</v>
      </c>
      <c r="H15" s="76">
        <v>1.2</v>
      </c>
      <c r="I15" s="76">
        <v>0.5</v>
      </c>
      <c r="J15" s="76">
        <v>0.5</v>
      </c>
      <c r="K15" s="76">
        <v>6.9</v>
      </c>
      <c r="L15" s="76">
        <v>6.3</v>
      </c>
      <c r="M15" s="76">
        <v>6.3</v>
      </c>
      <c r="N15" s="76">
        <v>6.0</v>
      </c>
      <c r="O15" s="76">
        <v>3.0</v>
      </c>
      <c r="P15" s="76"/>
      <c r="Q15" s="310"/>
      <c r="R15" s="77">
        <f>'27'!Z21</f>
        <v>1380</v>
      </c>
      <c r="S15" s="76">
        <f>'27'!AB21</f>
        <v>73.3362102</v>
      </c>
      <c r="T15" s="77">
        <f>'27'!Y21</f>
        <v>3476</v>
      </c>
      <c r="U15" s="73" t="str">
        <f>IF('27'!AA21=1,'27'!AR6,'27'!AR7)</f>
        <v>S.A.L</v>
      </c>
      <c r="V15" s="43"/>
      <c r="W15" s="27"/>
      <c r="X15" s="54">
        <v>0.416666666666667</v>
      </c>
      <c r="Y15" s="125">
        <v>3480.0</v>
      </c>
      <c r="Z15" s="125">
        <v>1410.0</v>
      </c>
      <c r="AA15" s="56">
        <v>1.0</v>
      </c>
      <c r="AB15" s="58">
        <f>IF('27'!AA15=1,(('27'!Z15*'27'!$AS$6*'27'!$AT$6)/('27'!Y15*0.0036)),IF('27'!AA15=2,(('27'!Z15*'27'!$AS$7*'27'!$AT$7)/('27'!Y15*0.0036))))</f>
        <v>74.84434866</v>
      </c>
      <c r="AC15" s="58"/>
      <c r="AD15" s="59">
        <f>(('27'!AC15*'27'!$Q$10*1000000))/('27'!Y15*3600)</f>
        <v>0</v>
      </c>
      <c r="AE15" s="60"/>
      <c r="AF15" s="61">
        <f>('27'!AE15/24)*0.454</f>
        <v>0</v>
      </c>
      <c r="AG15" s="60"/>
      <c r="AH15" s="61">
        <f>('27'!AG15/24)*0.454</f>
        <v>0</v>
      </c>
      <c r="AI15" s="60">
        <v>5000.0</v>
      </c>
      <c r="AJ15" s="61">
        <f>('27'!AI15/24)*0.454</f>
        <v>94.58333333</v>
      </c>
      <c r="AK15" s="62"/>
      <c r="AL15" s="63">
        <f>('27'!AK15/24)*0.454</f>
        <v>0</v>
      </c>
      <c r="AM15" s="62"/>
      <c r="AN15" s="63">
        <f>('27'!AM15/24)*0.454</f>
        <v>0</v>
      </c>
      <c r="AO15" s="62"/>
      <c r="AP15" s="63">
        <f>('27'!AO15/24)*0.454</f>
        <v>0</v>
      </c>
    </row>
    <row r="16" ht="18.75" customHeight="1">
      <c r="A16" s="69">
        <v>0.75</v>
      </c>
      <c r="B16" s="76">
        <v>140.0</v>
      </c>
      <c r="C16" s="76">
        <v>21.0</v>
      </c>
      <c r="D16" s="76">
        <v>18.0</v>
      </c>
      <c r="E16" s="76">
        <v>5.0</v>
      </c>
      <c r="F16" s="76">
        <v>34.0</v>
      </c>
      <c r="G16" s="76">
        <v>1.4</v>
      </c>
      <c r="H16" s="76">
        <v>1.2</v>
      </c>
      <c r="I16" s="76">
        <v>0.5</v>
      </c>
      <c r="J16" s="76">
        <v>0.5</v>
      </c>
      <c r="K16" s="76">
        <v>6.9</v>
      </c>
      <c r="L16" s="76">
        <v>6.3</v>
      </c>
      <c r="M16" s="76">
        <v>6.3</v>
      </c>
      <c r="N16" s="76">
        <v>6.0</v>
      </c>
      <c r="O16" s="76">
        <v>3.2</v>
      </c>
      <c r="P16" s="76"/>
      <c r="Q16" s="310"/>
      <c r="R16" s="77">
        <f>'27'!Z23</f>
        <v>1380</v>
      </c>
      <c r="S16" s="76">
        <f>'27'!AB23</f>
        <v>72.91666667</v>
      </c>
      <c r="T16" s="77">
        <f>'27'!Y23</f>
        <v>3496</v>
      </c>
      <c r="U16" s="73" t="str">
        <f>IF('27'!AA23=1,'27'!AR6,'27'!AR7)</f>
        <v>S.A.L</v>
      </c>
      <c r="V16" s="43"/>
      <c r="W16" s="27"/>
      <c r="X16" s="54">
        <v>0.458333333333333</v>
      </c>
      <c r="Y16" s="125">
        <v>3503.0</v>
      </c>
      <c r="Z16" s="125">
        <v>1380.0</v>
      </c>
      <c r="AA16" s="56">
        <v>1.0</v>
      </c>
      <c r="AB16" s="58">
        <f>IF('27'!AA16=1,(('27'!Z16*'27'!$AS$6*'27'!$AT$6)/('27'!Y16*0.0036)),IF('27'!AA16=2,(('27'!Z16*'27'!$AS$7*'27'!$AT$7)/('27'!Y16*0.0036))))</f>
        <v>72.77095823</v>
      </c>
      <c r="AC16" s="58"/>
      <c r="AD16" s="59">
        <f>(('27'!AC16*'27'!$Q$10*1000000))/('27'!Y16*3600)</f>
        <v>0</v>
      </c>
      <c r="AE16" s="60"/>
      <c r="AF16" s="61">
        <f>('27'!AE16/24)*0.454</f>
        <v>0</v>
      </c>
      <c r="AG16" s="60"/>
      <c r="AH16" s="61">
        <f>('27'!AG16/24)*0.454</f>
        <v>0</v>
      </c>
      <c r="AI16" s="60">
        <v>5000.0</v>
      </c>
      <c r="AJ16" s="61">
        <f>('27'!AI16/24)*0.454</f>
        <v>94.58333333</v>
      </c>
      <c r="AK16" s="62"/>
      <c r="AL16" s="63">
        <f>('27'!AK16/24)*0.454</f>
        <v>0</v>
      </c>
      <c r="AM16" s="62"/>
      <c r="AN16" s="63">
        <f>('27'!AM16/24)*0.454</f>
        <v>0</v>
      </c>
      <c r="AO16" s="62"/>
      <c r="AP16" s="63">
        <f>('27'!AO16/24)*0.454</f>
        <v>0</v>
      </c>
    </row>
    <row r="17" ht="18.75" customHeight="1">
      <c r="A17" s="69">
        <v>0.833333333333333</v>
      </c>
      <c r="B17" s="76">
        <v>144.0</v>
      </c>
      <c r="C17" s="76">
        <v>21.0</v>
      </c>
      <c r="D17" s="76">
        <v>17.0</v>
      </c>
      <c r="E17" s="76">
        <v>5.0</v>
      </c>
      <c r="F17" s="76">
        <v>32.0</v>
      </c>
      <c r="G17" s="76">
        <v>1.2</v>
      </c>
      <c r="H17" s="76">
        <v>1.1</v>
      </c>
      <c r="I17" s="76">
        <v>0.4</v>
      </c>
      <c r="J17" s="76">
        <v>0.5</v>
      </c>
      <c r="K17" s="76">
        <v>6.9</v>
      </c>
      <c r="L17" s="76">
        <v>6.3</v>
      </c>
      <c r="M17" s="76">
        <v>6.3</v>
      </c>
      <c r="N17" s="76">
        <v>6.0</v>
      </c>
      <c r="O17" s="76">
        <v>3.2</v>
      </c>
      <c r="P17" s="76"/>
      <c r="Q17" s="310"/>
      <c r="R17" s="77">
        <f>'27'!Z25</f>
        <v>1275</v>
      </c>
      <c r="S17" s="76">
        <f>'27'!AB25</f>
        <v>67.50382153</v>
      </c>
      <c r="T17" s="77">
        <f>'27'!Y25</f>
        <v>3489</v>
      </c>
      <c r="U17" s="73" t="str">
        <f>IF('27'!AA25=1,'27'!AR6,'27'!AR7)</f>
        <v>S.A.L</v>
      </c>
      <c r="V17" s="43"/>
      <c r="W17" s="27"/>
      <c r="X17" s="54">
        <v>0.5</v>
      </c>
      <c r="Y17" s="125">
        <v>3472.0</v>
      </c>
      <c r="Z17" s="125">
        <v>1380.0</v>
      </c>
      <c r="AA17" s="56">
        <v>1.0</v>
      </c>
      <c r="AB17" s="58">
        <f>IF('27'!AA17=1,(('27'!Z17*'27'!$AS$6*'27'!$AT$6)/('27'!Y17*0.0036)),IF('27'!AA17=2,(('27'!Z17*'27'!$AS$7*'27'!$AT$7)/('27'!Y17*0.0036))))</f>
        <v>73.42069892</v>
      </c>
      <c r="AC17" s="58"/>
      <c r="AD17" s="59">
        <f>(('27'!AC17*'27'!$Q$10*1000000))/('27'!Y17*3600)</f>
        <v>0</v>
      </c>
      <c r="AE17" s="60"/>
      <c r="AF17" s="61">
        <f>('27'!AE17/24)*0.454</f>
        <v>0</v>
      </c>
      <c r="AG17" s="60"/>
      <c r="AH17" s="61">
        <f>('27'!AG17/24)*0.454</f>
        <v>0</v>
      </c>
      <c r="AI17" s="60">
        <v>5000.0</v>
      </c>
      <c r="AJ17" s="61">
        <f>('27'!AI17/24)*0.454</f>
        <v>94.58333333</v>
      </c>
      <c r="AK17" s="62"/>
      <c r="AL17" s="63">
        <f>('27'!AK17/24)*0.454</f>
        <v>0</v>
      </c>
      <c r="AM17" s="62"/>
      <c r="AN17" s="63">
        <f>('27'!AM17/24)*0.454</f>
        <v>0</v>
      </c>
      <c r="AO17" s="62"/>
      <c r="AP17" s="63">
        <f>('27'!AO17/24)*0.454</f>
        <v>0</v>
      </c>
    </row>
    <row r="18" ht="19.5" customHeight="1">
      <c r="A18" s="69">
        <v>0.916666666666667</v>
      </c>
      <c r="B18" s="76">
        <v>148.0</v>
      </c>
      <c r="C18" s="76">
        <v>21.0</v>
      </c>
      <c r="D18" s="76">
        <v>17.0</v>
      </c>
      <c r="E18" s="76">
        <v>5.0</v>
      </c>
      <c r="F18" s="76">
        <v>33.0</v>
      </c>
      <c r="G18" s="76">
        <v>1.1</v>
      </c>
      <c r="H18" s="76">
        <v>1.0</v>
      </c>
      <c r="I18" s="76">
        <v>0.4</v>
      </c>
      <c r="J18" s="76">
        <v>0.5</v>
      </c>
      <c r="K18" s="76">
        <v>6.9</v>
      </c>
      <c r="L18" s="76">
        <v>6.3</v>
      </c>
      <c r="M18" s="76">
        <v>6.3</v>
      </c>
      <c r="N18" s="76">
        <v>6.0</v>
      </c>
      <c r="O18" s="76">
        <v>3.5</v>
      </c>
      <c r="P18" s="76"/>
      <c r="Q18" s="310"/>
      <c r="R18" s="77">
        <f>'27'!Z27</f>
        <v>1275</v>
      </c>
      <c r="S18" s="76">
        <f>'27'!AB27</f>
        <v>68.50518712</v>
      </c>
      <c r="T18" s="77">
        <f>'27'!Y27</f>
        <v>3438</v>
      </c>
      <c r="U18" s="73" t="str">
        <f>IF('27'!AA27=1,'27'!AR6,'27'!AR7)</f>
        <v>S.A.L</v>
      </c>
      <c r="V18" s="16"/>
      <c r="W18" s="18"/>
      <c r="X18" s="54">
        <v>0.541666666666667</v>
      </c>
      <c r="Y18" s="125">
        <v>3466.0</v>
      </c>
      <c r="Z18" s="125">
        <v>1380.0</v>
      </c>
      <c r="AA18" s="56">
        <v>1.0</v>
      </c>
      <c r="AB18" s="58">
        <f>IF('27'!AA18=1,(('27'!Z18*'27'!$AS$6*'27'!$AT$6)/('27'!Y18*0.0036)),IF('27'!AA18=2,(('27'!Z18*'27'!$AS$7*'27'!$AT$7)/('27'!Y18*0.0036))))</f>
        <v>73.54779765</v>
      </c>
      <c r="AC18" s="58"/>
      <c r="AD18" s="59">
        <f>(('27'!AC18*'27'!$Q$10*1000000))/('27'!Y18*3600)</f>
        <v>0</v>
      </c>
      <c r="AE18" s="60"/>
      <c r="AF18" s="61">
        <f>('27'!AE18/24)*0.454</f>
        <v>0</v>
      </c>
      <c r="AG18" s="60"/>
      <c r="AH18" s="61">
        <f>('27'!AG18/24)*0.454</f>
        <v>0</v>
      </c>
      <c r="AI18" s="60">
        <v>5000.0</v>
      </c>
      <c r="AJ18" s="61">
        <f>('27'!AI18/24)*0.454</f>
        <v>94.58333333</v>
      </c>
      <c r="AK18" s="62"/>
      <c r="AL18" s="63">
        <f>('27'!AK18/24)*0.454</f>
        <v>0</v>
      </c>
      <c r="AM18" s="62"/>
      <c r="AN18" s="63">
        <f>('27'!AM18/24)*0.454</f>
        <v>0</v>
      </c>
      <c r="AO18" s="62"/>
      <c r="AP18" s="63">
        <f>('27'!AO18/24)*0.454</f>
        <v>0</v>
      </c>
    </row>
    <row r="19" ht="18.75" customHeight="1">
      <c r="A19" s="51" t="s">
        <v>52</v>
      </c>
      <c r="B19" s="91">
        <f>AVERAGE('27'!B7:B18)</f>
        <v>140.6666667</v>
      </c>
      <c r="C19" s="91">
        <f>AVERAGE('27'!C7:C18)</f>
        <v>20.41666667</v>
      </c>
      <c r="D19" s="92">
        <f>AVERAGE('27'!D7:D18)</f>
        <v>18.33333333</v>
      </c>
      <c r="E19" s="92">
        <f>AVERAGE('27'!E7:E18)</f>
        <v>4.416666667</v>
      </c>
      <c r="F19" s="92">
        <f>AVERAGE('27'!F7:F18)</f>
        <v>32.5</v>
      </c>
      <c r="G19" s="92">
        <f>AVERAGE('27'!G7:G18)</f>
        <v>1.466666667</v>
      </c>
      <c r="H19" s="92">
        <f>AVERAGE('27'!H7:H18)</f>
        <v>1.233333333</v>
      </c>
      <c r="I19" s="92">
        <f>AVERAGE('27'!I7:I18)</f>
        <v>0.475</v>
      </c>
      <c r="J19" s="92">
        <f>AVERAGE('27'!J7:J18)</f>
        <v>0.5083333333</v>
      </c>
      <c r="K19" s="92">
        <f>AVERAGE('27'!K8:K18)</f>
        <v>6.9</v>
      </c>
      <c r="L19" s="92">
        <f>AVERAGE('27'!L8:L18)</f>
        <v>6.3</v>
      </c>
      <c r="M19" s="92">
        <f>AVERAGE('27'!M8:M18)</f>
        <v>6.3</v>
      </c>
      <c r="N19" s="92">
        <f>AVERAGE('27'!N8:N18)</f>
        <v>6</v>
      </c>
      <c r="O19" s="92">
        <f>AVERAGE('27'!O8:O18)</f>
        <v>3.218181818</v>
      </c>
      <c r="P19" s="93" t="str">
        <f>AVERAGE('27'!P7:P18)</f>
        <v>#DIV/0!</v>
      </c>
      <c r="Q19" s="94" t="str">
        <f>AVERAGE('27'!Q7:Q18)</f>
        <v>#DIV/0!</v>
      </c>
      <c r="R19" s="94">
        <f>AVERAGE('27'!R7:R18)</f>
        <v>1377.5</v>
      </c>
      <c r="S19" s="94">
        <f>AVERAGE('27'!S7:S18)</f>
        <v>73.37992857</v>
      </c>
      <c r="T19" s="95"/>
      <c r="U19" s="96"/>
      <c r="V19" s="97"/>
      <c r="W19" s="97"/>
      <c r="X19" s="54">
        <v>0.583333333333333</v>
      </c>
      <c r="Y19" s="125">
        <v>3465.0</v>
      </c>
      <c r="Z19" s="125">
        <v>1380.0</v>
      </c>
      <c r="AA19" s="56">
        <v>1.0</v>
      </c>
      <c r="AB19" s="58">
        <f>IF('27'!AA19=1,(('27'!Z19*'27'!$AS$6*'27'!$AT$6)/('27'!Y19*0.0036)),IF('27'!AA19=2,(('27'!Z19*'27'!$AS$7*'27'!$AT$7)/('27'!Y19*0.0036))))</f>
        <v>73.56902357</v>
      </c>
      <c r="AC19" s="58"/>
      <c r="AD19" s="59">
        <f>(('27'!AC19*'27'!$Q$10*1000000))/('27'!Y19*3600)</f>
        <v>0</v>
      </c>
      <c r="AE19" s="60"/>
      <c r="AF19" s="61">
        <f>('27'!AE19/24)*0.454</f>
        <v>0</v>
      </c>
      <c r="AG19" s="60"/>
      <c r="AH19" s="61">
        <f>('27'!AG19/24)*0.454</f>
        <v>0</v>
      </c>
      <c r="AI19" s="60">
        <v>5000.0</v>
      </c>
      <c r="AJ19" s="61">
        <f>('27'!AI19/24)*0.454</f>
        <v>94.58333333</v>
      </c>
      <c r="AK19" s="62"/>
      <c r="AL19" s="63">
        <f>('27'!AK19/24)*0.454</f>
        <v>0</v>
      </c>
      <c r="AM19" s="62"/>
      <c r="AN19" s="63">
        <f>('27'!AM19/24)*0.454</f>
        <v>0</v>
      </c>
      <c r="AO19" s="62"/>
      <c r="AP19" s="63">
        <f>('27'!AO19/24)*0.454</f>
        <v>0</v>
      </c>
    </row>
    <row r="20" ht="18.75" customHeight="1">
      <c r="A20" s="51" t="s">
        <v>53</v>
      </c>
      <c r="B20" s="91">
        <f>MAX('27'!B7:B18)</f>
        <v>150</v>
      </c>
      <c r="C20" s="92">
        <f>MAX('27'!C7:C18)</f>
        <v>23</v>
      </c>
      <c r="D20" s="92">
        <f>MAX('27'!D7:D18)</f>
        <v>21</v>
      </c>
      <c r="E20" s="92">
        <f>MAX('27'!E7:E18)</f>
        <v>5</v>
      </c>
      <c r="F20" s="92">
        <f>MAX('27'!F7:F18)</f>
        <v>37</v>
      </c>
      <c r="G20" s="92">
        <f>MAX('27'!G7:G18)</f>
        <v>1.7</v>
      </c>
      <c r="H20" s="92">
        <f>MAX('27'!H7:H18)</f>
        <v>1.4</v>
      </c>
      <c r="I20" s="92">
        <f>MAX('27'!I7:I18)</f>
        <v>0.6</v>
      </c>
      <c r="J20" s="92">
        <f>MAX('27'!J7:J18)</f>
        <v>0.6</v>
      </c>
      <c r="K20" s="92">
        <f>MAX('27'!K8:K18)</f>
        <v>6.9</v>
      </c>
      <c r="L20" s="92">
        <f>MAX('27'!L8:L18)</f>
        <v>6.3</v>
      </c>
      <c r="M20" s="92">
        <f>MAX('27'!M8:M18)</f>
        <v>6.3</v>
      </c>
      <c r="N20" s="92">
        <f>MAX('27'!N8:N18)</f>
        <v>6</v>
      </c>
      <c r="O20" s="98">
        <f>MAX('27'!O8:O18)</f>
        <v>3.5</v>
      </c>
      <c r="P20" s="98">
        <f>MAX('27'!P7:P18)</f>
        <v>0</v>
      </c>
      <c r="Q20" s="98">
        <f>MAX('27'!Q7:Q18)</f>
        <v>0</v>
      </c>
      <c r="R20" s="98">
        <f>MAX('27'!R7:R18)</f>
        <v>1410</v>
      </c>
      <c r="S20" s="98">
        <f>MAX('27'!S7:S18)</f>
        <v>75.91324201</v>
      </c>
      <c r="T20" s="99"/>
      <c r="U20" s="21"/>
      <c r="X20" s="54">
        <v>0.625</v>
      </c>
      <c r="Y20" s="125">
        <v>3499.0</v>
      </c>
      <c r="Z20" s="125">
        <v>1380.0</v>
      </c>
      <c r="AA20" s="56">
        <v>1.0</v>
      </c>
      <c r="AB20" s="58">
        <f>IF('27'!AA20=1,(('27'!Z20*'27'!$AS$6*'27'!$AT$6)/('27'!Y20*0.0036)),IF('27'!AA20=2,(('27'!Z20*'27'!$AS$7*'27'!$AT$7)/('27'!Y20*0.0036))))</f>
        <v>72.8541488</v>
      </c>
      <c r="AC20" s="58"/>
      <c r="AD20" s="59">
        <f>(('27'!AC20*'27'!$Q$10*1000000))/('27'!Y20*3600)</f>
        <v>0</v>
      </c>
      <c r="AE20" s="60"/>
      <c r="AF20" s="61">
        <f>('27'!AE20/24)*0.454</f>
        <v>0</v>
      </c>
      <c r="AG20" s="60"/>
      <c r="AH20" s="61">
        <f>('27'!AG20/24)*0.454</f>
        <v>0</v>
      </c>
      <c r="AI20" s="60">
        <v>5000.0</v>
      </c>
      <c r="AJ20" s="61">
        <f>('27'!AI20/24)*0.454</f>
        <v>94.58333333</v>
      </c>
      <c r="AK20" s="62"/>
      <c r="AL20" s="63">
        <f>('27'!AK20/24)*0.454</f>
        <v>0</v>
      </c>
      <c r="AM20" s="62"/>
      <c r="AN20" s="63">
        <f>('27'!AM20/24)*0.454</f>
        <v>0</v>
      </c>
      <c r="AO20" s="62"/>
      <c r="AP20" s="63">
        <f>('27'!AO20/24)*0.454</f>
        <v>0</v>
      </c>
    </row>
    <row r="21" ht="19.5" customHeight="1">
      <c r="A21" s="51" t="s">
        <v>54</v>
      </c>
      <c r="B21" s="91">
        <f>MIN('27'!B7:B18)</f>
        <v>130</v>
      </c>
      <c r="C21" s="92">
        <f>MIN('27'!C7:C18)</f>
        <v>19</v>
      </c>
      <c r="D21" s="92">
        <f>MIN('27'!D7:D18)</f>
        <v>17</v>
      </c>
      <c r="E21" s="92">
        <f>MIN('27'!E7:E18)</f>
        <v>4</v>
      </c>
      <c r="F21" s="92">
        <f>MIN('27'!F7:F18)</f>
        <v>29</v>
      </c>
      <c r="G21" s="92">
        <f>MIN('27'!G7:G18)</f>
        <v>1.1</v>
      </c>
      <c r="H21" s="100">
        <f>MIN('27'!H7:H18)</f>
        <v>1</v>
      </c>
      <c r="I21" s="100">
        <f>MIN('27'!I7:I18)</f>
        <v>0.4</v>
      </c>
      <c r="J21" s="100">
        <f>MIN('27'!J7:J18)</f>
        <v>0.4</v>
      </c>
      <c r="K21" s="100">
        <f>MIN('27'!K8:K18)</f>
        <v>6.9</v>
      </c>
      <c r="L21" s="100">
        <f>MIN('27'!L8:L18)</f>
        <v>6.3</v>
      </c>
      <c r="M21" s="100">
        <f>MIN('27'!M8:M18)</f>
        <v>6.3</v>
      </c>
      <c r="N21" s="100">
        <f>MIN('27'!N8:N18)</f>
        <v>6</v>
      </c>
      <c r="O21" s="101">
        <f>MIN('27'!O8:O18)</f>
        <v>3</v>
      </c>
      <c r="P21" s="101">
        <f>MIN('27'!P7:P18)</f>
        <v>0</v>
      </c>
      <c r="Q21" s="101">
        <f>MIN('27'!Q7:Q18)</f>
        <v>0</v>
      </c>
      <c r="R21" s="101">
        <f>MIN('27'!R7:R18)</f>
        <v>1275</v>
      </c>
      <c r="S21" s="101">
        <f>MIN('27'!S7:S18)</f>
        <v>67.50382153</v>
      </c>
      <c r="T21" s="99"/>
      <c r="U21" s="21"/>
      <c r="X21" s="54">
        <v>0.666666666666667</v>
      </c>
      <c r="Y21" s="125">
        <v>3476.0</v>
      </c>
      <c r="Z21" s="125">
        <v>1380.0</v>
      </c>
      <c r="AA21" s="56">
        <v>1.0</v>
      </c>
      <c r="AB21" s="58">
        <f>IF('27'!AA21=1,(('27'!Z21*'27'!$AS$6*'27'!$AT$6)/('27'!Y21*0.0036)),IF('27'!AA21=2,(('27'!Z21*'27'!$AS$7*'27'!$AT$7)/('27'!Y21*0.0036))))</f>
        <v>73.3362102</v>
      </c>
      <c r="AC21" s="58"/>
      <c r="AD21" s="59">
        <f>(('27'!AC21*'27'!$Q$10*1000000))/('27'!Y21*3600)</f>
        <v>0</v>
      </c>
      <c r="AE21" s="60"/>
      <c r="AF21" s="61">
        <f>('27'!AE21/24)*0.454</f>
        <v>0</v>
      </c>
      <c r="AG21" s="60"/>
      <c r="AH21" s="61">
        <f>('27'!AG21/24)*0.454</f>
        <v>0</v>
      </c>
      <c r="AI21" s="60">
        <v>5000.0</v>
      </c>
      <c r="AJ21" s="61">
        <f>('27'!AI21/24)*0.454</f>
        <v>94.58333333</v>
      </c>
      <c r="AK21" s="62"/>
      <c r="AL21" s="63">
        <f>('27'!AK21/24)*0.454</f>
        <v>0</v>
      </c>
      <c r="AM21" s="62"/>
      <c r="AN21" s="63">
        <f>('27'!AM21/24)*0.454</f>
        <v>0</v>
      </c>
      <c r="AO21" s="62"/>
      <c r="AP21" s="63">
        <f>('27'!AO21/24)*0.454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3494.0</v>
      </c>
      <c r="Z22" s="125">
        <v>1380.0</v>
      </c>
      <c r="AA22" s="56">
        <v>1.0</v>
      </c>
      <c r="AB22" s="58">
        <f>IF('27'!AA22=1,(('27'!Z22*'27'!$AS$6*'27'!$AT$6)/('27'!Y22*0.0036)),IF('27'!AA22=2,(('27'!Z22*'27'!$AS$7*'27'!$AT$7)/('27'!Y22*0.0036))))</f>
        <v>72.95840488</v>
      </c>
      <c r="AC22" s="58"/>
      <c r="AD22" s="59">
        <f>(('27'!AC22*'27'!$Q$10*1000000))/('27'!Y22*3600)</f>
        <v>0</v>
      </c>
      <c r="AE22" s="60"/>
      <c r="AF22" s="61">
        <f>('27'!AE22/24)*0.454</f>
        <v>0</v>
      </c>
      <c r="AG22" s="60"/>
      <c r="AH22" s="61">
        <f>('27'!AG22/24)*0.454</f>
        <v>0</v>
      </c>
      <c r="AI22" s="60">
        <v>5000.0</v>
      </c>
      <c r="AJ22" s="61">
        <f>('27'!AI22/24)*0.454</f>
        <v>94.58333333</v>
      </c>
      <c r="AK22" s="62"/>
      <c r="AL22" s="63">
        <f>('27'!AK22/24)*0.454</f>
        <v>0</v>
      </c>
      <c r="AM22" s="62"/>
      <c r="AN22" s="63">
        <f>('27'!AM22/24)*0.454</f>
        <v>0</v>
      </c>
      <c r="AO22" s="62"/>
      <c r="AP22" s="63">
        <f>('27'!AO22/24)*0.454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3496.0</v>
      </c>
      <c r="Z23" s="125">
        <v>1380.0</v>
      </c>
      <c r="AA23" s="56">
        <v>1.0</v>
      </c>
      <c r="AB23" s="58">
        <f>IF('27'!AA23=1,(('27'!Z23*'27'!$AS$6*'27'!$AT$6)/('27'!Y23*0.0036)),IF('27'!AA23=2,(('27'!Z23*'27'!$AS$7*'27'!$AT$7)/('27'!Y23*0.0036))))</f>
        <v>72.91666667</v>
      </c>
      <c r="AC23" s="58"/>
      <c r="AD23" s="59">
        <f>(('27'!AC23*'27'!$Q$10*1000000))/('27'!Y23*3600)</f>
        <v>0</v>
      </c>
      <c r="AE23" s="60"/>
      <c r="AF23" s="61">
        <f>('27'!AE23/24)*0.454</f>
        <v>0</v>
      </c>
      <c r="AG23" s="60"/>
      <c r="AH23" s="61">
        <f>('27'!AG23/24)*0.454</f>
        <v>0</v>
      </c>
      <c r="AI23" s="60">
        <v>5000.0</v>
      </c>
      <c r="AJ23" s="61">
        <f>('27'!AI23/24)*0.454</f>
        <v>94.58333333</v>
      </c>
      <c r="AK23" s="62"/>
      <c r="AL23" s="63">
        <f>('27'!AK23/24)*0.454</f>
        <v>0</v>
      </c>
      <c r="AM23" s="62"/>
      <c r="AN23" s="63">
        <f>('27'!AM23/24)*0.454</f>
        <v>0</v>
      </c>
      <c r="AO23" s="62"/>
      <c r="AP23" s="63">
        <f>('27'!AO23/24)*0.454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3460.0</v>
      </c>
      <c r="Z24" s="125">
        <v>1380.0</v>
      </c>
      <c r="AA24" s="56">
        <v>1.0</v>
      </c>
      <c r="AB24" s="57">
        <f>IF('27'!AA24=1,(('27'!Z24*'27'!$AS$6*'27'!$AT$6)/('27'!Y24*0.0036)),IF('27'!AA24=2,(('27'!Z24*'27'!$AS$7*'27'!$AT$7)/('27'!Y24*0.0036))))</f>
        <v>73.67533719</v>
      </c>
      <c r="AC24" s="58"/>
      <c r="AD24" s="59">
        <f>(('27'!AC24*'27'!$Q$10*1000000))/('27'!Y24*3600)</f>
        <v>0</v>
      </c>
      <c r="AE24" s="60"/>
      <c r="AF24" s="311">
        <f>('27'!AE24/24)*0.454</f>
        <v>0</v>
      </c>
      <c r="AG24" s="125"/>
      <c r="AH24" s="311">
        <f>('27'!AG24/24)*0.454</f>
        <v>0</v>
      </c>
      <c r="AI24" s="60">
        <v>5000.0</v>
      </c>
      <c r="AJ24" s="311">
        <f>('27'!AI24/24)*0.454</f>
        <v>94.58333333</v>
      </c>
      <c r="AK24" s="62"/>
      <c r="AL24" s="110">
        <f>('27'!AK24/24)*0.454</f>
        <v>0</v>
      </c>
      <c r="AM24" s="312"/>
      <c r="AN24" s="110">
        <f>('27'!AM24/24)*0.454</f>
        <v>0</v>
      </c>
      <c r="AO24" s="62"/>
      <c r="AP24" s="110">
        <f>('27'!AO24/24)*0.454</f>
        <v>0</v>
      </c>
    </row>
    <row r="25" ht="19.5" customHeight="1">
      <c r="A25" s="111">
        <v>0.416666666666667</v>
      </c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112" t="str">
        <f t="shared" ref="R25:R26" si="1">#DIV/0!</f>
        <v>#DIV/0!</v>
      </c>
      <c r="S25" s="113"/>
      <c r="T25" s="503" t="s">
        <v>0</v>
      </c>
      <c r="U25" s="361">
        <f>ESCALA!$A$29</f>
        <v>43948</v>
      </c>
      <c r="X25" s="54">
        <v>0.833333333333333</v>
      </c>
      <c r="Y25" s="125">
        <v>3489.0</v>
      </c>
      <c r="Z25" s="125">
        <v>1275.0</v>
      </c>
      <c r="AA25" s="56">
        <v>1.0</v>
      </c>
      <c r="AB25" s="58">
        <f>IF('27'!AA25=1,(('27'!Z25*'27'!$AS$6*'27'!$AT$6)/('27'!Y25*0.0036)),IF('27'!AA25=2,(('27'!Z25*'27'!$AS$7*'27'!$AT$7)/('27'!Y25*0.0036))))</f>
        <v>67.50382153</v>
      </c>
      <c r="AC25" s="58"/>
      <c r="AD25" s="59">
        <f>(('27'!AC25*'27'!$Q$10*1000000))/('27'!Y25*3600)</f>
        <v>0</v>
      </c>
      <c r="AE25" s="60"/>
      <c r="AF25" s="61">
        <f>('27'!AE25/24)*0.454</f>
        <v>0</v>
      </c>
      <c r="AG25" s="60"/>
      <c r="AH25" s="61">
        <f>('27'!AG25/24)*0.454</f>
        <v>0</v>
      </c>
      <c r="AI25" s="60">
        <v>5000.0</v>
      </c>
      <c r="AJ25" s="61">
        <f>('27'!AI25/24)*0.454</f>
        <v>94.58333333</v>
      </c>
      <c r="AK25" s="62"/>
      <c r="AL25" s="63">
        <f>('27'!AK25/24)*0.454</f>
        <v>0</v>
      </c>
      <c r="AM25" s="62"/>
      <c r="AN25" s="63">
        <f>('27'!AM25/24)*0.454</f>
        <v>0</v>
      </c>
      <c r="AO25" s="62"/>
      <c r="AP25" s="63">
        <f>('27'!AO25/24)*0.454</f>
        <v>0</v>
      </c>
    </row>
    <row r="26" ht="19.5" customHeight="1">
      <c r="A26" s="111">
        <v>0.666666666666667</v>
      </c>
      <c r="B26" s="313"/>
      <c r="C26" s="313"/>
      <c r="D26" s="313"/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112" t="str">
        <f t="shared" si="1"/>
        <v>#DIV/0!</v>
      </c>
      <c r="S26" s="116"/>
      <c r="T26" s="117"/>
      <c r="U26" s="118"/>
      <c r="X26" s="54">
        <v>0.875</v>
      </c>
      <c r="Y26" s="125">
        <v>3467.0</v>
      </c>
      <c r="Z26" s="125">
        <v>1275.0</v>
      </c>
      <c r="AA26" s="56">
        <v>1.0</v>
      </c>
      <c r="AB26" s="58">
        <f>IF('27'!AA26=1,(('27'!Z26*'27'!$AS$6*'27'!$AT$6)/('27'!Y26*0.0036)),IF('27'!AA26=2,(('27'!Z26*'27'!$AS$7*'27'!$AT$7)/('27'!Y26*0.0036))))</f>
        <v>67.93216998</v>
      </c>
      <c r="AC26" s="58"/>
      <c r="AD26" s="59">
        <f>(('27'!AC26*'27'!$Q$10*1000000))/('27'!Y26*3600)</f>
        <v>0</v>
      </c>
      <c r="AE26" s="60"/>
      <c r="AF26" s="61">
        <f>('27'!AE26/24)*0.454</f>
        <v>0</v>
      </c>
      <c r="AG26" s="60"/>
      <c r="AH26" s="61">
        <f>('27'!AG26/24)*0.454</f>
        <v>0</v>
      </c>
      <c r="AI26" s="60">
        <v>5000.0</v>
      </c>
      <c r="AJ26" s="61">
        <f>('27'!AI26/24)*0.454</f>
        <v>94.58333333</v>
      </c>
      <c r="AK26" s="62"/>
      <c r="AL26" s="63">
        <f>('27'!AK26/24)*0.454</f>
        <v>0</v>
      </c>
      <c r="AM26" s="62"/>
      <c r="AN26" s="63">
        <f>('27'!AM26/24)*0.454</f>
        <v>0</v>
      </c>
      <c r="AO26" s="62"/>
      <c r="AP26" s="63">
        <f>('27'!AO26/24)*0.454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3438.0</v>
      </c>
      <c r="Z27" s="125">
        <v>1275.0</v>
      </c>
      <c r="AA27" s="56">
        <v>1.0</v>
      </c>
      <c r="AB27" s="58">
        <f>IF('27'!AA27=1,(('27'!Z27*'27'!$AS$6*'27'!$AT$6)/('27'!Y27*0.0036)),IF('27'!AA27=2,(('27'!Z27*'27'!$AS$7*'27'!$AT$7)/('27'!Y27*0.0036))))</f>
        <v>68.50518712</v>
      </c>
      <c r="AC27" s="58"/>
      <c r="AD27" s="59">
        <f>(('27'!AC27*'27'!$Q$10*1000000))/('27'!Y27*3600)</f>
        <v>0</v>
      </c>
      <c r="AE27" s="60"/>
      <c r="AF27" s="61">
        <f>('27'!AE27/24)*0.454</f>
        <v>0</v>
      </c>
      <c r="AG27" s="60"/>
      <c r="AH27" s="61">
        <f>('27'!AG27/24)*0.454</f>
        <v>0</v>
      </c>
      <c r="AI27" s="60">
        <v>5000.0</v>
      </c>
      <c r="AJ27" s="61">
        <f>('27'!AI27/24)*0.454</f>
        <v>94.58333333</v>
      </c>
      <c r="AK27" s="62"/>
      <c r="AL27" s="63">
        <f>('27'!AK27/24)*0.454</f>
        <v>0</v>
      </c>
      <c r="AM27" s="62"/>
      <c r="AN27" s="63">
        <f>('27'!AM27/24)*0.454</f>
        <v>0</v>
      </c>
      <c r="AO27" s="62"/>
      <c r="AP27" s="63">
        <f>('27'!AO27/24)*0.454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3473.0</v>
      </c>
      <c r="Z28" s="125">
        <v>1275.0</v>
      </c>
      <c r="AA28" s="56">
        <v>1.0</v>
      </c>
      <c r="AB28" s="58">
        <f>IF('27'!AA28=1,(('27'!Z28*'27'!$AS$6*'27'!$AT$6)/('27'!Y28*0.0036)),IF('27'!AA28=2,(('27'!Z28*'27'!$AS$7*'27'!$AT$7)/('27'!Y28*0.0036))))</f>
        <v>67.81480948</v>
      </c>
      <c r="AC28" s="58"/>
      <c r="AD28" s="59">
        <f>(('27'!AC28*'27'!$Q$10*1000000))/('27'!Y28*3600)</f>
        <v>0</v>
      </c>
      <c r="AE28" s="60"/>
      <c r="AF28" s="61">
        <f>('27'!AE28/24)*0.454</f>
        <v>0</v>
      </c>
      <c r="AG28" s="60"/>
      <c r="AH28" s="61">
        <f>('27'!AG28/24)*0.454</f>
        <v>0</v>
      </c>
      <c r="AI28" s="60">
        <v>5000.0</v>
      </c>
      <c r="AJ28" s="61">
        <f>('27'!AI28/24)*0.454</f>
        <v>94.58333333</v>
      </c>
      <c r="AK28" s="62"/>
      <c r="AL28" s="63">
        <f>('27'!AK28/24)*0.454</f>
        <v>0</v>
      </c>
      <c r="AM28" s="62"/>
      <c r="AN28" s="63">
        <f>('27'!AM28/24)*0.454</f>
        <v>0</v>
      </c>
      <c r="AO28" s="62"/>
      <c r="AP28" s="63">
        <f>('27'!AO28/24)*0.454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3470.0</v>
      </c>
      <c r="Z29" s="125">
        <v>1275.0</v>
      </c>
      <c r="AA29" s="56">
        <v>1.0</v>
      </c>
      <c r="AB29" s="58">
        <f>IF('27'!AA29=1,(('27'!Z29*'27'!$AS$6*'27'!$AT$6)/('27'!Y29*0.0036)),IF('27'!AA29=2,(('27'!Z29*'27'!$AS$7*'27'!$AT$7)/('27'!Y29*0.0036))))</f>
        <v>67.873439</v>
      </c>
      <c r="AC29" s="58"/>
      <c r="AD29" s="59">
        <f>(('27'!AC29*'27'!$Q$10*1000000))/('27'!Y29*3600)</f>
        <v>0</v>
      </c>
      <c r="AE29" s="60"/>
      <c r="AF29" s="61">
        <f>('27'!AE29/24)*0.454</f>
        <v>0</v>
      </c>
      <c r="AG29" s="60"/>
      <c r="AH29" s="61">
        <f>('27'!AG29/24)*0.454</f>
        <v>0</v>
      </c>
      <c r="AI29" s="60">
        <v>5000.0</v>
      </c>
      <c r="AJ29" s="61">
        <f>('27'!AI29/24)*0.454</f>
        <v>94.58333333</v>
      </c>
      <c r="AK29" s="62"/>
      <c r="AL29" s="63">
        <f>('27'!AK29/24)*0.454</f>
        <v>0</v>
      </c>
      <c r="AM29" s="62"/>
      <c r="AN29" s="63">
        <f>('27'!AM29/24)*0.454</f>
        <v>0</v>
      </c>
      <c r="AO29" s="62"/>
      <c r="AP29" s="63">
        <f>('27'!AO29/24)*0.454</f>
        <v>0</v>
      </c>
    </row>
    <row r="30" ht="18.75" customHeight="1">
      <c r="A30" s="43"/>
      <c r="U30" s="27"/>
      <c r="X30" s="130" t="s">
        <v>55</v>
      </c>
      <c r="Y30" s="131">
        <f>SUM('27'!Y6:Y29)*3.6</f>
        <v>300888</v>
      </c>
      <c r="Z30" s="132">
        <f>SUM('27'!Z6:Z29)</f>
        <v>32895</v>
      </c>
      <c r="AA30" s="133"/>
      <c r="AB30" s="132"/>
      <c r="AC30" s="133"/>
      <c r="AD30" s="132"/>
      <c r="AE30" s="60"/>
      <c r="AF30" s="61">
        <f>SUM('27'!AF6:AF29)</f>
        <v>0</v>
      </c>
      <c r="AG30" s="60"/>
      <c r="AH30" s="61">
        <f>SUM('27'!AH6:AH29)</f>
        <v>0</v>
      </c>
      <c r="AI30" s="60"/>
      <c r="AJ30" s="61">
        <f>SUM('27'!AJ6:AJ29)</f>
        <v>2270</v>
      </c>
      <c r="AK30" s="62"/>
      <c r="AL30" s="63">
        <f>SUM('27'!AL6:AL29)</f>
        <v>0</v>
      </c>
      <c r="AM30" s="62"/>
      <c r="AN30" s="63">
        <f>SUM('27'!AN6:AN29)</f>
        <v>0</v>
      </c>
      <c r="AO30" s="62"/>
      <c r="AP30" s="63">
        <f>SUM('27'!AP6:AP29)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SUMIF('28'!AA6:AA29,"=1",'28'!Z6:Z29)</f>
        <v>29800</v>
      </c>
      <c r="AA32" s="132">
        <f>'28'!Z32*'28'!AS6</f>
        <v>39634</v>
      </c>
      <c r="AB32" s="139">
        <f>SUMIF('28'!$AA$6:$AA$29,"=1",'28'!$AB$6:$AB$29)/COUNTIF('28'!$AA$6:$AA$29,"=1")</f>
        <v>66.21068685</v>
      </c>
      <c r="AC32" s="140">
        <f>SUMIF('28'!AA6:AA29,"=1",'28'!AC6:AC29)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SUMIF('27'!AA6:AA29,"=2",'27'!Z6:Z29)</f>
        <v>0</v>
      </c>
      <c r="AA33" s="132">
        <f>'27'!Z33*'27'!AS7</f>
        <v>0</v>
      </c>
      <c r="AB33" s="139" t="str">
        <f>SUMIF('27'!$AA$6:$AA$29,"=2",'27'!$AB$6:$AB$29)/COUNTIF('27'!$AA$6:$AA$29,"=2")</f>
        <v>#DIV/0!</v>
      </c>
      <c r="AC33" s="145">
        <f>SUMIF('27'!AA6:AA29,"=2",'27'!AC6:AC29)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AVERAGE('27'!Y6:Y29)</f>
        <v>3482.5</v>
      </c>
      <c r="Z34" s="56">
        <f>AVERAGE('27'!Z6:Z29)</f>
        <v>1370.625</v>
      </c>
      <c r="AA34" s="152"/>
      <c r="AB34" s="152"/>
      <c r="AC34" s="153" t="str">
        <f>SUM('27'!AC6:AC29)/COUNTIF('27'!AC6:AC29,"&lt;&gt;0")</f>
        <v>#DIV/0!</v>
      </c>
      <c r="AD34" s="154" t="str">
        <f>SUM('27'!AD6:AD29)/COUNTIF('27'!AD6:AD29,"&lt;&gt;0")</f>
        <v>#DIV/0!</v>
      </c>
      <c r="AE34" s="133"/>
      <c r="AF34" s="153">
        <f>AVERAGE('27'!AF6:AF29)</f>
        <v>0</v>
      </c>
      <c r="AG34" s="153"/>
      <c r="AH34" s="153">
        <f>AVERAGE('27'!AH6:AH29)</f>
        <v>0</v>
      </c>
      <c r="AI34" s="153"/>
      <c r="AJ34" s="153">
        <f>'27'!AJ30/24</f>
        <v>94.58333333</v>
      </c>
      <c r="AK34" s="153"/>
      <c r="AL34" s="153">
        <f>AVERAGE('27'!AL6:AL29)</f>
        <v>0</v>
      </c>
      <c r="AM34" s="153"/>
      <c r="AN34" s="153">
        <f>AVERAGE('27'!AN6:AN29)</f>
        <v>0</v>
      </c>
      <c r="AO34" s="153"/>
      <c r="AP34" s="153">
        <f>AVERAGE('27'!AP6:AP29)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58.2</v>
      </c>
      <c r="D37" s="51">
        <v>34.1</v>
      </c>
      <c r="E37" s="464">
        <v>25.1</v>
      </c>
      <c r="F37" s="76">
        <v>1.0</v>
      </c>
      <c r="G37" s="60">
        <v>0.1</v>
      </c>
      <c r="H37" s="60">
        <v>0.1</v>
      </c>
      <c r="I37" s="60">
        <v>0.15</v>
      </c>
      <c r="J37" s="60">
        <v>0.06</v>
      </c>
      <c r="K37" s="60">
        <v>0.03</v>
      </c>
      <c r="L37" s="52">
        <v>0.15</v>
      </c>
      <c r="M37" s="106"/>
      <c r="N37" s="157"/>
      <c r="O37" s="51"/>
      <c r="P37" s="51"/>
      <c r="Q37" s="51"/>
      <c r="R37" s="51"/>
      <c r="S37" s="51"/>
      <c r="T37" s="51"/>
      <c r="U37" s="365" t="str">
        <f>'27'!V12</f>
        <v/>
      </c>
      <c r="X37" s="169" t="s">
        <v>75</v>
      </c>
      <c r="Y37" s="128"/>
      <c r="Z37" s="170">
        <f>COUNTA('27'!Z6:Z29)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SUM('27'!AF30+'27'!AH30)</f>
        <v>0</v>
      </c>
      <c r="AL38" s="178" t="s">
        <v>78</v>
      </c>
      <c r="AM38" s="179">
        <f>SUM('27'!AL30+'27'!AN30)</f>
        <v>0</v>
      </c>
      <c r="AO38" s="178" t="s">
        <v>78</v>
      </c>
      <c r="AP38" s="180">
        <f>'27'!AJ30</f>
        <v>2270</v>
      </c>
      <c r="AQ38" s="178" t="s">
        <v>78</v>
      </c>
      <c r="AR38" s="179">
        <f>'27'!AP30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('27'!AK38/'27'!Y30)*1000</f>
        <v>0</v>
      </c>
      <c r="AL39" s="327" t="s">
        <v>86</v>
      </c>
      <c r="AM39" s="328">
        <f>('27'!AM38/'27'!Y30)*1000</f>
        <v>0</v>
      </c>
      <c r="AO39" s="325" t="s">
        <v>86</v>
      </c>
      <c r="AP39" s="326">
        <f>('27'!AP38/'27'!Y30)*1000</f>
        <v>7.544335434</v>
      </c>
      <c r="AQ39" s="327" t="s">
        <v>86</v>
      </c>
      <c r="AR39" s="328">
        <f>('27'!AR38/'27'!Y30)*1000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SUM('27'!AK38,'27'!AM38)</f>
        <v>0</v>
      </c>
      <c r="AM40" s="128"/>
      <c r="AO40" s="210" t="s">
        <v>90</v>
      </c>
      <c r="AP40" s="128"/>
      <c r="AQ40" s="211">
        <f>SUM('27'!AP38,'27'!AR38)</f>
        <v>2270</v>
      </c>
      <c r="AR40" s="128"/>
    </row>
    <row r="41" ht="16.5" customHeight="1">
      <c r="A41" s="212">
        <f>COUNTA('27'!E7:E18)</f>
        <v>12</v>
      </c>
      <c r="B41" s="213">
        <f>COUNTA('27'!I7:I18)</f>
        <v>12</v>
      </c>
      <c r="C41" s="214">
        <f>COUNTA('27'!J7:J18)</f>
        <v>12</v>
      </c>
      <c r="D41" s="80"/>
      <c r="E41" s="214">
        <f>COUNTIF('27'!E7:E18,"&gt;15")</f>
        <v>0</v>
      </c>
      <c r="F41" s="80"/>
      <c r="G41" s="214">
        <f>COUNTIF('27'!J7:J18,"&gt;1")</f>
        <v>0</v>
      </c>
      <c r="H41" s="80"/>
      <c r="I41" s="215"/>
      <c r="J41" s="214">
        <f>'27'!A41-'27'!E41</f>
        <v>12</v>
      </c>
      <c r="K41" s="80"/>
      <c r="L41" s="214">
        <f>'27'!C41-'27'!G41</f>
        <v>12</v>
      </c>
      <c r="M41" s="80"/>
      <c r="N41" s="215"/>
      <c r="O41" s="216">
        <f>COUNTIF('27'!J7:J18,"&lt;=0,5")</f>
        <v>9</v>
      </c>
      <c r="P41" s="217"/>
      <c r="Q41" s="218"/>
      <c r="R41" s="219"/>
      <c r="S41" s="220">
        <f>COUNTIF('27'!J7:J18,"&lt;=1,0")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SUM(('27'!AK38+'27'!AM38)/'27'!Y30)*1000</f>
        <v>0</v>
      </c>
      <c r="AM41" s="128"/>
      <c r="AO41" s="210" t="s">
        <v>91</v>
      </c>
      <c r="AP41" s="128"/>
      <c r="AQ41" s="223">
        <f>SUM(('27'!AP38+'27'!AR38)/'27'!Y30)*1000</f>
        <v>7.544335434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SUM('27'!Y45,'27'!AA45,'27'!AC45,'27'!AE45)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COUNTIF('27'!I7:I18,"&lt;=5,0")</f>
        <v>12</v>
      </c>
      <c r="I45" s="127"/>
      <c r="J45" s="128"/>
      <c r="K45" s="215"/>
      <c r="L45" s="208">
        <f>COUNTA('27'!L37)</f>
        <v>1</v>
      </c>
      <c r="M45" s="128"/>
      <c r="O45" s="248"/>
      <c r="P45" s="249"/>
      <c r="Q45" s="250">
        <f>'27'!S41-'27'!O41</f>
        <v>3</v>
      </c>
      <c r="R45" s="251"/>
      <c r="S45" s="252"/>
      <c r="T45" s="253"/>
      <c r="X45" s="133" t="s">
        <v>104</v>
      </c>
      <c r="Y45" s="254">
        <f>'27'!Y44*275.3</f>
        <v>0</v>
      </c>
      <c r="Z45" s="133" t="s">
        <v>104</v>
      </c>
      <c r="AA45" s="254">
        <f>262.4*'27'!AA44</f>
        <v>0</v>
      </c>
      <c r="AB45" s="133" t="s">
        <v>104</v>
      </c>
      <c r="AC45" s="254">
        <f>'27'!AC44*277.7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422"/>
      <c r="AP45" s="89"/>
      <c r="AQ45" s="237"/>
      <c r="AR45" s="238"/>
    </row>
    <row r="46" ht="15.75" customHeight="1">
      <c r="F46" s="257"/>
      <c r="X46" s="196" t="s">
        <v>105</v>
      </c>
      <c r="Y46" s="258">
        <f>'27'!AS6</f>
        <v>1.33</v>
      </c>
      <c r="Z46" s="196" t="s">
        <v>105</v>
      </c>
      <c r="AA46" s="258">
        <f>'27'!Y46</f>
        <v>1.33</v>
      </c>
      <c r="AB46" s="196" t="s">
        <v>105</v>
      </c>
      <c r="AC46" s="258">
        <f>'27'!Y46</f>
        <v>1.33</v>
      </c>
      <c r="AD46" s="196" t="s">
        <v>105</v>
      </c>
      <c r="AE46" s="259">
        <f>'27'!Y46</f>
        <v>1.33</v>
      </c>
      <c r="AF46" s="260" t="s">
        <v>106</v>
      </c>
      <c r="AG46" s="261">
        <f>SUM('27'!Y47,'27'!AA47,'27'!AC47,'27'!AE47)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P46" s="27"/>
      <c r="AQ46" s="244" t="s">
        <v>102</v>
      </c>
      <c r="AR46" s="245">
        <f>SUM('10'!AJ47,'10'!AL47,'10'!AN47,'10'!AP47)</f>
        <v>0</v>
      </c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'27'!Y45*'27'!Y46</f>
        <v>0</v>
      </c>
      <c r="Z47" s="133" t="s">
        <v>108</v>
      </c>
      <c r="AA47" s="254">
        <f>'27'!AA45*'27'!AA46</f>
        <v>0</v>
      </c>
      <c r="AB47" s="133" t="s">
        <v>108</v>
      </c>
      <c r="AC47" s="254">
        <f>'27'!AC45*'27'!AC46</f>
        <v>0</v>
      </c>
      <c r="AD47" s="133" t="s">
        <v>108</v>
      </c>
      <c r="AE47" s="254">
        <f>'27'!AE45*'27'!AE46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P47" s="27"/>
      <c r="AQ47" s="46"/>
      <c r="AR47" s="46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P48" s="27"/>
      <c r="AQ48" s="260" t="s">
        <v>106</v>
      </c>
      <c r="AR48" s="261">
        <f>SUM('10'!AJ49,'10'!AL49,'10'!AN49,'10'!AP49)</f>
        <v>0</v>
      </c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8"/>
      <c r="AQ49" s="46"/>
      <c r="AR49" s="46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COUNTA('27'!O7:O18)</f>
        <v>12</v>
      </c>
      <c r="P51" s="128"/>
      <c r="R51" s="247">
        <f>COUNTIF('27'!O7:O18,"&gt;=0,5")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SUM('27'!Y53,'27'!AA53,'27'!AC53,'27'!AE53)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422"/>
      <c r="AP52" s="89"/>
      <c r="AQ52" s="270"/>
      <c r="AR52" s="271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'27'!Y52*275.3</f>
        <v>0</v>
      </c>
      <c r="Z53" s="133" t="s">
        <v>104</v>
      </c>
      <c r="AA53" s="254">
        <f>262.4*'27'!AA52</f>
        <v>0</v>
      </c>
      <c r="AB53" s="133" t="s">
        <v>104</v>
      </c>
      <c r="AC53" s="276">
        <f>'27'!AC52*277.7</f>
        <v>0</v>
      </c>
      <c r="AD53" s="133" t="s">
        <v>104</v>
      </c>
      <c r="AE53" s="352">
        <v>0.0</v>
      </c>
      <c r="AF53" s="46"/>
      <c r="AG53" s="46"/>
      <c r="AI53" s="68" t="s">
        <v>101</v>
      </c>
      <c r="AJ53" s="275"/>
      <c r="AK53" s="68" t="s">
        <v>101</v>
      </c>
      <c r="AL53" s="272"/>
      <c r="AM53" s="68" t="s">
        <v>101</v>
      </c>
      <c r="AN53" s="272"/>
      <c r="AO53" s="43"/>
      <c r="AP53" s="27"/>
      <c r="AQ53" s="244" t="s">
        <v>102</v>
      </c>
      <c r="AR53" s="245">
        <f>'10'!AJ54+'10'!AL54+'10'!AN54+'10'!AP54</f>
        <v>0</v>
      </c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'27'!AS7</f>
        <v>1.377</v>
      </c>
      <c r="Z54" s="196" t="s">
        <v>105</v>
      </c>
      <c r="AA54" s="258">
        <f>'27'!Y54</f>
        <v>1.377</v>
      </c>
      <c r="AB54" s="196" t="s">
        <v>105</v>
      </c>
      <c r="AC54" s="258">
        <f>'27'!Y54</f>
        <v>1.377</v>
      </c>
      <c r="AD54" s="196" t="s">
        <v>105</v>
      </c>
      <c r="AE54" s="329">
        <v>1.377</v>
      </c>
      <c r="AF54" s="260" t="s">
        <v>106</v>
      </c>
      <c r="AG54" s="261">
        <f>SUM('27'!Y55,'27'!AA55,'27'!AC55,'27'!AE55)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262.4*AL53</f>
        <v>0</v>
      </c>
      <c r="AM54" s="133" t="s">
        <v>104</v>
      </c>
      <c r="AN54" s="276">
        <f>AN53*277.7</f>
        <v>0</v>
      </c>
      <c r="AO54" s="43"/>
      <c r="AP54" s="27"/>
      <c r="AQ54" s="46"/>
      <c r="AR54" s="46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'27'!Y53*'27'!Y54</f>
        <v>0</v>
      </c>
      <c r="Z55" s="133" t="s">
        <v>108</v>
      </c>
      <c r="AA55" s="254">
        <f>'27'!AA53*'27'!AA54</f>
        <v>0</v>
      </c>
      <c r="AB55" s="133" t="s">
        <v>108</v>
      </c>
      <c r="AC55" s="254">
        <f>'27'!AC53*'27'!AC54</f>
        <v>0</v>
      </c>
      <c r="AD55" s="133" t="s">
        <v>108</v>
      </c>
      <c r="AE55" s="254">
        <f>'27'!AE53*'27'!AE54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>
        <f>AJ55</f>
        <v>1.377</v>
      </c>
      <c r="AM55" s="196" t="s">
        <v>105</v>
      </c>
      <c r="AN55" s="258">
        <f>AJ55</f>
        <v>1.377</v>
      </c>
      <c r="AO55" s="43"/>
      <c r="AP55" s="27"/>
      <c r="AQ55" s="260" t="s">
        <v>106</v>
      </c>
      <c r="AR55" s="261">
        <f>SUM('10'!AJ56,'10'!AL56,'10'!AN56,'10'!AP56)</f>
        <v>0</v>
      </c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AL54*AL55</f>
        <v>0</v>
      </c>
      <c r="AM56" s="133" t="s">
        <v>108</v>
      </c>
      <c r="AN56" s="254">
        <f>AN54*AN55</f>
        <v>0</v>
      </c>
      <c r="AO56" s="16"/>
      <c r="AP56" s="18"/>
      <c r="AQ56" s="46"/>
      <c r="AR56" s="46"/>
    </row>
    <row r="57" ht="15.75" customHeight="1">
      <c r="O57" s="169">
        <f>COUNTA('27'!N7:N18)</f>
        <v>12</v>
      </c>
      <c r="P57" s="128"/>
      <c r="R57" s="277">
        <f>COUNTIF('27'!N7:N18,"&gt;=6")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39634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>
        <v>0.0</v>
      </c>
      <c r="AE63" s="97" t="s">
        <v>159</v>
      </c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-39634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'26'!$Y$68</f>
        <v>-16031.875</v>
      </c>
      <c r="Z65" s="43"/>
      <c r="AA65" s="27"/>
      <c r="AB65" s="299" t="s">
        <v>126</v>
      </c>
      <c r="AC65" s="330">
        <f>'26'!$AC$68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SUM('27'!AK38,'27'!AP38)</f>
        <v>2270</v>
      </c>
      <c r="Z67" s="43"/>
      <c r="AA67" s="27"/>
      <c r="AB67" s="296" t="s">
        <v>124</v>
      </c>
      <c r="AC67" s="254">
        <f>SUM('27'!AM38,'27'!AR38)</f>
        <v>0</v>
      </c>
    </row>
    <row r="68" ht="15.75" customHeight="1">
      <c r="X68" s="294" t="s">
        <v>128</v>
      </c>
      <c r="Y68" s="301">
        <f>SUM('27'!Y63,'27'!Y65)-'27'!Y67</f>
        <v>-18301.875</v>
      </c>
      <c r="Z68" s="16"/>
      <c r="AA68" s="18"/>
      <c r="AB68" s="296" t="s">
        <v>128</v>
      </c>
      <c r="AC68" s="302">
        <f>SUM('27'!AC63,'27'!AC65)-'27'!AC67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X$35:$AD$37"/>
  <mergeCells count="178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AO40:AP40"/>
    <mergeCell ref="AO41:AP41"/>
    <mergeCell ref="AI44:AR44"/>
    <mergeCell ref="X41:AG41"/>
    <mergeCell ref="X42:AG42"/>
    <mergeCell ref="E40:F40"/>
    <mergeCell ref="G40:H40"/>
    <mergeCell ref="X40:AG40"/>
    <mergeCell ref="AL40:AM40"/>
    <mergeCell ref="AQ40:AR40"/>
    <mergeCell ref="AL41:AM41"/>
    <mergeCell ref="AQ41:AR41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J40:K40"/>
    <mergeCell ref="L40:M40"/>
    <mergeCell ref="O39:Q40"/>
    <mergeCell ref="O41:Q41"/>
    <mergeCell ref="O42:T42"/>
    <mergeCell ref="Q43:S44"/>
    <mergeCell ref="X43:Y43"/>
    <mergeCell ref="Z43:AA43"/>
    <mergeCell ref="AB43:AC43"/>
    <mergeCell ref="AQ53:AQ54"/>
    <mergeCell ref="AR53:AR54"/>
    <mergeCell ref="AQ55:AQ56"/>
    <mergeCell ref="AR55:AR56"/>
    <mergeCell ref="AF54:AF55"/>
    <mergeCell ref="AG54:AG55"/>
    <mergeCell ref="O55:P56"/>
    <mergeCell ref="R55:T56"/>
    <mergeCell ref="O57:P57"/>
    <mergeCell ref="R57:T57"/>
    <mergeCell ref="X58:AC58"/>
    <mergeCell ref="AD52:AE52"/>
    <mergeCell ref="AF52:AF53"/>
    <mergeCell ref="AG52:AG53"/>
    <mergeCell ref="AI52:AJ52"/>
    <mergeCell ref="AK52:AL52"/>
    <mergeCell ref="AM52:AN52"/>
    <mergeCell ref="AO52:AP56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59:AR59"/>
    <mergeCell ref="AI60:AM60"/>
    <mergeCell ref="AN60:AR60"/>
    <mergeCell ref="AI61:AK61"/>
    <mergeCell ref="AL61:AM61"/>
    <mergeCell ref="AN61:AP61"/>
    <mergeCell ref="AQ61:AR61"/>
    <mergeCell ref="X62:Y62"/>
    <mergeCell ref="X66:Y66"/>
    <mergeCell ref="X59:AC59"/>
    <mergeCell ref="X60:Y60"/>
    <mergeCell ref="Z60:AA60"/>
    <mergeCell ref="AB60:AC60"/>
    <mergeCell ref="X61:AC61"/>
    <mergeCell ref="Z62:AA68"/>
    <mergeCell ref="AB62:AC62"/>
    <mergeCell ref="AB66:AC66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O45:AP49"/>
    <mergeCell ref="AQ46:AQ47"/>
    <mergeCell ref="AR46:AR47"/>
    <mergeCell ref="AQ48:AQ49"/>
    <mergeCell ref="AR48:AR49"/>
    <mergeCell ref="AI51:AR51"/>
    <mergeCell ref="AD43:AE43"/>
    <mergeCell ref="AD44:AE44"/>
    <mergeCell ref="AG44:AG45"/>
    <mergeCell ref="AI45:AJ45"/>
    <mergeCell ref="AK45:AL45"/>
    <mergeCell ref="AM45:AN45"/>
    <mergeCell ref="AG46:AG47"/>
    <mergeCell ref="Q45:S45"/>
    <mergeCell ref="O47:T48"/>
    <mergeCell ref="O49:P50"/>
    <mergeCell ref="R49:T50"/>
    <mergeCell ref="O51:P51"/>
    <mergeCell ref="R51:T51"/>
    <mergeCell ref="O53:T54"/>
    <mergeCell ref="AF44:AF45"/>
    <mergeCell ref="AF46:AF47"/>
    <mergeCell ref="X50:AG50"/>
    <mergeCell ref="X51:Y51"/>
    <mergeCell ref="Z51:AA51"/>
    <mergeCell ref="AB51:AC51"/>
    <mergeCell ref="AD51:AE51"/>
  </mergeCells>
  <conditionalFormatting sqref="O19: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1" width="8.71"/>
    <col customWidth="1" min="22" max="22" width="8.57"/>
    <col customWidth="1" min="23" max="23" width="8.14"/>
    <col customWidth="1" min="24" max="24" width="8.57"/>
    <col customWidth="1" min="25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30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152</v>
      </c>
      <c r="AF4" s="32" t="s">
        <v>153</v>
      </c>
      <c r="AG4" s="32" t="s">
        <v>154</v>
      </c>
      <c r="AH4" s="32" t="s">
        <v>155</v>
      </c>
      <c r="AI4" s="32" t="s">
        <v>156</v>
      </c>
      <c r="AJ4" s="32" t="s">
        <v>157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3454.0</v>
      </c>
      <c r="Z6" s="125">
        <v>1275.0</v>
      </c>
      <c r="AA6" s="56">
        <v>1.0</v>
      </c>
      <c r="AB6" s="58">
        <f>IF('28'!AA6=1,(('28'!Z6*'28'!$AS$6*'28'!$AT$6)/('28'!Y6*0.0036)),IF('28'!AA6=2,(('28'!Z6*'28'!$AS$7*'28'!$AT$7)/('28'!Y6*0.0036))))</f>
        <v>68.18784984</v>
      </c>
      <c r="AC6" s="58"/>
      <c r="AD6" s="59">
        <f>(('28'!AC6*'28'!$Q$10*1000000))/('28'!Y6*3600)</f>
        <v>0</v>
      </c>
      <c r="AE6" s="60"/>
      <c r="AF6" s="61">
        <f>('28'!AE6/24)*0.454</f>
        <v>0</v>
      </c>
      <c r="AG6" s="60"/>
      <c r="AH6" s="61">
        <f>('28'!AG6/24)*0.454</f>
        <v>0</v>
      </c>
      <c r="AI6" s="308">
        <v>5000.0</v>
      </c>
      <c r="AJ6" s="61">
        <f>('28'!AI6/24)*0.454</f>
        <v>94.58333333</v>
      </c>
      <c r="AK6" s="62"/>
      <c r="AL6" s="63">
        <f>('28'!AK6/24)*0.454</f>
        <v>0</v>
      </c>
      <c r="AM6" s="62"/>
      <c r="AN6" s="63">
        <f>('28'!AM6/24)*0.454</f>
        <v>0</v>
      </c>
      <c r="AO6" s="62"/>
      <c r="AP6" s="63">
        <f>('28'!AO6/24)*0.454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145.0</v>
      </c>
      <c r="C7" s="76">
        <v>20.0</v>
      </c>
      <c r="D7" s="76">
        <v>16.0</v>
      </c>
      <c r="E7" s="76">
        <v>5.0</v>
      </c>
      <c r="F7" s="76">
        <v>31.0</v>
      </c>
      <c r="G7" s="76">
        <v>1.1</v>
      </c>
      <c r="H7" s="76">
        <v>1.0</v>
      </c>
      <c r="I7" s="76">
        <v>0.4</v>
      </c>
      <c r="J7" s="76">
        <v>0.5</v>
      </c>
      <c r="K7" s="76">
        <v>6.9</v>
      </c>
      <c r="L7" s="76">
        <v>6.3</v>
      </c>
      <c r="M7" s="76">
        <v>6.3</v>
      </c>
      <c r="N7" s="76">
        <v>6.1</v>
      </c>
      <c r="O7" s="76">
        <v>3.5</v>
      </c>
      <c r="P7" s="76"/>
      <c r="Q7" s="310"/>
      <c r="R7" s="77">
        <f>'27'!$Z$29</f>
        <v>1275</v>
      </c>
      <c r="S7" s="309">
        <f>'27'!$AB$29</f>
        <v>67.873439</v>
      </c>
      <c r="T7" s="77">
        <f>'27'!$Y$29</f>
        <v>3470</v>
      </c>
      <c r="U7" s="73" t="str">
        <f>IF('28'!AA6=1,'28'!AR6,'28'!AR7)</f>
        <v>S.A.L</v>
      </c>
      <c r="V7" s="74" t="str">
        <f>ESCALA!$C$29</f>
        <v/>
      </c>
      <c r="W7" s="12"/>
      <c r="X7" s="54">
        <v>0.0833333333333333</v>
      </c>
      <c r="Y7" s="125">
        <v>3232.0</v>
      </c>
      <c r="Z7" s="125">
        <v>1275.0</v>
      </c>
      <c r="AA7" s="56">
        <v>1.0</v>
      </c>
      <c r="AB7" s="58">
        <f>IF('28'!AA7=1,(('28'!Z7*'28'!$AS$6*'28'!$AT$6)/('28'!Y7*0.0036)),IF('28'!AA7=2,(('28'!Z7*'28'!$AS$7*'28'!$AT$7)/('28'!Y7*0.0036))))</f>
        <v>72.87154497</v>
      </c>
      <c r="AC7" s="58"/>
      <c r="AD7" s="59">
        <f>(('28'!AC7*'28'!$Q$10*1000000))/('28'!Y7*3600)</f>
        <v>0</v>
      </c>
      <c r="AE7" s="60"/>
      <c r="AF7" s="61">
        <f>('28'!AE7/24)*0.454</f>
        <v>0</v>
      </c>
      <c r="AG7" s="60"/>
      <c r="AH7" s="61">
        <f>('28'!AG7/24)*0.454</f>
        <v>0</v>
      </c>
      <c r="AI7" s="308">
        <v>5000.0</v>
      </c>
      <c r="AJ7" s="61">
        <f>('28'!AI7/24)*0.454</f>
        <v>94.58333333</v>
      </c>
      <c r="AK7" s="62"/>
      <c r="AL7" s="63">
        <f>('28'!AK7/24)*0.454</f>
        <v>0</v>
      </c>
      <c r="AM7" s="62"/>
      <c r="AN7" s="63">
        <f>('28'!AM7/24)*0.454</f>
        <v>0</v>
      </c>
      <c r="AO7" s="62"/>
      <c r="AP7" s="63">
        <f>('28'!AO7/24)*0.454</f>
        <v>0</v>
      </c>
      <c r="AQ7" s="65">
        <v>2.0</v>
      </c>
      <c r="AR7" s="66" t="s">
        <v>49</v>
      </c>
      <c r="AS7" s="67">
        <v>1.345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142.0</v>
      </c>
      <c r="C8" s="76">
        <v>18.0</v>
      </c>
      <c r="D8" s="76">
        <v>14.0</v>
      </c>
      <c r="E8" s="76">
        <v>5.0</v>
      </c>
      <c r="F8" s="76">
        <v>29.0</v>
      </c>
      <c r="G8" s="76">
        <v>1.1</v>
      </c>
      <c r="H8" s="76">
        <v>1.0</v>
      </c>
      <c r="I8" s="76">
        <v>0.4</v>
      </c>
      <c r="J8" s="76">
        <v>0.5</v>
      </c>
      <c r="K8" s="76">
        <v>6.9</v>
      </c>
      <c r="L8" s="76">
        <v>6.3</v>
      </c>
      <c r="M8" s="76">
        <v>6.3</v>
      </c>
      <c r="N8" s="76">
        <v>6.1</v>
      </c>
      <c r="O8" s="76">
        <v>3.5</v>
      </c>
      <c r="P8" s="76"/>
      <c r="Q8" s="310"/>
      <c r="R8" s="75">
        <f>'28'!Z7</f>
        <v>1275</v>
      </c>
      <c r="S8" s="76">
        <f>'28'!AB7</f>
        <v>72.87154497</v>
      </c>
      <c r="T8" s="77">
        <f>'28'!Y7</f>
        <v>3232</v>
      </c>
      <c r="U8" s="73" t="str">
        <f>IF('28'!AA7=1,'28'!AR6,'28'!AR7)</f>
        <v>S.A.L</v>
      </c>
      <c r="V8" s="43"/>
      <c r="W8" s="27"/>
      <c r="X8" s="54">
        <v>0.125</v>
      </c>
      <c r="Y8" s="125">
        <v>3289.0</v>
      </c>
      <c r="Z8" s="125">
        <v>1275.0</v>
      </c>
      <c r="AA8" s="56">
        <v>1.0</v>
      </c>
      <c r="AB8" s="58">
        <f>IF('28'!AA8=1,(('28'!Z8*'28'!$AS$6*'28'!$AT$6)/('28'!Y8*0.0036)),IF('28'!AA8=2,(('28'!Z8*'28'!$AS$7*'28'!$AT$7)/('28'!Y8*0.0036))))</f>
        <v>71.60864498</v>
      </c>
      <c r="AC8" s="58"/>
      <c r="AD8" s="59">
        <f>(('28'!AC8*'28'!$Q$10*1000000))/('28'!Y8*3600)</f>
        <v>0</v>
      </c>
      <c r="AE8" s="60"/>
      <c r="AF8" s="61">
        <f>('28'!AE8/24)*0.454</f>
        <v>0</v>
      </c>
      <c r="AG8" s="60"/>
      <c r="AH8" s="61">
        <f>('28'!AG8/24)*0.454</f>
        <v>0</v>
      </c>
      <c r="AI8" s="308">
        <v>5000.0</v>
      </c>
      <c r="AJ8" s="61">
        <f>('28'!AI8/24)*0.454</f>
        <v>94.58333333</v>
      </c>
      <c r="AK8" s="62"/>
      <c r="AL8" s="63">
        <f>('28'!AK8/24)*0.454</f>
        <v>0</v>
      </c>
      <c r="AM8" s="62"/>
      <c r="AN8" s="63">
        <f>('28'!AM8/24)*0.454</f>
        <v>0</v>
      </c>
      <c r="AO8" s="62"/>
      <c r="AP8" s="63">
        <f>('28'!AO8/24)*0.454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137.0</v>
      </c>
      <c r="C9" s="76">
        <v>16.0</v>
      </c>
      <c r="D9" s="76">
        <v>13.0</v>
      </c>
      <c r="E9" s="76">
        <v>5.0</v>
      </c>
      <c r="F9" s="76">
        <v>27.0</v>
      </c>
      <c r="G9" s="76">
        <v>1.2</v>
      </c>
      <c r="H9" s="76">
        <v>1.0</v>
      </c>
      <c r="I9" s="76">
        <v>0.4</v>
      </c>
      <c r="J9" s="76">
        <v>0.4</v>
      </c>
      <c r="K9" s="76">
        <v>6.9</v>
      </c>
      <c r="L9" s="76">
        <v>6.3</v>
      </c>
      <c r="M9" s="76">
        <v>6.3</v>
      </c>
      <c r="N9" s="76">
        <v>6.1</v>
      </c>
      <c r="O9" s="76">
        <v>3.2</v>
      </c>
      <c r="P9" s="76"/>
      <c r="Q9" s="310"/>
      <c r="R9" s="77">
        <f>'28'!Z9</f>
        <v>1275</v>
      </c>
      <c r="S9" s="76">
        <f>'28'!AB9</f>
        <v>67.50382153</v>
      </c>
      <c r="T9" s="77">
        <f>'28'!Y9</f>
        <v>3489</v>
      </c>
      <c r="U9" s="73" t="str">
        <f>IF('28'!AA9=1,'28'!AR6,'28'!AR7)</f>
        <v>S.A.L</v>
      </c>
      <c r="V9" s="43"/>
      <c r="W9" s="27"/>
      <c r="X9" s="54">
        <v>0.166666666666667</v>
      </c>
      <c r="Y9" s="125">
        <v>3489.0</v>
      </c>
      <c r="Z9" s="125">
        <v>1275.0</v>
      </c>
      <c r="AA9" s="56">
        <v>1.0</v>
      </c>
      <c r="AB9" s="58">
        <f>IF('28'!AA9=1,(('28'!Z9*'28'!$AS$6*'28'!$AT$6)/('28'!Y9*0.0036)),IF('28'!AA9=2,(('28'!Z9*'28'!$AS$7*'28'!$AT$7)/('28'!Y9*0.0036))))</f>
        <v>67.50382153</v>
      </c>
      <c r="AC9" s="58"/>
      <c r="AD9" s="59">
        <f>(('28'!AC9*'28'!$Q$10*1000000))/('28'!Y9*3600)</f>
        <v>0</v>
      </c>
      <c r="AE9" s="60"/>
      <c r="AF9" s="61">
        <f>('28'!AE9/24)*0.454</f>
        <v>0</v>
      </c>
      <c r="AG9" s="60"/>
      <c r="AH9" s="61">
        <f>('28'!AG9/24)*0.454</f>
        <v>0</v>
      </c>
      <c r="AI9" s="308">
        <v>5000.0</v>
      </c>
      <c r="AJ9" s="61">
        <f>('28'!AI9/24)*0.454</f>
        <v>94.58333333</v>
      </c>
      <c r="AK9" s="62"/>
      <c r="AL9" s="63">
        <f>('28'!AK9/24)*0.454</f>
        <v>0</v>
      </c>
      <c r="AM9" s="62"/>
      <c r="AN9" s="63">
        <f>('28'!AM9/24)*0.454</f>
        <v>0</v>
      </c>
      <c r="AO9" s="62"/>
      <c r="AP9" s="63">
        <f>('28'!AO9/24)*0.454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134.0</v>
      </c>
      <c r="C10" s="76">
        <v>14.0</v>
      </c>
      <c r="D10" s="76">
        <v>13.0</v>
      </c>
      <c r="E10" s="76">
        <v>5.0</v>
      </c>
      <c r="F10" s="76">
        <v>26.0</v>
      </c>
      <c r="G10" s="76">
        <v>1.2</v>
      </c>
      <c r="H10" s="76">
        <v>1.0</v>
      </c>
      <c r="I10" s="76">
        <v>0.4</v>
      </c>
      <c r="J10" s="76">
        <v>0.4</v>
      </c>
      <c r="K10" s="76">
        <v>6.9</v>
      </c>
      <c r="L10" s="76">
        <v>6.3</v>
      </c>
      <c r="M10" s="76">
        <v>6.3</v>
      </c>
      <c r="N10" s="76">
        <v>6.1</v>
      </c>
      <c r="O10" s="76">
        <v>3.2</v>
      </c>
      <c r="P10" s="76"/>
      <c r="Q10" s="310"/>
      <c r="R10" s="77">
        <f>'28'!Z7</f>
        <v>1275</v>
      </c>
      <c r="S10" s="76">
        <f>'28'!AB11</f>
        <v>65.03191119</v>
      </c>
      <c r="T10" s="77">
        <f>'28'!Y11</f>
        <v>3508</v>
      </c>
      <c r="U10" s="73" t="str">
        <f>IF('28'!AA11=1,'28'!AR6,'28'!AR7)</f>
        <v>S.A.L</v>
      </c>
      <c r="V10" s="43"/>
      <c r="W10" s="27"/>
      <c r="X10" s="54">
        <v>0.208333333333333</v>
      </c>
      <c r="Y10" s="125">
        <v>3481.0</v>
      </c>
      <c r="Z10" s="125">
        <v>1235.0</v>
      </c>
      <c r="AA10" s="56">
        <v>1.0</v>
      </c>
      <c r="AB10" s="58">
        <f>IF('28'!AA10=1,(('28'!Z10*'28'!$AS$6*'28'!$AT$6)/('28'!Y10*0.0036)),IF('28'!AA10=2,(('28'!Z10*'28'!$AS$7*'28'!$AT$7)/('28'!Y10*0.0036))))</f>
        <v>65.53632417</v>
      </c>
      <c r="AC10" s="58"/>
      <c r="AD10" s="59">
        <f>(('28'!AC10*'28'!$Q$10*1000000))/('28'!Y10*3600)</f>
        <v>0</v>
      </c>
      <c r="AE10" s="60"/>
      <c r="AF10" s="61">
        <f>('28'!AE10/24)*0.454</f>
        <v>0</v>
      </c>
      <c r="AG10" s="60"/>
      <c r="AH10" s="61">
        <f>('28'!AG10/24)*0.454</f>
        <v>0</v>
      </c>
      <c r="AI10" s="308">
        <v>5000.0</v>
      </c>
      <c r="AJ10" s="61">
        <f>('28'!AI10/24)*0.454</f>
        <v>94.58333333</v>
      </c>
      <c r="AK10" s="62"/>
      <c r="AL10" s="63">
        <f>('28'!AK10/24)*0.454</f>
        <v>0</v>
      </c>
      <c r="AM10" s="62"/>
      <c r="AN10" s="63">
        <f>('28'!AM10/24)*0.454</f>
        <v>0</v>
      </c>
      <c r="AO10" s="62"/>
      <c r="AP10" s="63">
        <f>('28'!AO10/24)*0.454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133.0</v>
      </c>
      <c r="C11" s="76">
        <v>13.0</v>
      </c>
      <c r="D11" s="76">
        <v>11.0</v>
      </c>
      <c r="E11" s="76">
        <v>5.0</v>
      </c>
      <c r="F11" s="76">
        <v>22.0</v>
      </c>
      <c r="G11" s="76">
        <v>1.6</v>
      </c>
      <c r="H11" s="76">
        <v>1.0</v>
      </c>
      <c r="I11" s="76">
        <v>0.3</v>
      </c>
      <c r="J11" s="76">
        <v>0.4</v>
      </c>
      <c r="K11" s="76">
        <v>6.9</v>
      </c>
      <c r="L11" s="76">
        <v>6.5</v>
      </c>
      <c r="M11" s="76">
        <v>6.5</v>
      </c>
      <c r="N11" s="76">
        <v>6.2</v>
      </c>
      <c r="O11" s="76">
        <v>2.5</v>
      </c>
      <c r="P11" s="76"/>
      <c r="Q11" s="310"/>
      <c r="R11" s="77">
        <f>'28'!Z9</f>
        <v>1275</v>
      </c>
      <c r="S11" s="76">
        <f>'28'!AB13</f>
        <v>64.9024024</v>
      </c>
      <c r="T11" s="77">
        <f>'28'!Y13</f>
        <v>3515</v>
      </c>
      <c r="U11" s="73" t="str">
        <f>IF('28'!AA13=1,'28'!AR6,'28'!AR7)</f>
        <v>S.A.L</v>
      </c>
      <c r="V11" s="16"/>
      <c r="W11" s="18"/>
      <c r="X11" s="54">
        <v>0.25</v>
      </c>
      <c r="Y11" s="125">
        <v>3508.0</v>
      </c>
      <c r="Z11" s="125">
        <v>1235.0</v>
      </c>
      <c r="AA11" s="56">
        <v>1.0</v>
      </c>
      <c r="AB11" s="58">
        <f>IF('28'!AA11=1,(('28'!Z11*'28'!$AS$6*'28'!$AT$6)/('28'!Y11*0.0036)),IF('28'!AA11=2,(('28'!Z11*'28'!$AS$7*'28'!$AT$7)/('28'!Y11*0.0036))))</f>
        <v>65.03191119</v>
      </c>
      <c r="AC11" s="58"/>
      <c r="AD11" s="59">
        <f>(('28'!AC11*'28'!$Q$10*1000000))/('28'!Y11*3600)</f>
        <v>0</v>
      </c>
      <c r="AE11" s="60"/>
      <c r="AF11" s="61">
        <f>('28'!AE11/24)*0.454</f>
        <v>0</v>
      </c>
      <c r="AG11" s="60"/>
      <c r="AH11" s="61">
        <f>('28'!AG11/24)*0.454</f>
        <v>0</v>
      </c>
      <c r="AI11" s="308">
        <v>5000.0</v>
      </c>
      <c r="AJ11" s="61">
        <f>('28'!AI11/24)*0.454</f>
        <v>94.58333333</v>
      </c>
      <c r="AK11" s="62"/>
      <c r="AL11" s="63">
        <f>('28'!AK11/24)*0.454</f>
        <v>0</v>
      </c>
      <c r="AM11" s="62"/>
      <c r="AN11" s="63">
        <f>('28'!AM11/24)*0.454</f>
        <v>0</v>
      </c>
      <c r="AO11" s="62"/>
      <c r="AP11" s="63">
        <f>('28'!AO11/24)*0.454</f>
        <v>0</v>
      </c>
    </row>
    <row r="12" ht="18.75" customHeight="1">
      <c r="A12" s="69">
        <v>0.416666666666667</v>
      </c>
      <c r="B12" s="76">
        <v>135.0</v>
      </c>
      <c r="C12" s="76">
        <v>13.0</v>
      </c>
      <c r="D12" s="76">
        <v>12.0</v>
      </c>
      <c r="E12" s="76">
        <v>5.0</v>
      </c>
      <c r="F12" s="76">
        <v>22.0</v>
      </c>
      <c r="G12" s="76">
        <v>1.6</v>
      </c>
      <c r="H12" s="76">
        <v>1.0</v>
      </c>
      <c r="I12" s="76">
        <v>0.3</v>
      </c>
      <c r="J12" s="76">
        <v>0.4</v>
      </c>
      <c r="K12" s="76">
        <v>6.9</v>
      </c>
      <c r="L12" s="76">
        <v>6.5</v>
      </c>
      <c r="M12" s="76">
        <v>6.5</v>
      </c>
      <c r="N12" s="76">
        <v>6.2</v>
      </c>
      <c r="O12" s="76">
        <v>2.5</v>
      </c>
      <c r="P12" s="76"/>
      <c r="Q12" s="310"/>
      <c r="R12" s="77">
        <f>'28'!Z11</f>
        <v>1235</v>
      </c>
      <c r="S12" s="76">
        <f>'28'!AB15</f>
        <v>65.16193786</v>
      </c>
      <c r="T12" s="77">
        <f>'28'!Y15</f>
        <v>3501</v>
      </c>
      <c r="U12" s="73" t="str">
        <f>IF('28'!AA15=1,'28'!AR6,'28'!AR7)</f>
        <v>S.A.L</v>
      </c>
      <c r="V12" s="88" t="str">
        <f>ESCALA!$B$30</f>
        <v/>
      </c>
      <c r="W12" s="89"/>
      <c r="X12" s="54">
        <v>0.291666666666667</v>
      </c>
      <c r="Y12" s="125">
        <v>3494.0</v>
      </c>
      <c r="Z12" s="125">
        <v>1235.0</v>
      </c>
      <c r="AA12" s="56">
        <v>1.0</v>
      </c>
      <c r="AB12" s="58">
        <f>IF('28'!AA12=1,(('28'!Z12*'28'!$AS$6*'28'!$AT$6)/('28'!Y12*0.0036)),IF('28'!AA12=2,(('28'!Z12*'28'!$AS$7*'28'!$AT$7)/('28'!Y12*0.0036))))</f>
        <v>65.29248553</v>
      </c>
      <c r="AC12" s="58"/>
      <c r="AD12" s="59">
        <f>(('28'!AC12*'28'!$Q$10*1000000))/('28'!Y12*3600)</f>
        <v>0</v>
      </c>
      <c r="AE12" s="60"/>
      <c r="AF12" s="61">
        <f>('28'!AE12/24)*0.454</f>
        <v>0</v>
      </c>
      <c r="AG12" s="60"/>
      <c r="AH12" s="61">
        <f>('28'!AG12/24)*0.454</f>
        <v>0</v>
      </c>
      <c r="AI12" s="308">
        <v>5000.0</v>
      </c>
      <c r="AJ12" s="61">
        <f>('28'!AI12/24)*0.454</f>
        <v>94.58333333</v>
      </c>
      <c r="AK12" s="62"/>
      <c r="AL12" s="63">
        <f>('28'!AK12/24)*0.454</f>
        <v>0</v>
      </c>
      <c r="AM12" s="62"/>
      <c r="AN12" s="63">
        <f>('28'!AM12/24)*0.454</f>
        <v>0</v>
      </c>
      <c r="AO12" s="62"/>
      <c r="AP12" s="63">
        <f>('28'!AO12/24)*0.454</f>
        <v>0</v>
      </c>
    </row>
    <row r="13" ht="18.75" customHeight="1">
      <c r="A13" s="69">
        <v>0.5</v>
      </c>
      <c r="B13" s="76">
        <v>136.0</v>
      </c>
      <c r="C13" s="76">
        <v>14.0</v>
      </c>
      <c r="D13" s="76">
        <v>13.0</v>
      </c>
      <c r="E13" s="76">
        <v>6.0</v>
      </c>
      <c r="F13" s="76">
        <v>25.0</v>
      </c>
      <c r="G13" s="76">
        <v>1.6</v>
      </c>
      <c r="H13" s="76">
        <v>1.0</v>
      </c>
      <c r="I13" s="76">
        <v>0.4</v>
      </c>
      <c r="J13" s="76">
        <v>0.4</v>
      </c>
      <c r="K13" s="76">
        <v>6.9</v>
      </c>
      <c r="L13" s="76">
        <v>6.5</v>
      </c>
      <c r="M13" s="76">
        <v>6.5</v>
      </c>
      <c r="N13" s="76">
        <v>6.2</v>
      </c>
      <c r="O13" s="76">
        <v>2.8</v>
      </c>
      <c r="P13" s="76"/>
      <c r="Q13" s="310"/>
      <c r="R13" s="77">
        <f>'28'!Z17</f>
        <v>1235</v>
      </c>
      <c r="S13" s="76">
        <f>'28'!AB17</f>
        <v>65.89599782</v>
      </c>
      <c r="T13" s="77">
        <f>'28'!Y17</f>
        <v>3462</v>
      </c>
      <c r="U13" s="73" t="str">
        <f>IF('28'!AA17=1,'28'!AR6,'28'!AR7)</f>
        <v>S.A.L</v>
      </c>
      <c r="V13" s="43"/>
      <c r="W13" s="27"/>
      <c r="X13" s="54">
        <v>0.333333333333333</v>
      </c>
      <c r="Y13" s="125">
        <v>3515.0</v>
      </c>
      <c r="Z13" s="125">
        <v>1235.0</v>
      </c>
      <c r="AA13" s="56">
        <v>1.0</v>
      </c>
      <c r="AB13" s="58">
        <f>IF('28'!AA13=1,(('28'!Z13*'28'!$AS$6*'28'!$AT$6)/('28'!Y13*0.0036)),IF('28'!AA13=2,(('28'!Z13*'28'!$AS$7*'28'!$AT$7)/('28'!Y13*0.0036))))</f>
        <v>64.9024024</v>
      </c>
      <c r="AC13" s="58"/>
      <c r="AD13" s="59">
        <f>(('28'!AC13*'28'!$Q$10*1000000))/('28'!Y13*3600)</f>
        <v>0</v>
      </c>
      <c r="AE13" s="60"/>
      <c r="AF13" s="61">
        <f>('28'!AE13/24)*0.454</f>
        <v>0</v>
      </c>
      <c r="AG13" s="60"/>
      <c r="AH13" s="61">
        <f>('28'!AG13/24)*0.454</f>
        <v>0</v>
      </c>
      <c r="AI13" s="308">
        <v>5000.0</v>
      </c>
      <c r="AJ13" s="61">
        <f>('28'!AI13/24)*0.454</f>
        <v>94.58333333</v>
      </c>
      <c r="AK13" s="62"/>
      <c r="AL13" s="63">
        <f>('28'!AK13/24)*0.454</f>
        <v>0</v>
      </c>
      <c r="AM13" s="62"/>
      <c r="AN13" s="63">
        <f>('28'!AM13/24)*0.454</f>
        <v>0</v>
      </c>
      <c r="AO13" s="62"/>
      <c r="AP13" s="63">
        <f>('28'!AO13/24)*0.454</f>
        <v>0</v>
      </c>
    </row>
    <row r="14" ht="18.75" customHeight="1">
      <c r="A14" s="69">
        <v>0.583333333333333</v>
      </c>
      <c r="B14" s="76">
        <v>135.0</v>
      </c>
      <c r="C14" s="76">
        <v>16.0</v>
      </c>
      <c r="D14" s="76">
        <v>14.0</v>
      </c>
      <c r="E14" s="76">
        <v>6.0</v>
      </c>
      <c r="F14" s="76">
        <v>28.0</v>
      </c>
      <c r="G14" s="76">
        <v>1.5</v>
      </c>
      <c r="H14" s="76">
        <v>1.1</v>
      </c>
      <c r="I14" s="76">
        <v>0.4</v>
      </c>
      <c r="J14" s="76">
        <v>0.4</v>
      </c>
      <c r="K14" s="76">
        <v>6.9</v>
      </c>
      <c r="L14" s="76">
        <v>6.5</v>
      </c>
      <c r="M14" s="76">
        <v>6.5</v>
      </c>
      <c r="N14" s="76">
        <v>6.2</v>
      </c>
      <c r="O14" s="76">
        <v>2.8</v>
      </c>
      <c r="P14" s="76"/>
      <c r="Q14" s="310"/>
      <c r="R14" s="77">
        <f>'28'!Z19</f>
        <v>1235</v>
      </c>
      <c r="S14" s="76">
        <f>'28'!AB19</f>
        <v>66.02950635</v>
      </c>
      <c r="T14" s="77">
        <f>'28'!Y19</f>
        <v>3455</v>
      </c>
      <c r="U14" s="73" t="str">
        <f>IF('28'!AA19=1,'28'!AR6,'28'!AR7)</f>
        <v>S.A.L</v>
      </c>
      <c r="V14" s="43"/>
      <c r="W14" s="27"/>
      <c r="X14" s="54">
        <v>0.375</v>
      </c>
      <c r="Y14" s="125">
        <v>3529.0</v>
      </c>
      <c r="Z14" s="125">
        <v>1235.0</v>
      </c>
      <c r="AA14" s="56">
        <v>1.0</v>
      </c>
      <c r="AB14" s="58">
        <f>IF('28'!AA14=1,(('28'!Z14*'28'!$AS$6*'28'!$AT$6)/('28'!Y14*0.0036)),IF('28'!AA14=2,(('28'!Z14*'28'!$AS$7*'28'!$AT$7)/('28'!Y14*0.0036))))</f>
        <v>64.64492617</v>
      </c>
      <c r="AC14" s="58"/>
      <c r="AD14" s="59">
        <f>(('28'!AC14*'28'!$Q$10*1000000))/('28'!Y14*3600)</f>
        <v>0</v>
      </c>
      <c r="AE14" s="60"/>
      <c r="AF14" s="61">
        <f>('28'!AE14/24)*0.454</f>
        <v>0</v>
      </c>
      <c r="AG14" s="60"/>
      <c r="AH14" s="61">
        <f>('28'!AG14/24)*0.454</f>
        <v>0</v>
      </c>
      <c r="AI14" s="308">
        <v>5000.0</v>
      </c>
      <c r="AJ14" s="61">
        <f>('28'!AI14/24)*0.454</f>
        <v>94.58333333</v>
      </c>
      <c r="AK14" s="62"/>
      <c r="AL14" s="63">
        <f>('28'!AK14/24)*0.454</f>
        <v>0</v>
      </c>
      <c r="AM14" s="62"/>
      <c r="AN14" s="63">
        <f>('28'!AM14/24)*0.454</f>
        <v>0</v>
      </c>
      <c r="AO14" s="62"/>
      <c r="AP14" s="63">
        <f>('28'!AO14/24)*0.454</f>
        <v>0</v>
      </c>
    </row>
    <row r="15" ht="18.75" customHeight="1">
      <c r="A15" s="69">
        <v>0.666666666666667</v>
      </c>
      <c r="B15" s="76">
        <v>139.0</v>
      </c>
      <c r="C15" s="76">
        <v>19.0</v>
      </c>
      <c r="D15" s="76">
        <v>14.0</v>
      </c>
      <c r="E15" s="76">
        <v>5.0</v>
      </c>
      <c r="F15" s="76">
        <v>29.0</v>
      </c>
      <c r="G15" s="76">
        <v>1.7</v>
      </c>
      <c r="H15" s="76">
        <v>1.1</v>
      </c>
      <c r="I15" s="76">
        <v>0.3</v>
      </c>
      <c r="J15" s="76">
        <v>0.4</v>
      </c>
      <c r="K15" s="76">
        <v>6.9</v>
      </c>
      <c r="L15" s="76">
        <v>6.5</v>
      </c>
      <c r="M15" s="76">
        <v>6.5</v>
      </c>
      <c r="N15" s="76">
        <v>6.2</v>
      </c>
      <c r="O15" s="76">
        <v>3.0</v>
      </c>
      <c r="P15" s="76"/>
      <c r="Q15" s="310"/>
      <c r="R15" s="77">
        <f>'28'!Z21</f>
        <v>1235</v>
      </c>
      <c r="S15" s="76">
        <f>'28'!AB21</f>
        <v>65.80096465</v>
      </c>
      <c r="T15" s="77">
        <f>'28'!Y21</f>
        <v>3467</v>
      </c>
      <c r="U15" s="73" t="str">
        <f>IF('28'!AA21=1,'28'!AR6,'28'!AR7)</f>
        <v>S.A.L</v>
      </c>
      <c r="V15" s="43"/>
      <c r="W15" s="27"/>
      <c r="X15" s="54">
        <v>0.416666666666667</v>
      </c>
      <c r="Y15" s="125">
        <v>3501.0</v>
      </c>
      <c r="Z15" s="125">
        <v>1235.0</v>
      </c>
      <c r="AA15" s="56">
        <v>1.0</v>
      </c>
      <c r="AB15" s="58">
        <f>IF('28'!AA15=1,(('28'!Z15*'28'!$AS$6*'28'!$AT$6)/('28'!Y15*0.0036)),IF('28'!AA15=2,(('28'!Z15*'28'!$AS$7*'28'!$AT$7)/('28'!Y15*0.0036))))</f>
        <v>65.16193786</v>
      </c>
      <c r="AC15" s="58"/>
      <c r="AD15" s="59">
        <f>(('28'!AC15*'28'!$Q$10*1000000))/('28'!Y15*3600)</f>
        <v>0</v>
      </c>
      <c r="AE15" s="60"/>
      <c r="AF15" s="61">
        <f>('28'!AE15/24)*0.454</f>
        <v>0</v>
      </c>
      <c r="AG15" s="60"/>
      <c r="AH15" s="61">
        <f>('28'!AG15/24)*0.454</f>
        <v>0</v>
      </c>
      <c r="AI15" s="308">
        <v>5000.0</v>
      </c>
      <c r="AJ15" s="61">
        <f>('28'!AI15/24)*0.454</f>
        <v>94.58333333</v>
      </c>
      <c r="AK15" s="62"/>
      <c r="AL15" s="63">
        <f>('28'!AK15/24)*0.454</f>
        <v>0</v>
      </c>
      <c r="AM15" s="62"/>
      <c r="AN15" s="63">
        <f>('28'!AM15/24)*0.454</f>
        <v>0</v>
      </c>
      <c r="AO15" s="62"/>
      <c r="AP15" s="63">
        <f>('28'!AO15/24)*0.454</f>
        <v>0</v>
      </c>
    </row>
    <row r="16" ht="18.75" customHeight="1">
      <c r="A16" s="69">
        <v>0.75</v>
      </c>
      <c r="B16" s="76">
        <v>144.0</v>
      </c>
      <c r="C16" s="76">
        <v>22.0</v>
      </c>
      <c r="D16" s="76">
        <v>14.0</v>
      </c>
      <c r="E16" s="76">
        <v>5.0</v>
      </c>
      <c r="F16" s="76">
        <v>29.0</v>
      </c>
      <c r="G16" s="76">
        <v>1.8</v>
      </c>
      <c r="H16" s="76">
        <v>1.1</v>
      </c>
      <c r="I16" s="76">
        <v>0.3</v>
      </c>
      <c r="J16" s="76">
        <v>0.5</v>
      </c>
      <c r="K16" s="76">
        <v>6.9</v>
      </c>
      <c r="L16" s="76">
        <v>6.5</v>
      </c>
      <c r="M16" s="76">
        <v>6.5</v>
      </c>
      <c r="N16" s="76">
        <v>6.2</v>
      </c>
      <c r="O16" s="76">
        <v>3.0</v>
      </c>
      <c r="P16" s="76"/>
      <c r="Q16" s="310"/>
      <c r="R16" s="77">
        <f>'28'!Z23</f>
        <v>1235</v>
      </c>
      <c r="S16" s="76">
        <f>'28'!AB23</f>
        <v>65.44232485</v>
      </c>
      <c r="T16" s="77">
        <f>'28'!Y23</f>
        <v>3486</v>
      </c>
      <c r="U16" s="73" t="str">
        <f>IF('28'!AA23=1,'28'!AR6,'28'!AR7)</f>
        <v>S.A.L</v>
      </c>
      <c r="V16" s="16"/>
      <c r="W16" s="18"/>
      <c r="X16" s="54">
        <v>0.458333333333333</v>
      </c>
      <c r="Y16" s="125">
        <v>3454.0</v>
      </c>
      <c r="Z16" s="125">
        <v>1235.0</v>
      </c>
      <c r="AA16" s="56">
        <v>1.0</v>
      </c>
      <c r="AB16" s="58">
        <f>IF('28'!AA16=1,(('28'!Z16*'28'!$AS$6*'28'!$AT$6)/('28'!Y16*0.0036)),IF('28'!AA16=2,(('28'!Z16*'28'!$AS$7*'28'!$AT$7)/('28'!Y16*0.0036))))</f>
        <v>66.04862317</v>
      </c>
      <c r="AC16" s="58"/>
      <c r="AD16" s="59">
        <f>(('28'!AC16*'28'!$Q$10*1000000))/('28'!Y16*3600)</f>
        <v>0</v>
      </c>
      <c r="AE16" s="60"/>
      <c r="AF16" s="61">
        <f>('28'!AE16/24)*0.454</f>
        <v>0</v>
      </c>
      <c r="AG16" s="60"/>
      <c r="AH16" s="61">
        <f>('28'!AG16/24)*0.454</f>
        <v>0</v>
      </c>
      <c r="AI16" s="308">
        <v>5000.0</v>
      </c>
      <c r="AJ16" s="61">
        <f>('28'!AI16/24)*0.454</f>
        <v>94.58333333</v>
      </c>
      <c r="AK16" s="62"/>
      <c r="AL16" s="63">
        <f>('28'!AK16/24)*0.454</f>
        <v>0</v>
      </c>
      <c r="AM16" s="62"/>
      <c r="AN16" s="63">
        <f>('28'!AM16/24)*0.454</f>
        <v>0</v>
      </c>
      <c r="AO16" s="62"/>
      <c r="AP16" s="63">
        <f>('28'!AO16/24)*0.454</f>
        <v>0</v>
      </c>
    </row>
    <row r="17" ht="18.75" customHeight="1">
      <c r="A17" s="69">
        <v>0.833333333333333</v>
      </c>
      <c r="B17" s="76">
        <v>138.0</v>
      </c>
      <c r="C17" s="76">
        <v>18.0</v>
      </c>
      <c r="D17" s="76">
        <v>14.0</v>
      </c>
      <c r="E17" s="76">
        <v>6.0</v>
      </c>
      <c r="F17" s="76">
        <v>28.0</v>
      </c>
      <c r="G17" s="76">
        <v>1.6</v>
      </c>
      <c r="H17" s="76">
        <v>1.1</v>
      </c>
      <c r="I17" s="76">
        <v>0.3</v>
      </c>
      <c r="J17" s="76">
        <v>0.5</v>
      </c>
      <c r="K17" s="76">
        <v>6.9</v>
      </c>
      <c r="L17" s="76">
        <v>6.5</v>
      </c>
      <c r="M17" s="76">
        <v>6.5</v>
      </c>
      <c r="N17" s="76">
        <v>6.2</v>
      </c>
      <c r="O17" s="76">
        <v>3.0</v>
      </c>
      <c r="P17" s="76"/>
      <c r="Q17" s="310"/>
      <c r="R17" s="77">
        <f>'28'!Z25</f>
        <v>1235</v>
      </c>
      <c r="S17" s="76">
        <f>'28'!AB25</f>
        <v>65.7062052</v>
      </c>
      <c r="T17" s="77">
        <f>'28'!Y25</f>
        <v>3472</v>
      </c>
      <c r="U17" s="73" t="str">
        <f>IF('28'!AA25=1,'28'!AR6,'28'!AR7)</f>
        <v>S.A.L</v>
      </c>
      <c r="V17" s="90" t="str">
        <f>ESCALA!$C$30</f>
        <v/>
      </c>
      <c r="W17" s="89"/>
      <c r="X17" s="54">
        <v>0.5</v>
      </c>
      <c r="Y17" s="125">
        <v>3462.0</v>
      </c>
      <c r="Z17" s="125">
        <v>1235.0</v>
      </c>
      <c r="AA17" s="56">
        <v>1.0</v>
      </c>
      <c r="AB17" s="58">
        <f>IF('28'!AA17=1,(('28'!Z17*'28'!$AS$6*'28'!$AT$6)/('28'!Y17*0.0036)),IF('28'!AA17=2,(('28'!Z17*'28'!$AS$7*'28'!$AT$7)/('28'!Y17*0.0036))))</f>
        <v>65.89599782</v>
      </c>
      <c r="AC17" s="58"/>
      <c r="AD17" s="59">
        <f>(('28'!AC17*'28'!$Q$10*1000000))/('28'!Y17*3600)</f>
        <v>0</v>
      </c>
      <c r="AE17" s="60"/>
      <c r="AF17" s="61">
        <f>('28'!AE17/24)*0.454</f>
        <v>0</v>
      </c>
      <c r="AG17" s="60"/>
      <c r="AH17" s="61">
        <f>('28'!AG17/24)*0.454</f>
        <v>0</v>
      </c>
      <c r="AI17" s="308">
        <v>5000.0</v>
      </c>
      <c r="AJ17" s="61">
        <f>('28'!AI17/24)*0.454</f>
        <v>94.58333333</v>
      </c>
      <c r="AK17" s="62"/>
      <c r="AL17" s="63">
        <f>('28'!AK17/24)*0.454</f>
        <v>0</v>
      </c>
      <c r="AM17" s="62"/>
      <c r="AN17" s="63">
        <f>('28'!AM17/24)*0.454</f>
        <v>0</v>
      </c>
      <c r="AO17" s="62"/>
      <c r="AP17" s="63">
        <f>('28'!AO17/24)*0.454</f>
        <v>0</v>
      </c>
    </row>
    <row r="18" ht="19.5" customHeight="1">
      <c r="A18" s="69">
        <v>0.916666666666667</v>
      </c>
      <c r="B18" s="76">
        <v>132.0</v>
      </c>
      <c r="C18" s="76">
        <v>16.0</v>
      </c>
      <c r="D18" s="76">
        <v>14.0</v>
      </c>
      <c r="E18" s="76">
        <v>6.0</v>
      </c>
      <c r="F18" s="76">
        <v>25.0</v>
      </c>
      <c r="G18" s="76">
        <v>1.4</v>
      </c>
      <c r="H18" s="76">
        <v>1.0</v>
      </c>
      <c r="I18" s="76">
        <v>0.3</v>
      </c>
      <c r="J18" s="76">
        <v>0.5</v>
      </c>
      <c r="K18" s="76">
        <v>6.9</v>
      </c>
      <c r="L18" s="76">
        <v>6.5</v>
      </c>
      <c r="M18" s="76">
        <v>6.5</v>
      </c>
      <c r="N18" s="76">
        <v>6.2</v>
      </c>
      <c r="O18" s="76">
        <v>3.0</v>
      </c>
      <c r="P18" s="76"/>
      <c r="Q18" s="310"/>
      <c r="R18" s="77">
        <f>'28'!Z27</f>
        <v>1235</v>
      </c>
      <c r="S18" s="76">
        <f>'28'!AB27</f>
        <v>65.0133783</v>
      </c>
      <c r="T18" s="77">
        <f>'28'!Y27</f>
        <v>3509</v>
      </c>
      <c r="U18" s="73" t="str">
        <f>IF('28'!AA27=1,'28'!AR6,'28'!AR7)</f>
        <v>S.A.L</v>
      </c>
      <c r="V18" s="16"/>
      <c r="W18" s="18"/>
      <c r="X18" s="54">
        <v>0.541666666666667</v>
      </c>
      <c r="Y18" s="125">
        <v>3451.0</v>
      </c>
      <c r="Z18" s="125">
        <v>1235.0</v>
      </c>
      <c r="AA18" s="56">
        <v>1.0</v>
      </c>
      <c r="AB18" s="58">
        <f>IF('28'!AA18=1,(('28'!Z18*'28'!$AS$6*'28'!$AT$6)/('28'!Y18*0.0036)),IF('28'!AA18=2,(('28'!Z18*'28'!$AS$7*'28'!$AT$7)/('28'!Y18*0.0036))))</f>
        <v>66.10604012</v>
      </c>
      <c r="AC18" s="58"/>
      <c r="AD18" s="59">
        <f>(('28'!AC18*'28'!$Q$10*1000000))/('28'!Y18*3600)</f>
        <v>0</v>
      </c>
      <c r="AE18" s="60"/>
      <c r="AF18" s="61">
        <f>('28'!AE18/24)*0.454</f>
        <v>0</v>
      </c>
      <c r="AG18" s="60"/>
      <c r="AH18" s="61">
        <f>('28'!AG18/24)*0.454</f>
        <v>0</v>
      </c>
      <c r="AI18" s="308">
        <v>5000.0</v>
      </c>
      <c r="AJ18" s="61">
        <f>('28'!AI18/24)*0.454</f>
        <v>94.58333333</v>
      </c>
      <c r="AK18" s="62"/>
      <c r="AL18" s="63">
        <f>('28'!AK18/24)*0.454</f>
        <v>0</v>
      </c>
      <c r="AM18" s="62"/>
      <c r="AN18" s="63">
        <f>('28'!AM18/24)*0.454</f>
        <v>0</v>
      </c>
      <c r="AO18" s="62"/>
      <c r="AP18" s="63">
        <f>('28'!AO18/24)*0.454</f>
        <v>0</v>
      </c>
    </row>
    <row r="19" ht="18.75" customHeight="1">
      <c r="A19" s="51" t="s">
        <v>52</v>
      </c>
      <c r="B19" s="91">
        <f>AVERAGE('28'!B7:B18)</f>
        <v>137.5</v>
      </c>
      <c r="C19" s="92">
        <f>AVERAGE('28'!C7:C18)</f>
        <v>16.58333333</v>
      </c>
      <c r="D19" s="92">
        <f>AVERAGE('28'!D7:D18)</f>
        <v>13.5</v>
      </c>
      <c r="E19" s="92">
        <f>AVERAGE('28'!E7:E18)</f>
        <v>5.333333333</v>
      </c>
      <c r="F19" s="92">
        <f>AVERAGE('28'!F7:F18)</f>
        <v>26.75</v>
      </c>
      <c r="G19" s="92">
        <f>AVERAGE('28'!G7:G18)</f>
        <v>1.45</v>
      </c>
      <c r="H19" s="92">
        <f>AVERAGE('28'!H7:H18)</f>
        <v>1.033333333</v>
      </c>
      <c r="I19" s="92">
        <f>AVERAGE('28'!I7:I18)</f>
        <v>0.35</v>
      </c>
      <c r="J19" s="92">
        <f>AVERAGE('28'!J7:J18)</f>
        <v>0.4416666667</v>
      </c>
      <c r="K19" s="92">
        <f>AVERAGE('28'!K7:K18)</f>
        <v>6.9</v>
      </c>
      <c r="L19" s="92">
        <f>AVERAGE('28'!L7:L18)</f>
        <v>6.433333333</v>
      </c>
      <c r="M19" s="92">
        <f>AVERAGE('28'!M7:M18)</f>
        <v>6.433333333</v>
      </c>
      <c r="N19" s="92">
        <f>AVERAGE('28'!N7:N18)</f>
        <v>6.166666667</v>
      </c>
      <c r="O19" s="92">
        <f>AVERAGE('28'!O7:O18)</f>
        <v>3</v>
      </c>
      <c r="P19" s="93" t="str">
        <f>AVERAGE('28'!P7:P18)</f>
        <v>#DIV/0!</v>
      </c>
      <c r="Q19" s="94" t="str">
        <f>AVERAGE('28'!Q7:Q18)</f>
        <v>#DIV/0!</v>
      </c>
      <c r="R19" s="94">
        <f>AVERAGE('28'!R7:R18)</f>
        <v>1251.666667</v>
      </c>
      <c r="S19" s="94">
        <f>AVERAGE('28'!S7:S18)</f>
        <v>66.43611951</v>
      </c>
      <c r="T19" s="95"/>
      <c r="U19" s="96"/>
      <c r="V19" s="97"/>
      <c r="W19" s="97"/>
      <c r="X19" s="54">
        <v>0.583333333333333</v>
      </c>
      <c r="Y19" s="125">
        <v>3455.0</v>
      </c>
      <c r="Z19" s="125">
        <v>1235.0</v>
      </c>
      <c r="AA19" s="56">
        <v>1.0</v>
      </c>
      <c r="AB19" s="58">
        <f>IF('28'!AA19=1,(('28'!Z19*'28'!$AS$6*'28'!$AT$6)/('28'!Y19*0.0036)),IF('28'!AA19=2,(('28'!Z19*'28'!$AS$7*'28'!$AT$7)/('28'!Y19*0.0036))))</f>
        <v>66.02950635</v>
      </c>
      <c r="AC19" s="58"/>
      <c r="AD19" s="59">
        <f>(('28'!AC19*'28'!$Q$10*1000000))/('28'!Y19*3600)</f>
        <v>0</v>
      </c>
      <c r="AE19" s="60"/>
      <c r="AF19" s="61">
        <f>('28'!AE19/24)*0.454</f>
        <v>0</v>
      </c>
      <c r="AG19" s="60"/>
      <c r="AH19" s="61">
        <f>('28'!AG19/24)*0.454</f>
        <v>0</v>
      </c>
      <c r="AI19" s="308">
        <v>5000.0</v>
      </c>
      <c r="AJ19" s="61">
        <f>('28'!AI19/24)*0.454</f>
        <v>94.58333333</v>
      </c>
      <c r="AK19" s="62"/>
      <c r="AL19" s="63">
        <f>('28'!AK19/24)*0.454</f>
        <v>0</v>
      </c>
      <c r="AM19" s="62"/>
      <c r="AN19" s="63">
        <f>('28'!AM19/24)*0.454</f>
        <v>0</v>
      </c>
      <c r="AO19" s="62"/>
      <c r="AP19" s="63">
        <f>('28'!AO19/24)*0.454</f>
        <v>0</v>
      </c>
    </row>
    <row r="20" ht="18.75" customHeight="1">
      <c r="A20" s="51" t="s">
        <v>53</v>
      </c>
      <c r="B20" s="91">
        <f>MAX('28'!B7:B18)</f>
        <v>145</v>
      </c>
      <c r="C20" s="92">
        <f>MAX('28'!C7:C18)</f>
        <v>22</v>
      </c>
      <c r="D20" s="92">
        <f>MAX('28'!D7:D18)</f>
        <v>16</v>
      </c>
      <c r="E20" s="92">
        <f>MAX('28'!E7:E18)</f>
        <v>6</v>
      </c>
      <c r="F20" s="92">
        <f>MAX('28'!F7:F18)</f>
        <v>31</v>
      </c>
      <c r="G20" s="92">
        <f>MAX('28'!G7:G18)</f>
        <v>1.8</v>
      </c>
      <c r="H20" s="92">
        <f>MAX('28'!H7:H18)</f>
        <v>1.1</v>
      </c>
      <c r="I20" s="92">
        <f>MAX('28'!I7:I18)</f>
        <v>0.4</v>
      </c>
      <c r="J20" s="92">
        <f>MAX('28'!J7:J18)</f>
        <v>0.5</v>
      </c>
      <c r="K20" s="92">
        <f>MAX('28'!K7:K18)</f>
        <v>6.9</v>
      </c>
      <c r="L20" s="92">
        <f>MAX('28'!L7:L18)</f>
        <v>6.5</v>
      </c>
      <c r="M20" s="92">
        <f>MAX('28'!M7:M18)</f>
        <v>6.5</v>
      </c>
      <c r="N20" s="92">
        <f>MAX('28'!N7:N18)</f>
        <v>6.2</v>
      </c>
      <c r="O20" s="98">
        <f>MAX('28'!O7:O18)</f>
        <v>3.5</v>
      </c>
      <c r="P20" s="98">
        <f>MAX('28'!P7:P18)</f>
        <v>0</v>
      </c>
      <c r="Q20" s="98">
        <f>MAX('28'!Q7:Q18)</f>
        <v>0</v>
      </c>
      <c r="R20" s="98">
        <f>MAX('28'!R7:R18)</f>
        <v>1275</v>
      </c>
      <c r="S20" s="98">
        <f>MAX('28'!S7:S18)</f>
        <v>72.87154497</v>
      </c>
      <c r="T20" s="99"/>
      <c r="U20" s="21"/>
      <c r="X20" s="54">
        <v>0.625</v>
      </c>
      <c r="Y20" s="125">
        <v>3456.0</v>
      </c>
      <c r="Z20" s="125">
        <v>1235.0</v>
      </c>
      <c r="AA20" s="56">
        <v>1.0</v>
      </c>
      <c r="AB20" s="58">
        <f>IF('28'!AA20=1,(('28'!Z20*'28'!$AS$6*'28'!$AT$6)/('28'!Y20*0.0036)),IF('28'!AA20=2,(('28'!Z20*'28'!$AS$7*'28'!$AT$7)/('28'!Y20*0.0036))))</f>
        <v>66.01040059</v>
      </c>
      <c r="AC20" s="58"/>
      <c r="AD20" s="59">
        <f>(('28'!AC20*'28'!$Q$10*1000000))/('28'!Y20*3600)</f>
        <v>0</v>
      </c>
      <c r="AE20" s="60"/>
      <c r="AF20" s="61">
        <f>('28'!AE20/24)*0.454</f>
        <v>0</v>
      </c>
      <c r="AG20" s="60"/>
      <c r="AH20" s="61">
        <f>('28'!AG20/24)*0.454</f>
        <v>0</v>
      </c>
      <c r="AI20" s="308">
        <v>5000.0</v>
      </c>
      <c r="AJ20" s="61">
        <f>('28'!AI20/24)*0.454</f>
        <v>94.58333333</v>
      </c>
      <c r="AK20" s="62"/>
      <c r="AL20" s="63">
        <f>('28'!AK20/24)*0.454</f>
        <v>0</v>
      </c>
      <c r="AM20" s="62"/>
      <c r="AN20" s="63">
        <f>('28'!AM20/24)*0.454</f>
        <v>0</v>
      </c>
      <c r="AO20" s="62"/>
      <c r="AP20" s="63">
        <f>('28'!AO20/24)*0.454</f>
        <v>0</v>
      </c>
    </row>
    <row r="21" ht="19.5" customHeight="1">
      <c r="A21" s="51" t="s">
        <v>54</v>
      </c>
      <c r="B21" s="91">
        <f>MIN('28'!B7:B18)</f>
        <v>132</v>
      </c>
      <c r="C21" s="92">
        <f>MIN('28'!C7:C18)</f>
        <v>13</v>
      </c>
      <c r="D21" s="92">
        <f>MIN('28'!D7:D18)</f>
        <v>11</v>
      </c>
      <c r="E21" s="92">
        <f>MIN('28'!E7:E18)</f>
        <v>5</v>
      </c>
      <c r="F21" s="92">
        <f>MIN('28'!F7:F18)</f>
        <v>22</v>
      </c>
      <c r="G21" s="100">
        <f>MIN('28'!G7:G18)</f>
        <v>1.1</v>
      </c>
      <c r="H21" s="100">
        <f>MIN('28'!H7:H18)</f>
        <v>1</v>
      </c>
      <c r="I21" s="100">
        <f>MIN('28'!I7:I18)</f>
        <v>0.3</v>
      </c>
      <c r="J21" s="100">
        <f>MIN('28'!J7:J18)</f>
        <v>0.4</v>
      </c>
      <c r="K21" s="100">
        <f>MIN('28'!K7:K18)</f>
        <v>6.9</v>
      </c>
      <c r="L21" s="100">
        <f>MIN('28'!L7:L18)</f>
        <v>6.3</v>
      </c>
      <c r="M21" s="100">
        <f>MIN('28'!M7:M18)</f>
        <v>6.3</v>
      </c>
      <c r="N21" s="100">
        <f>MIN('28'!N7:N18)</f>
        <v>6.1</v>
      </c>
      <c r="O21" s="101">
        <f>MIN('28'!O7:O18)</f>
        <v>2.5</v>
      </c>
      <c r="P21" s="101">
        <f>MIN('28'!P7:P18)</f>
        <v>0</v>
      </c>
      <c r="Q21" s="101">
        <f>MIN('28'!Q7:Q18)</f>
        <v>0</v>
      </c>
      <c r="R21" s="101">
        <f>MIN('28'!R7:R18)</f>
        <v>1235</v>
      </c>
      <c r="S21" s="101">
        <f>MIN('28'!S7:S18)</f>
        <v>64.9024024</v>
      </c>
      <c r="T21" s="99"/>
      <c r="U21" s="21"/>
      <c r="X21" s="54">
        <v>0.666666666666667</v>
      </c>
      <c r="Y21" s="125">
        <v>3467.0</v>
      </c>
      <c r="Z21" s="125">
        <v>1235.0</v>
      </c>
      <c r="AA21" s="56">
        <v>1.0</v>
      </c>
      <c r="AB21" s="58">
        <f>IF('28'!AA21=1,(('28'!Z21*'28'!$AS$6*'28'!$AT$6)/('28'!Y21*0.0036)),IF('28'!AA21=2,(('28'!Z21*'28'!$AS$7*'28'!$AT$7)/('28'!Y21*0.0036))))</f>
        <v>65.80096465</v>
      </c>
      <c r="AC21" s="58"/>
      <c r="AD21" s="59">
        <f>(('28'!AC21*'28'!$Q$10*1000000))/('28'!Y21*3600)</f>
        <v>0</v>
      </c>
      <c r="AE21" s="60"/>
      <c r="AF21" s="61">
        <f>('28'!AE21/24)*0.454</f>
        <v>0</v>
      </c>
      <c r="AG21" s="60"/>
      <c r="AH21" s="61">
        <f>('28'!AG21/24)*0.454</f>
        <v>0</v>
      </c>
      <c r="AI21" s="308">
        <v>5000.0</v>
      </c>
      <c r="AJ21" s="61">
        <f>('28'!AI21/24)*0.454</f>
        <v>94.58333333</v>
      </c>
      <c r="AK21" s="62"/>
      <c r="AL21" s="63">
        <f>('28'!AK21/24)*0.454</f>
        <v>0</v>
      </c>
      <c r="AM21" s="62"/>
      <c r="AN21" s="63">
        <f>('28'!AM21/24)*0.454</f>
        <v>0</v>
      </c>
      <c r="AO21" s="62"/>
      <c r="AP21" s="63">
        <f>('28'!AO21/24)*0.454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3506.0</v>
      </c>
      <c r="Z22" s="125">
        <v>1235.0</v>
      </c>
      <c r="AA22" s="56">
        <v>1.0</v>
      </c>
      <c r="AB22" s="58">
        <f>IF('28'!AA22=1,(('28'!Z22*'28'!$AS$6*'28'!$AT$6)/('28'!Y22*0.0036)),IF('28'!AA22=2,(('28'!Z22*'28'!$AS$7*'28'!$AT$7)/('28'!Y22*0.0036))))</f>
        <v>65.06900868</v>
      </c>
      <c r="AC22" s="58"/>
      <c r="AD22" s="59">
        <f>(('28'!AC22*'28'!$Q$10*1000000))/('28'!Y22*3600)</f>
        <v>0</v>
      </c>
      <c r="AE22" s="60"/>
      <c r="AF22" s="61">
        <f>('28'!AE22/24)*0.454</f>
        <v>0</v>
      </c>
      <c r="AG22" s="60"/>
      <c r="AH22" s="61">
        <f>('28'!AG22/24)*0.454</f>
        <v>0</v>
      </c>
      <c r="AI22" s="308">
        <v>5000.0</v>
      </c>
      <c r="AJ22" s="61">
        <f>('28'!AI22/24)*0.454</f>
        <v>94.58333333</v>
      </c>
      <c r="AK22" s="62"/>
      <c r="AL22" s="63">
        <f>('28'!AK22/24)*0.454</f>
        <v>0</v>
      </c>
      <c r="AM22" s="62"/>
      <c r="AN22" s="63">
        <f>('28'!AM22/24)*0.454</f>
        <v>0</v>
      </c>
      <c r="AO22" s="62"/>
      <c r="AP22" s="63">
        <f>('28'!AO22/24)*0.454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3486.0</v>
      </c>
      <c r="Z23" s="125">
        <v>1235.0</v>
      </c>
      <c r="AA23" s="56">
        <v>1.0</v>
      </c>
      <c r="AB23" s="58">
        <f>IF('28'!AA23=1,(('28'!Z23*'28'!$AS$6*'28'!$AT$6)/('28'!Y23*0.0036)),IF('28'!AA23=2,(('28'!Z23*'28'!$AS$7*'28'!$AT$7)/('28'!Y23*0.0036))))</f>
        <v>65.44232485</v>
      </c>
      <c r="AC23" s="58"/>
      <c r="AD23" s="59">
        <f>(('28'!AC23*'28'!$Q$10*1000000))/('28'!Y23*3600)</f>
        <v>0</v>
      </c>
      <c r="AE23" s="60"/>
      <c r="AF23" s="61">
        <f>('28'!AE23/24)*0.454</f>
        <v>0</v>
      </c>
      <c r="AG23" s="60"/>
      <c r="AH23" s="61">
        <f>('28'!AG23/24)*0.454</f>
        <v>0</v>
      </c>
      <c r="AI23" s="308">
        <v>5000.0</v>
      </c>
      <c r="AJ23" s="61">
        <f>('28'!AI23/24)*0.454</f>
        <v>94.58333333</v>
      </c>
      <c r="AK23" s="62"/>
      <c r="AL23" s="63">
        <f>('28'!AK23/24)*0.454</f>
        <v>0</v>
      </c>
      <c r="AM23" s="62"/>
      <c r="AN23" s="63">
        <f>('28'!AM23/24)*0.454</f>
        <v>0</v>
      </c>
      <c r="AO23" s="62"/>
      <c r="AP23" s="63">
        <f>('28'!AO23/24)*0.454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3482.0</v>
      </c>
      <c r="Z24" s="125">
        <v>1235.0</v>
      </c>
      <c r="AA24" s="56">
        <v>1.0</v>
      </c>
      <c r="AB24" s="57">
        <f>IF('28'!AA24=1,(('28'!Z24*'28'!$AS$6*'28'!$AT$6)/('28'!Y24*0.0036)),IF('28'!AA24=2,(('28'!Z24*'28'!$AS$7*'28'!$AT$7)/('28'!Y24*0.0036))))</f>
        <v>65.51750271</v>
      </c>
      <c r="AC24" s="58"/>
      <c r="AD24" s="59">
        <f>(('28'!AC24*'28'!$Q$10*1000000))/('28'!Y24*3600)</f>
        <v>0</v>
      </c>
      <c r="AE24" s="60"/>
      <c r="AF24" s="311">
        <f>('28'!AE24/24)*0.454</f>
        <v>0</v>
      </c>
      <c r="AG24" s="60"/>
      <c r="AH24" s="311">
        <f>('28'!AG24/24)*0.454</f>
        <v>0</v>
      </c>
      <c r="AI24" s="308">
        <v>5000.0</v>
      </c>
      <c r="AJ24" s="311">
        <f>('28'!AI24/24)*0.454</f>
        <v>94.58333333</v>
      </c>
      <c r="AK24" s="62"/>
      <c r="AL24" s="110">
        <f>('28'!AK24/24)*0.454</f>
        <v>0</v>
      </c>
      <c r="AM24" s="312"/>
      <c r="AN24" s="110">
        <f>('28'!AM24/24)*0.454</f>
        <v>0</v>
      </c>
      <c r="AO24" s="62"/>
      <c r="AP24" s="63">
        <f>('28'!AO24/24)*0.454</f>
        <v>0</v>
      </c>
    </row>
    <row r="25" ht="19.5" customHeight="1">
      <c r="A25" s="111">
        <v>0.416666666666667</v>
      </c>
      <c r="B25" s="313">
        <v>0.4</v>
      </c>
      <c r="C25" s="313">
        <v>0.51</v>
      </c>
      <c r="D25" s="313">
        <v>0.25</v>
      </c>
      <c r="E25" s="313">
        <v>0.22</v>
      </c>
      <c r="F25" s="313">
        <v>0.38</v>
      </c>
      <c r="G25" s="313"/>
      <c r="H25" s="313">
        <v>0.32</v>
      </c>
      <c r="I25" s="313">
        <v>0.32</v>
      </c>
      <c r="J25" s="313"/>
      <c r="K25" s="313">
        <v>0.39</v>
      </c>
      <c r="L25" s="313">
        <v>0.28</v>
      </c>
      <c r="M25" s="313">
        <v>0.13</v>
      </c>
      <c r="N25" s="313">
        <v>0.1</v>
      </c>
      <c r="O25" s="313">
        <v>0.3</v>
      </c>
      <c r="P25" s="313">
        <v>0.32</v>
      </c>
      <c r="Q25" s="313"/>
      <c r="R25" s="112" t="str">
        <f t="shared" ref="R25:R26" si="1">#DIV/0!</f>
        <v>#DIV/0!</v>
      </c>
      <c r="S25" s="113"/>
      <c r="T25" s="314" t="s">
        <v>0</v>
      </c>
      <c r="U25" s="361">
        <f>ESCALA!$A$30</f>
        <v>43949</v>
      </c>
      <c r="X25" s="54">
        <v>0.833333333333333</v>
      </c>
      <c r="Y25" s="125">
        <v>3472.0</v>
      </c>
      <c r="Z25" s="125">
        <v>1235.0</v>
      </c>
      <c r="AA25" s="56">
        <v>1.0</v>
      </c>
      <c r="AB25" s="58">
        <f>IF('28'!AA25=1,(('28'!Z25*'28'!$AS$6*'28'!$AT$6)/('28'!Y25*0.0036)),IF('28'!AA25=2,(('28'!Z25*'28'!$AS$7*'28'!$AT$7)/('28'!Y25*0.0036))))</f>
        <v>65.7062052</v>
      </c>
      <c r="AC25" s="58"/>
      <c r="AD25" s="59">
        <f>(('28'!AC25*'28'!$Q$10*1000000))/('28'!Y25*3600)</f>
        <v>0</v>
      </c>
      <c r="AE25" s="60"/>
      <c r="AF25" s="61">
        <f>('28'!AE25/24)*0.454</f>
        <v>0</v>
      </c>
      <c r="AG25" s="60"/>
      <c r="AH25" s="61">
        <f>('28'!AG25/24)*0.454</f>
        <v>0</v>
      </c>
      <c r="AI25" s="308">
        <v>5000.0</v>
      </c>
      <c r="AJ25" s="61">
        <f>('28'!AI25/24)*0.454</f>
        <v>94.58333333</v>
      </c>
      <c r="AK25" s="62"/>
      <c r="AL25" s="63">
        <f>('28'!AK25/24)*0.454</f>
        <v>0</v>
      </c>
      <c r="AM25" s="62"/>
      <c r="AN25" s="63">
        <f>('28'!AM25/24)*0.454</f>
        <v>0</v>
      </c>
      <c r="AO25" s="62"/>
      <c r="AP25" s="63">
        <f>('28'!AO25/24)*0.454</f>
        <v>0</v>
      </c>
    </row>
    <row r="26" ht="19.5" customHeight="1">
      <c r="A26" s="111">
        <v>0.666666666666667</v>
      </c>
      <c r="B26" s="313"/>
      <c r="C26" s="313"/>
      <c r="D26" s="313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3504.0</v>
      </c>
      <c r="Z26" s="125">
        <v>1235.0</v>
      </c>
      <c r="AA26" s="56">
        <v>1.0</v>
      </c>
      <c r="AB26" s="58">
        <f>IF('28'!AA26=1,(('28'!Z26*'28'!$AS$6*'28'!$AT$6)/('28'!Y26*0.0036)),IF('28'!AA26=2,(('28'!Z26*'28'!$AS$7*'28'!$AT$7)/('28'!Y26*0.0036))))</f>
        <v>65.10614853</v>
      </c>
      <c r="AC26" s="58"/>
      <c r="AD26" s="59">
        <f>(('28'!AC26*'28'!$Q$10*1000000))/('28'!Y26*3600)</f>
        <v>0</v>
      </c>
      <c r="AE26" s="60"/>
      <c r="AF26" s="61">
        <f>('28'!AE26/24)*0.454</f>
        <v>0</v>
      </c>
      <c r="AG26" s="60"/>
      <c r="AH26" s="61">
        <f>('28'!AG26/24)*0.454</f>
        <v>0</v>
      </c>
      <c r="AI26" s="308">
        <v>5000.0</v>
      </c>
      <c r="AJ26" s="61">
        <f>('28'!AI26/24)*0.454</f>
        <v>94.58333333</v>
      </c>
      <c r="AK26" s="62"/>
      <c r="AL26" s="63">
        <f>('28'!AK26/24)*0.454</f>
        <v>0</v>
      </c>
      <c r="AM26" s="62"/>
      <c r="AN26" s="63">
        <f>('28'!AM26/24)*0.454</f>
        <v>0</v>
      </c>
      <c r="AO26" s="62"/>
      <c r="AP26" s="63">
        <f>('28'!AO26/24)*0.454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3509.0</v>
      </c>
      <c r="Z27" s="125">
        <v>1235.0</v>
      </c>
      <c r="AA27" s="56">
        <v>1.0</v>
      </c>
      <c r="AB27" s="58">
        <f>IF('28'!AA27=1,(('28'!Z27*'28'!$AS$6*'28'!$AT$6)/('28'!Y27*0.0036)),IF('28'!AA27=2,(('28'!Z27*'28'!$AS$7*'28'!$AT$7)/('28'!Y27*0.0036))))</f>
        <v>65.0133783</v>
      </c>
      <c r="AC27" s="58"/>
      <c r="AD27" s="59">
        <f>(('28'!AC27*'28'!$Q$10*1000000))/('28'!Y27*3600)</f>
        <v>0</v>
      </c>
      <c r="AE27" s="60"/>
      <c r="AF27" s="61">
        <f>('28'!AE27/24)*0.454</f>
        <v>0</v>
      </c>
      <c r="AG27" s="60"/>
      <c r="AH27" s="61">
        <f>('28'!AG27/24)*0.454</f>
        <v>0</v>
      </c>
      <c r="AI27" s="308">
        <v>5000.0</v>
      </c>
      <c r="AJ27" s="61">
        <f>('28'!AI27/24)*0.454</f>
        <v>94.58333333</v>
      </c>
      <c r="AK27" s="62"/>
      <c r="AL27" s="63">
        <f>('28'!AK27/24)*0.454</f>
        <v>0</v>
      </c>
      <c r="AM27" s="62"/>
      <c r="AN27" s="63">
        <f>('28'!AM27/24)*0.454</f>
        <v>0</v>
      </c>
      <c r="AO27" s="62"/>
      <c r="AP27" s="63">
        <f>('28'!AO27/24)*0.454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3480.0</v>
      </c>
      <c r="Z28" s="125">
        <v>1235.0</v>
      </c>
      <c r="AA28" s="56">
        <v>1.0</v>
      </c>
      <c r="AB28" s="58">
        <f>IF('28'!AA28=1,(('28'!Z28*'28'!$AS$6*'28'!$AT$6)/('28'!Y28*0.0036)),IF('28'!AA28=2,(('28'!Z28*'28'!$AS$7*'28'!$AT$7)/('28'!Y28*0.0036))))</f>
        <v>65.55515645</v>
      </c>
      <c r="AC28" s="58"/>
      <c r="AD28" s="59">
        <f>(('28'!AC28*'28'!$Q$10*1000000))/('28'!Y28*3600)</f>
        <v>0</v>
      </c>
      <c r="AE28" s="60"/>
      <c r="AF28" s="61">
        <f>('28'!AE28/24)*0.454</f>
        <v>0</v>
      </c>
      <c r="AG28" s="60"/>
      <c r="AH28" s="61">
        <f>('28'!AG28/24)*0.454</f>
        <v>0</v>
      </c>
      <c r="AI28" s="308">
        <v>5000.0</v>
      </c>
      <c r="AJ28" s="61">
        <f>('28'!AI28/24)*0.454</f>
        <v>94.58333333</v>
      </c>
      <c r="AK28" s="62"/>
      <c r="AL28" s="63">
        <f>('28'!AK28/24)*0.454</f>
        <v>0</v>
      </c>
      <c r="AM28" s="62"/>
      <c r="AN28" s="63">
        <f>('28'!AM28/24)*0.454</f>
        <v>0</v>
      </c>
      <c r="AO28" s="62"/>
      <c r="AP28" s="63">
        <f>('28'!AO28/24)*0.454</f>
        <v>0</v>
      </c>
    </row>
    <row r="29" ht="18.75" customHeight="1">
      <c r="A29" s="334" t="s">
        <v>160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3509.0</v>
      </c>
      <c r="Z29" s="125">
        <v>1235.0</v>
      </c>
      <c r="AA29" s="56">
        <v>1.0</v>
      </c>
      <c r="AB29" s="58">
        <f>IF('28'!AA29=1,(('28'!Z29*'28'!$AS$6*'28'!$AT$6)/('28'!Y29*0.0036)),IF('28'!AA29=2,(('28'!Z29*'28'!$AS$7*'28'!$AT$7)/('28'!Y29*0.0036))))</f>
        <v>65.0133783</v>
      </c>
      <c r="AC29" s="58"/>
      <c r="AD29" s="59">
        <f>(('28'!AC29*'28'!$Q$10*1000000))/('28'!Y29*3600)</f>
        <v>0</v>
      </c>
      <c r="AE29" s="60"/>
      <c r="AF29" s="61">
        <f>('28'!AE29/24)*0.454</f>
        <v>0</v>
      </c>
      <c r="AG29" s="60"/>
      <c r="AH29" s="61">
        <f>('28'!AG29/24)*0.454</f>
        <v>0</v>
      </c>
      <c r="AI29" s="308">
        <v>5000.0</v>
      </c>
      <c r="AJ29" s="61">
        <f>('28'!AI29/24)*0.454</f>
        <v>94.58333333</v>
      </c>
      <c r="AK29" s="62"/>
      <c r="AL29" s="63">
        <f>('28'!AK29/24)*0.454</f>
        <v>0</v>
      </c>
      <c r="AM29" s="62"/>
      <c r="AN29" s="63">
        <f>('28'!AM29/24)*0.454</f>
        <v>0</v>
      </c>
      <c r="AO29" s="62"/>
      <c r="AP29" s="63">
        <f>('28'!AO29/24)*0.454</f>
        <v>0</v>
      </c>
    </row>
    <row r="30" ht="18.75" customHeight="1">
      <c r="A30" s="43"/>
      <c r="U30" s="27"/>
      <c r="X30" s="130" t="s">
        <v>55</v>
      </c>
      <c r="Y30" s="131">
        <f>SUM('28'!Y6:Y29)*3.6</f>
        <v>299466</v>
      </c>
      <c r="Z30" s="132">
        <f>SUM('28'!Z6:Z29)</f>
        <v>29800</v>
      </c>
      <c r="AA30" s="133"/>
      <c r="AB30" s="132"/>
      <c r="AC30" s="133"/>
      <c r="AD30" s="132"/>
      <c r="AE30" s="60"/>
      <c r="AF30" s="61">
        <f>SUM('28'!AF6:AF29)</f>
        <v>0</v>
      </c>
      <c r="AG30" s="60"/>
      <c r="AH30" s="61">
        <f>SUM('28'!AH6:AH29)</f>
        <v>0</v>
      </c>
      <c r="AI30" s="60"/>
      <c r="AJ30" s="61">
        <f>SUM('28'!AJ6:AJ29)</f>
        <v>2270</v>
      </c>
      <c r="AK30" s="62"/>
      <c r="AL30" s="63">
        <f>SUM('28'!AL6:AL29)</f>
        <v>0</v>
      </c>
      <c r="AM30" s="62"/>
      <c r="AN30" s="63">
        <f>SUM('28'!AN6:AN29)</f>
        <v>0</v>
      </c>
      <c r="AO30" s="62"/>
      <c r="AP30" s="63">
        <f>SUM('28'!AP6:AP29)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SUMIF('28'!AA6:AA29,"=1",'28'!Z6:Z29)</f>
        <v>29800</v>
      </c>
      <c r="AA32" s="132">
        <f>'28'!Z32*'28'!AS6</f>
        <v>39634</v>
      </c>
      <c r="AB32" s="139">
        <f>SUMIF('28'!$AA$6:$AA$29,"=1",'28'!$AB$6:$AB$29)/COUNTIF('28'!$AA$6:$AA$29,"=1")</f>
        <v>66.21068685</v>
      </c>
      <c r="AC32" s="140">
        <f>SUMIF('28'!AA6:AA29,"=1",'28'!AC6:AC29)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SUMIF('28'!AA6:AA29,"=2",'28'!Z6:Z29)</f>
        <v>0</v>
      </c>
      <c r="AA33" s="132">
        <f>'28'!Z33*'28'!AS7</f>
        <v>0</v>
      </c>
      <c r="AB33" s="139" t="str">
        <f>SUMIF('28'!$AA$6:$AA$29,"=2",'28'!$AB$6:$AB$29)/COUNTIF('28'!$AA$6:$AA$29,"=2")</f>
        <v>#DIV/0!</v>
      </c>
      <c r="AC33" s="145">
        <f>SUMIF('28'!AA6:AA29,"=2",'28'!AC6:AC29)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AVERAGE('28'!Y6:Y29)</f>
        <v>3466.041667</v>
      </c>
      <c r="Z34" s="56">
        <f>AVERAGE('28'!Z6:Z29)</f>
        <v>1241.666667</v>
      </c>
      <c r="AA34" s="152"/>
      <c r="AB34" s="152"/>
      <c r="AC34" s="153" t="str">
        <f>SUM('28'!AC6:AC29)/COUNTIF('28'!AC6:AC29,"&lt;&gt;0")</f>
        <v>#DIV/0!</v>
      </c>
      <c r="AD34" s="154" t="str">
        <f>SUM('28'!AD6:AD29)/COUNTIF('28'!AD6:AD29,"&lt;&gt;0")</f>
        <v>#DIV/0!</v>
      </c>
      <c r="AE34" s="133"/>
      <c r="AF34" s="153">
        <f>AVERAGE('28'!AF6:AF29)</f>
        <v>0</v>
      </c>
      <c r="AG34" s="153"/>
      <c r="AH34" s="153">
        <f>AVERAGE('28'!AH6:AH29)</f>
        <v>0</v>
      </c>
      <c r="AI34" s="153"/>
      <c r="AJ34" s="153">
        <f>'28'!AJ30/24</f>
        <v>94.58333333</v>
      </c>
      <c r="AK34" s="153"/>
      <c r="AL34" s="153">
        <f>AVERAGE('28'!AL6:AL29)</f>
        <v>0</v>
      </c>
      <c r="AM34" s="153"/>
      <c r="AN34" s="153">
        <f>AVERAGE('28'!AN6:AN29)</f>
        <v>0</v>
      </c>
      <c r="AO34" s="153"/>
      <c r="AP34" s="153">
        <f>AVERAGE('28'!AP6:AP29)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58.2</v>
      </c>
      <c r="D37" s="76">
        <v>32.1</v>
      </c>
      <c r="E37" s="76">
        <v>28.1</v>
      </c>
      <c r="F37" s="76">
        <v>1.2</v>
      </c>
      <c r="G37" s="60">
        <v>0.1</v>
      </c>
      <c r="H37" s="60">
        <v>0.1</v>
      </c>
      <c r="I37" s="60">
        <v>0.1</v>
      </c>
      <c r="J37" s="60">
        <v>0.1</v>
      </c>
      <c r="K37" s="60">
        <v>0.0</v>
      </c>
      <c r="L37" s="321"/>
      <c r="M37" s="106"/>
      <c r="N37" s="157"/>
      <c r="O37" s="51"/>
      <c r="P37" s="51"/>
      <c r="Q37" s="51"/>
      <c r="R37" s="51"/>
      <c r="S37" s="51"/>
      <c r="T37" s="51"/>
      <c r="U37" s="365" t="str">
        <f>'28'!V12</f>
        <v/>
      </c>
      <c r="X37" s="169" t="s">
        <v>75</v>
      </c>
      <c r="Y37" s="128"/>
      <c r="Z37" s="170">
        <f>COUNTA('28'!Z6:Z29)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SUM('28'!AF30+'28'!AH30)</f>
        <v>0</v>
      </c>
      <c r="AL38" s="178" t="s">
        <v>78</v>
      </c>
      <c r="AM38" s="179">
        <f>SUM('28'!AL30+'28'!AN30)</f>
        <v>0</v>
      </c>
      <c r="AO38" s="178" t="s">
        <v>78</v>
      </c>
      <c r="AP38" s="180">
        <f>'28'!AJ30</f>
        <v>2270</v>
      </c>
      <c r="AQ38" s="178" t="s">
        <v>78</v>
      </c>
      <c r="AR38" s="179">
        <f>'28'!AP30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('28'!AK38/'28'!Y30)*1000</f>
        <v>0</v>
      </c>
      <c r="AL39" s="327" t="s">
        <v>86</v>
      </c>
      <c r="AM39" s="328">
        <f>('28'!AM38/'28'!Y30)*1000</f>
        <v>0</v>
      </c>
      <c r="AO39" s="325" t="s">
        <v>86</v>
      </c>
      <c r="AP39" s="326">
        <f>('28'!AP38/'28'!Y30)*1000</f>
        <v>7.58015935</v>
      </c>
      <c r="AQ39" s="327" t="s">
        <v>86</v>
      </c>
      <c r="AR39" s="328">
        <f>('28'!AR38/'28'!Y30)*1000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SUM('28'!AK38,'28'!AM38)</f>
        <v>0</v>
      </c>
      <c r="AM40" s="128"/>
      <c r="AO40" s="210" t="s">
        <v>90</v>
      </c>
      <c r="AP40" s="128"/>
      <c r="AQ40" s="211">
        <f>SUM('28'!AP38,'28'!AR38)</f>
        <v>2270</v>
      </c>
      <c r="AR40" s="128"/>
    </row>
    <row r="41" ht="16.5" customHeight="1">
      <c r="A41" s="212">
        <f>COUNTA('28'!E7:E18)</f>
        <v>12</v>
      </c>
      <c r="B41" s="213">
        <f>COUNTA('28'!I7:I18)</f>
        <v>12</v>
      </c>
      <c r="C41" s="214">
        <f>COUNTA('28'!J7:J18)</f>
        <v>12</v>
      </c>
      <c r="D41" s="80"/>
      <c r="E41" s="214">
        <f>COUNTIF('28'!E7:E18,"&gt;15")</f>
        <v>0</v>
      </c>
      <c r="F41" s="80"/>
      <c r="G41" s="214">
        <f>COUNTIF('28'!J7:J18,"&gt;1")</f>
        <v>0</v>
      </c>
      <c r="H41" s="80"/>
      <c r="I41" s="215"/>
      <c r="J41" s="214">
        <f>'28'!A41-'28'!E41</f>
        <v>12</v>
      </c>
      <c r="K41" s="80"/>
      <c r="L41" s="214">
        <f>'28'!C41-'28'!G41</f>
        <v>12</v>
      </c>
      <c r="M41" s="80"/>
      <c r="N41" s="215"/>
      <c r="O41" s="216">
        <f>COUNTIF('28'!J7:J18,"&lt;=0,5")</f>
        <v>12</v>
      </c>
      <c r="P41" s="217"/>
      <c r="Q41" s="218"/>
      <c r="R41" s="219"/>
      <c r="S41" s="220">
        <f>COUNTIF('28'!J7:J18,"&lt;=1,0")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SUM(('28'!AK38+'28'!AM38)/'28'!Y30)*1000</f>
        <v>0</v>
      </c>
      <c r="AM41" s="128"/>
      <c r="AO41" s="210" t="s">
        <v>91</v>
      </c>
      <c r="AP41" s="128"/>
      <c r="AQ41" s="223">
        <f>SUM(('28'!AP38+'28'!AR38)/'28'!Y30)*1000</f>
        <v>7.58015935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SUM('28'!Y45,'28'!AA45,'28'!AC45,'28'!AE45)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COUNTIF('28'!I7:I18,"&lt;=5,0")</f>
        <v>12</v>
      </c>
      <c r="I45" s="127"/>
      <c r="J45" s="128"/>
      <c r="K45" s="215"/>
      <c r="L45" s="208">
        <f>COUNTA('28'!L37)</f>
        <v>0</v>
      </c>
      <c r="M45" s="128"/>
      <c r="O45" s="248"/>
      <c r="P45" s="249"/>
      <c r="Q45" s="250">
        <f>'28'!S41-'28'!O41</f>
        <v>0</v>
      </c>
      <c r="R45" s="251"/>
      <c r="S45" s="252"/>
      <c r="T45" s="253"/>
      <c r="X45" s="133" t="s">
        <v>104</v>
      </c>
      <c r="Y45" s="254">
        <f>'28'!Y44*275.3</f>
        <v>0</v>
      </c>
      <c r="Z45" s="133" t="s">
        <v>104</v>
      </c>
      <c r="AA45" s="254">
        <f>262.4*'28'!AA44</f>
        <v>0</v>
      </c>
      <c r="AB45" s="133" t="s">
        <v>104</v>
      </c>
      <c r="AC45" s="254">
        <f>'28'!AC44*277.7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422"/>
      <c r="AP45" s="89"/>
      <c r="AQ45" s="237"/>
      <c r="AR45" s="238"/>
    </row>
    <row r="46" ht="15.75" customHeight="1">
      <c r="F46" s="257"/>
      <c r="X46" s="196" t="s">
        <v>105</v>
      </c>
      <c r="Y46" s="258">
        <f>'28'!AS6</f>
        <v>1.33</v>
      </c>
      <c r="Z46" s="196" t="s">
        <v>105</v>
      </c>
      <c r="AA46" s="258">
        <f>'28'!Y46</f>
        <v>1.33</v>
      </c>
      <c r="AB46" s="196" t="s">
        <v>105</v>
      </c>
      <c r="AC46" s="258">
        <f>'28'!Y46</f>
        <v>1.33</v>
      </c>
      <c r="AD46" s="196" t="s">
        <v>105</v>
      </c>
      <c r="AE46" s="259">
        <f>'28'!Y46</f>
        <v>1.33</v>
      </c>
      <c r="AF46" s="260" t="s">
        <v>106</v>
      </c>
      <c r="AG46" s="261">
        <f>SUM('28'!Y47,'28'!AA47,'28'!AC47,'28'!AE47)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P46" s="27"/>
      <c r="AQ46" s="244" t="s">
        <v>102</v>
      </c>
      <c r="AR46" s="245">
        <f>SUM('10'!AJ47,'10'!AL47,'10'!AN47,'10'!AP47)</f>
        <v>0</v>
      </c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'28'!Y45*'28'!Y46</f>
        <v>0</v>
      </c>
      <c r="Z47" s="133" t="s">
        <v>108</v>
      </c>
      <c r="AA47" s="254">
        <f>'28'!AA45*'28'!AA46</f>
        <v>0</v>
      </c>
      <c r="AB47" s="133" t="s">
        <v>108</v>
      </c>
      <c r="AC47" s="254">
        <f>'28'!AC45*'28'!AC46</f>
        <v>0</v>
      </c>
      <c r="AD47" s="133" t="s">
        <v>108</v>
      </c>
      <c r="AE47" s="254">
        <f>'28'!AE45*'28'!AE46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P47" s="27"/>
      <c r="AQ47" s="46"/>
      <c r="AR47" s="46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P48" s="27"/>
      <c r="AQ48" s="260" t="s">
        <v>106</v>
      </c>
      <c r="AR48" s="261">
        <f>SUM('10'!AJ49,'10'!AL49,'10'!AN49,'10'!AP49)</f>
        <v>0</v>
      </c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8"/>
      <c r="AQ49" s="46"/>
      <c r="AR49" s="46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COUNTA('28'!O7:O18)</f>
        <v>12</v>
      </c>
      <c r="P51" s="128"/>
      <c r="R51" s="247">
        <f>COUNTIF('28'!O7:O18,"&gt;=0,5")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SUM('28'!Y53,'28'!AA53,'28'!AC53,'28'!AE53)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422"/>
      <c r="AP52" s="89"/>
      <c r="AQ52" s="270"/>
      <c r="AR52" s="271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'28'!Y52*275.3</f>
        <v>0</v>
      </c>
      <c r="Z53" s="133" t="s">
        <v>104</v>
      </c>
      <c r="AA53" s="254">
        <f>262.4*'28'!AA52</f>
        <v>0</v>
      </c>
      <c r="AB53" s="133" t="s">
        <v>104</v>
      </c>
      <c r="AC53" s="276">
        <f>'28'!AC52*277.7</f>
        <v>0</v>
      </c>
      <c r="AD53" s="133" t="s">
        <v>104</v>
      </c>
      <c r="AE53" s="352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P53" s="27"/>
      <c r="AQ53" s="244" t="s">
        <v>102</v>
      </c>
      <c r="AR53" s="245">
        <f>'10'!AJ54+'10'!AL54+'10'!AN54+'10'!AP54</f>
        <v>0</v>
      </c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'28'!AS7</f>
        <v>1.345</v>
      </c>
      <c r="Z54" s="196" t="s">
        <v>105</v>
      </c>
      <c r="AA54" s="258">
        <f>'28'!Y54</f>
        <v>1.345</v>
      </c>
      <c r="AB54" s="196" t="s">
        <v>105</v>
      </c>
      <c r="AC54" s="258">
        <f>'28'!Y54</f>
        <v>1.345</v>
      </c>
      <c r="AD54" s="196" t="s">
        <v>105</v>
      </c>
      <c r="AE54" s="259">
        <f>'28'!Y54</f>
        <v>1.345</v>
      </c>
      <c r="AF54" s="260" t="s">
        <v>106</v>
      </c>
      <c r="AG54" s="261">
        <f>SUM('28'!Y55,'28'!AA55,'28'!AC55,'28'!AE55)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262.4*AL53</f>
        <v>0</v>
      </c>
      <c r="AM54" s="133" t="s">
        <v>104</v>
      </c>
      <c r="AN54" s="276">
        <f>AN53*277.7</f>
        <v>0</v>
      </c>
      <c r="AO54" s="43"/>
      <c r="AP54" s="27"/>
      <c r="AQ54" s="46"/>
      <c r="AR54" s="46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'28'!Y53*'28'!Y54</f>
        <v>0</v>
      </c>
      <c r="Z55" s="133" t="s">
        <v>108</v>
      </c>
      <c r="AA55" s="254">
        <f>'28'!AA53*'28'!AA54</f>
        <v>0</v>
      </c>
      <c r="AB55" s="133" t="s">
        <v>108</v>
      </c>
      <c r="AC55" s="254">
        <f>'28'!AC53*'28'!AC54</f>
        <v>0</v>
      </c>
      <c r="AD55" s="133" t="s">
        <v>108</v>
      </c>
      <c r="AE55" s="254">
        <f>'28'!AE53*'28'!AE54</f>
        <v>0</v>
      </c>
      <c r="AF55" s="46"/>
      <c r="AG55" s="46"/>
      <c r="AI55" s="196" t="s">
        <v>105</v>
      </c>
      <c r="AJ55" s="258">
        <f>Y54</f>
        <v>1.345</v>
      </c>
      <c r="AK55" s="196" t="s">
        <v>105</v>
      </c>
      <c r="AL55" s="258">
        <f>AJ55</f>
        <v>1.345</v>
      </c>
      <c r="AM55" s="196" t="s">
        <v>105</v>
      </c>
      <c r="AN55" s="258">
        <f>AJ55</f>
        <v>1.345</v>
      </c>
      <c r="AO55" s="43"/>
      <c r="AP55" s="27"/>
      <c r="AQ55" s="260" t="s">
        <v>106</v>
      </c>
      <c r="AR55" s="261">
        <f>SUM('10'!AJ56,'10'!AL56,'10'!AN56,'10'!AP56)</f>
        <v>0</v>
      </c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AL54*AL55</f>
        <v>0</v>
      </c>
      <c r="AM56" s="133" t="s">
        <v>108</v>
      </c>
      <c r="AN56" s="254">
        <f>AN54*AN55</f>
        <v>0</v>
      </c>
      <c r="AO56" s="16"/>
      <c r="AP56" s="18"/>
      <c r="AQ56" s="46"/>
      <c r="AR56" s="46"/>
    </row>
    <row r="57" ht="15.75" customHeight="1">
      <c r="O57" s="169">
        <f>COUNTA('28'!N7:N18)</f>
        <v>12</v>
      </c>
      <c r="P57" s="128"/>
      <c r="R57" s="277">
        <f>COUNTIF('28'!N7:N18,"&gt;=6")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39634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124</v>
      </c>
      <c r="AC63" s="125"/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-39634</v>
      </c>
      <c r="AR63" s="80"/>
    </row>
    <row r="64" ht="15.0" customHeight="1">
      <c r="X64" s="294"/>
      <c r="Y64" s="295"/>
      <c r="Z64" s="43"/>
      <c r="AA64" s="27"/>
      <c r="AB64" s="296"/>
      <c r="AC64" s="125"/>
    </row>
    <row r="65" ht="39.0" customHeight="1">
      <c r="X65" s="297" t="s">
        <v>126</v>
      </c>
      <c r="Y65" s="298"/>
      <c r="Z65" s="43"/>
      <c r="AA65" s="27"/>
      <c r="AB65" s="299" t="s">
        <v>126</v>
      </c>
      <c r="AC65" s="330"/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SUM('28'!AK38,'28'!AP38)</f>
        <v>2270</v>
      </c>
      <c r="Z67" s="43"/>
      <c r="AA67" s="27"/>
      <c r="AB67" s="296" t="s">
        <v>124</v>
      </c>
      <c r="AC67" s="254">
        <f>SUM('28'!AM38,'28'!AR38)</f>
        <v>0</v>
      </c>
    </row>
    <row r="68" ht="15.75" customHeight="1">
      <c r="X68" s="294" t="s">
        <v>128</v>
      </c>
      <c r="Y68" s="301">
        <f>SUM('28'!Y63,'28'!Y65)-'28'!Y67</f>
        <v>-2270</v>
      </c>
      <c r="Z68" s="16"/>
      <c r="AA68" s="18"/>
      <c r="AB68" s="296" t="s">
        <v>128</v>
      </c>
      <c r="AC68" s="302">
        <f>SUM('28'!AC63,'28'!AC65)-'28'!AC67</f>
        <v>0</v>
      </c>
    </row>
    <row r="69" ht="13.5" customHeight="1"/>
    <row r="70" ht="15.75" customHeight="1">
      <c r="Z70" s="504" t="s">
        <v>161</v>
      </c>
      <c r="AA70" s="505">
        <f>SUM('28'!Y68,'28'!AC68)</f>
        <v>-2270</v>
      </c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9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6"/>
    <mergeCell ref="V17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AO40:AP40"/>
    <mergeCell ref="AO41:AP41"/>
    <mergeCell ref="AI44:AR44"/>
    <mergeCell ref="X41:AG41"/>
    <mergeCell ref="X42:AG42"/>
    <mergeCell ref="E40:F40"/>
    <mergeCell ref="G40:H40"/>
    <mergeCell ref="X40:AG40"/>
    <mergeCell ref="AL40:AM40"/>
    <mergeCell ref="AQ40:AR40"/>
    <mergeCell ref="AL41:AM41"/>
    <mergeCell ref="AQ41:AR41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O37:AP37"/>
    <mergeCell ref="AQ37:AR37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AJ40:AK40"/>
    <mergeCell ref="AJ41:AK41"/>
    <mergeCell ref="J40:K40"/>
    <mergeCell ref="L40:M40"/>
    <mergeCell ref="O39:Q40"/>
    <mergeCell ref="O41:Q41"/>
    <mergeCell ref="O42:T42"/>
    <mergeCell ref="Q43:S44"/>
    <mergeCell ref="X43:Y43"/>
    <mergeCell ref="Z43:AA43"/>
    <mergeCell ref="AB43:AC43"/>
    <mergeCell ref="AQ53:AQ54"/>
    <mergeCell ref="AR53:AR54"/>
    <mergeCell ref="AQ55:AQ56"/>
    <mergeCell ref="AR55:AR56"/>
    <mergeCell ref="AF54:AF55"/>
    <mergeCell ref="AG54:AG55"/>
    <mergeCell ref="O55:P56"/>
    <mergeCell ref="R55:T56"/>
    <mergeCell ref="O57:P57"/>
    <mergeCell ref="R57:T57"/>
    <mergeCell ref="X58:AC58"/>
    <mergeCell ref="AD52:AE52"/>
    <mergeCell ref="AF52:AF53"/>
    <mergeCell ref="AG52:AG53"/>
    <mergeCell ref="AI52:AJ52"/>
    <mergeCell ref="AK52:AL52"/>
    <mergeCell ref="AM52:AN52"/>
    <mergeCell ref="AO52:AP56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59:AR59"/>
    <mergeCell ref="AI60:AM60"/>
    <mergeCell ref="AN60:AR60"/>
    <mergeCell ref="AI61:AK61"/>
    <mergeCell ref="AL61:AM61"/>
    <mergeCell ref="AN61:AP61"/>
    <mergeCell ref="AQ61:AR61"/>
    <mergeCell ref="X62:Y62"/>
    <mergeCell ref="X66:Y66"/>
    <mergeCell ref="X59:AC59"/>
    <mergeCell ref="X60:Y60"/>
    <mergeCell ref="Z60:AA60"/>
    <mergeCell ref="AB60:AC60"/>
    <mergeCell ref="X61:AC61"/>
    <mergeCell ref="Z62:AA68"/>
    <mergeCell ref="AB62:AC62"/>
    <mergeCell ref="AB66:AC66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AO45:AP49"/>
    <mergeCell ref="AQ46:AQ47"/>
    <mergeCell ref="AR46:AR47"/>
    <mergeCell ref="AQ48:AQ49"/>
    <mergeCell ref="AR48:AR49"/>
    <mergeCell ref="AI51:AR51"/>
    <mergeCell ref="AD43:AE43"/>
    <mergeCell ref="AD44:AE44"/>
    <mergeCell ref="AG44:AG45"/>
    <mergeCell ref="AI45:AJ45"/>
    <mergeCell ref="AK45:AL45"/>
    <mergeCell ref="AM45:AN45"/>
    <mergeCell ref="AG46:AG47"/>
    <mergeCell ref="Q45:S45"/>
    <mergeCell ref="O47:T48"/>
    <mergeCell ref="O49:P50"/>
    <mergeCell ref="R49:T50"/>
    <mergeCell ref="O51:P51"/>
    <mergeCell ref="R51:T51"/>
    <mergeCell ref="O53:T54"/>
    <mergeCell ref="AF44:AF45"/>
    <mergeCell ref="AF46:AF47"/>
    <mergeCell ref="X50:AG50"/>
    <mergeCell ref="X51:Y51"/>
    <mergeCell ref="Z51:AA51"/>
    <mergeCell ref="AB51:AC51"/>
    <mergeCell ref="AD51:AE51"/>
  </mergeCells>
  <conditionalFormatting sqref="O21">
    <cfRule type="cellIs" dxfId="0" priority="1" operator="lessThan">
      <formula>2.5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8.57"/>
    <col customWidth="1" min="20" max="20" width="8.14"/>
    <col customWidth="1" min="21" max="21" width="8.71"/>
    <col customWidth="1" min="22" max="24" width="8.57"/>
    <col customWidth="1" min="25" max="25" width="8.14"/>
    <col customWidth="1" min="26" max="26" width="8.71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47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152</v>
      </c>
      <c r="AF4" s="32" t="s">
        <v>153</v>
      </c>
      <c r="AG4" s="32" t="s">
        <v>154</v>
      </c>
      <c r="AH4" s="32" t="s">
        <v>155</v>
      </c>
      <c r="AI4" s="32" t="s">
        <v>156</v>
      </c>
      <c r="AJ4" s="32" t="s">
        <v>157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3486.0</v>
      </c>
      <c r="Z6" s="60">
        <v>1235.0</v>
      </c>
      <c r="AA6" s="56">
        <v>1.0</v>
      </c>
      <c r="AB6" s="58">
        <f>IF('29'!AA6=1,(('29'!Z6*'29'!$AS$6*'29'!$AT$6)/('29'!Y6*0.0036)),IF('29'!AA6=2,(('29'!Z6*'29'!$AS$7*'29'!$AT$7)/('29'!Y6*0.0036))))</f>
        <v>65.44232485</v>
      </c>
      <c r="AC6" s="58"/>
      <c r="AD6" s="59">
        <f>(('29'!AC6*'29'!$Q$10*1000000))/('29'!Y6*3600)</f>
        <v>0</v>
      </c>
      <c r="AE6" s="60"/>
      <c r="AF6" s="61">
        <f>('29'!AE6/24)*0.454</f>
        <v>0</v>
      </c>
      <c r="AG6" s="60"/>
      <c r="AH6" s="61">
        <f>('29'!AG6/24)*0.454</f>
        <v>0</v>
      </c>
      <c r="AI6" s="60">
        <v>5000.0</v>
      </c>
      <c r="AJ6" s="61">
        <f>('29'!AI6/24)*0.454</f>
        <v>94.58333333</v>
      </c>
      <c r="AK6" s="62"/>
      <c r="AL6" s="63">
        <f>('29'!AK6/24)*0.454</f>
        <v>0</v>
      </c>
      <c r="AM6" s="62"/>
      <c r="AN6" s="63">
        <f>('29'!AM6/24)*0.454</f>
        <v>0</v>
      </c>
      <c r="AO6" s="62"/>
      <c r="AP6" s="63">
        <f>('29'!AO6/24)*0.454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121.0</v>
      </c>
      <c r="C7" s="76">
        <v>15.0</v>
      </c>
      <c r="D7" s="76">
        <v>14.0</v>
      </c>
      <c r="E7" s="76">
        <v>6.0</v>
      </c>
      <c r="F7" s="76">
        <v>23.0</v>
      </c>
      <c r="G7" s="76">
        <v>1.2</v>
      </c>
      <c r="H7" s="76">
        <v>1.0</v>
      </c>
      <c r="I7" s="76">
        <v>0.3</v>
      </c>
      <c r="J7" s="76">
        <v>0.4</v>
      </c>
      <c r="K7" s="76">
        <v>6.9</v>
      </c>
      <c r="L7" s="76">
        <v>6.5</v>
      </c>
      <c r="M7" s="76">
        <v>6.5</v>
      </c>
      <c r="N7" s="76">
        <v>6.2</v>
      </c>
      <c r="O7" s="76">
        <v>3.0</v>
      </c>
      <c r="P7" s="76"/>
      <c r="Q7" s="310"/>
      <c r="R7" s="77">
        <f>'28'!$Z$29</f>
        <v>1235</v>
      </c>
      <c r="S7" s="309">
        <f>'28'!$AB$29</f>
        <v>65.0133783</v>
      </c>
      <c r="T7" s="77">
        <f>'28'!$Y$29</f>
        <v>3509</v>
      </c>
      <c r="U7" s="73" t="str">
        <f>IF('29'!AA6=1,'29'!AR6,'29'!AR7)</f>
        <v>S.A.L</v>
      </c>
      <c r="V7" s="74" t="str">
        <f>ESCALA!$B$30</f>
        <v/>
      </c>
      <c r="W7" s="12"/>
      <c r="X7" s="54">
        <v>0.0833333333333333</v>
      </c>
      <c r="Y7" s="125">
        <v>3519.0</v>
      </c>
      <c r="Z7" s="60">
        <v>1235.0</v>
      </c>
      <c r="AA7" s="56">
        <v>1.0</v>
      </c>
      <c r="AB7" s="58">
        <f>IF('29'!AA7=1,(('29'!Z7*'29'!$AS$6*'29'!$AT$6)/('29'!Y7*0.0036)),IF('29'!AA7=2,(('29'!Z7*'29'!$AS$7*'29'!$AT$7)/('29'!Y7*0.0036))))</f>
        <v>64.82862871</v>
      </c>
      <c r="AC7" s="58"/>
      <c r="AD7" s="59">
        <f>(('29'!AC7*'29'!$Q$10*1000000))/('29'!Y7*3600)</f>
        <v>0</v>
      </c>
      <c r="AE7" s="60"/>
      <c r="AF7" s="61">
        <f>('29'!AE7/24)*0.454</f>
        <v>0</v>
      </c>
      <c r="AG7" s="60"/>
      <c r="AH7" s="61">
        <f>('29'!AG7/24)*0.454</f>
        <v>0</v>
      </c>
      <c r="AI7" s="60">
        <v>5000.0</v>
      </c>
      <c r="AJ7" s="61">
        <f>('29'!AI7/24)*0.454</f>
        <v>94.58333333</v>
      </c>
      <c r="AK7" s="62"/>
      <c r="AL7" s="63">
        <f>('29'!AK7/24)*0.454</f>
        <v>0</v>
      </c>
      <c r="AM7" s="62"/>
      <c r="AN7" s="63">
        <f>('29'!AM7/24)*0.454</f>
        <v>0</v>
      </c>
      <c r="AO7" s="62"/>
      <c r="AP7" s="63">
        <f>('29'!AO7/24)*0.454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115.0</v>
      </c>
      <c r="C8" s="76">
        <v>14.0</v>
      </c>
      <c r="D8" s="76">
        <v>14.0</v>
      </c>
      <c r="E8" s="76">
        <v>7.0</v>
      </c>
      <c r="F8" s="76">
        <v>22.0</v>
      </c>
      <c r="G8" s="76">
        <v>1.1</v>
      </c>
      <c r="H8" s="76">
        <v>0.9</v>
      </c>
      <c r="I8" s="76">
        <v>0.3</v>
      </c>
      <c r="J8" s="76">
        <v>0.4</v>
      </c>
      <c r="K8" s="76">
        <v>6.9</v>
      </c>
      <c r="L8" s="76">
        <v>6.5</v>
      </c>
      <c r="M8" s="76">
        <v>6.5</v>
      </c>
      <c r="N8" s="76">
        <v>6.2</v>
      </c>
      <c r="O8" s="76">
        <v>3.0</v>
      </c>
      <c r="P8" s="76"/>
      <c r="Q8" s="310"/>
      <c r="R8" s="75">
        <f>'29'!Z7</f>
        <v>1235</v>
      </c>
      <c r="S8" s="76">
        <f>'29'!AB7</f>
        <v>64.82862871</v>
      </c>
      <c r="T8" s="77">
        <f>'29'!Y7</f>
        <v>3519</v>
      </c>
      <c r="U8" s="73" t="str">
        <f>IF('29'!AA7=1,'29'!AR6,'29'!AR7)</f>
        <v>S.A.L</v>
      </c>
      <c r="V8" s="43"/>
      <c r="W8" s="27"/>
      <c r="X8" s="54">
        <v>0.125</v>
      </c>
      <c r="Y8" s="125">
        <v>3498.0</v>
      </c>
      <c r="Z8" s="60">
        <v>1235.0</v>
      </c>
      <c r="AA8" s="56">
        <v>1.0</v>
      </c>
      <c r="AB8" s="58">
        <f>IF('29'!AA8=1,(('29'!Z8*'29'!$AS$6*'29'!$AT$6)/('29'!Y8*0.0036)),IF('29'!AA8=2,(('29'!Z8*'29'!$AS$7*'29'!$AT$7)/('29'!Y8*0.0036))))</f>
        <v>65.21782288</v>
      </c>
      <c r="AC8" s="58"/>
      <c r="AD8" s="59">
        <f>(('29'!AC8*'29'!$Q$10*1000000))/('29'!Y8*3600)</f>
        <v>0</v>
      </c>
      <c r="AE8" s="60"/>
      <c r="AF8" s="61">
        <f>('29'!AE8/24)*0.454</f>
        <v>0</v>
      </c>
      <c r="AG8" s="60"/>
      <c r="AH8" s="61">
        <f>('29'!AG8/24)*0.454</f>
        <v>0</v>
      </c>
      <c r="AI8" s="60">
        <v>5000.0</v>
      </c>
      <c r="AJ8" s="61">
        <f>('29'!AI8/24)*0.454</f>
        <v>94.58333333</v>
      </c>
      <c r="AK8" s="62"/>
      <c r="AL8" s="63">
        <f>('29'!AK8/24)*0.454</f>
        <v>0</v>
      </c>
      <c r="AM8" s="62"/>
      <c r="AN8" s="63">
        <f>('29'!AM8/24)*0.454</f>
        <v>0</v>
      </c>
      <c r="AO8" s="62"/>
      <c r="AP8" s="63">
        <f>('29'!AO8/24)*0.454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110.0</v>
      </c>
      <c r="C9" s="76">
        <v>14.0</v>
      </c>
      <c r="D9" s="76">
        <v>14.0</v>
      </c>
      <c r="E9" s="76">
        <v>7.0</v>
      </c>
      <c r="F9" s="76">
        <v>20.0</v>
      </c>
      <c r="G9" s="76">
        <v>1.1</v>
      </c>
      <c r="H9" s="76">
        <v>0.9</v>
      </c>
      <c r="I9" s="76">
        <v>0.3</v>
      </c>
      <c r="J9" s="76">
        <v>0.4</v>
      </c>
      <c r="K9" s="76">
        <v>6.9</v>
      </c>
      <c r="L9" s="76">
        <v>6.5</v>
      </c>
      <c r="M9" s="76">
        <v>6.5</v>
      </c>
      <c r="N9" s="76">
        <v>6.2</v>
      </c>
      <c r="O9" s="76">
        <v>2.8</v>
      </c>
      <c r="P9" s="76"/>
      <c r="Q9" s="310"/>
      <c r="R9" s="77">
        <f>'29'!Z9</f>
        <v>1235</v>
      </c>
      <c r="S9" s="76">
        <f>'29'!AB9</f>
        <v>65.19918389</v>
      </c>
      <c r="T9" s="77">
        <f>'29'!Y9</f>
        <v>3499</v>
      </c>
      <c r="U9" s="73" t="str">
        <f>IF('29'!AA9=1,'29'!AR6,'29'!AR7)</f>
        <v>S.A.L</v>
      </c>
      <c r="V9" s="43"/>
      <c r="W9" s="27"/>
      <c r="X9" s="54">
        <v>0.166666666666667</v>
      </c>
      <c r="Y9" s="125">
        <v>3499.0</v>
      </c>
      <c r="Z9" s="60">
        <v>1235.0</v>
      </c>
      <c r="AA9" s="56">
        <v>1.0</v>
      </c>
      <c r="AB9" s="58">
        <f>IF('29'!AA9=1,(('29'!Z9*'29'!$AS$6*'29'!$AT$6)/('29'!Y9*0.0036)),IF('29'!AA9=2,(('29'!Z9*'29'!$AS$7*'29'!$AT$7)/('29'!Y9*0.0036))))</f>
        <v>65.19918389</v>
      </c>
      <c r="AC9" s="58"/>
      <c r="AD9" s="59">
        <f>(('29'!AC9*'29'!$Q$10*1000000))/('29'!Y9*3600)</f>
        <v>0</v>
      </c>
      <c r="AE9" s="60"/>
      <c r="AF9" s="61">
        <f>('29'!AE9/24)*0.454</f>
        <v>0</v>
      </c>
      <c r="AG9" s="60"/>
      <c r="AH9" s="61">
        <f>('29'!AG9/24)*0.454</f>
        <v>0</v>
      </c>
      <c r="AI9" s="60">
        <v>5000.0</v>
      </c>
      <c r="AJ9" s="61">
        <f>('29'!AI9/24)*0.454</f>
        <v>94.58333333</v>
      </c>
      <c r="AK9" s="62"/>
      <c r="AL9" s="63">
        <f>('29'!AK9/24)*0.454</f>
        <v>0</v>
      </c>
      <c r="AM9" s="62"/>
      <c r="AN9" s="63">
        <f>('29'!AM9/24)*0.454</f>
        <v>0</v>
      </c>
      <c r="AO9" s="62"/>
      <c r="AP9" s="63">
        <f>('29'!AO9/24)*0.454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108.0</v>
      </c>
      <c r="C10" s="76">
        <v>14.0</v>
      </c>
      <c r="D10" s="76">
        <v>14.0</v>
      </c>
      <c r="E10" s="76">
        <v>7.0</v>
      </c>
      <c r="F10" s="76">
        <v>19.0</v>
      </c>
      <c r="G10" s="76">
        <v>1.1</v>
      </c>
      <c r="H10" s="76">
        <v>0.9</v>
      </c>
      <c r="I10" s="76">
        <v>0.3</v>
      </c>
      <c r="J10" s="76">
        <v>0.5</v>
      </c>
      <c r="K10" s="76">
        <v>6.9</v>
      </c>
      <c r="L10" s="76">
        <v>6.5</v>
      </c>
      <c r="M10" s="76">
        <v>6.5</v>
      </c>
      <c r="N10" s="76">
        <v>6.2</v>
      </c>
      <c r="O10" s="76">
        <v>2.8</v>
      </c>
      <c r="P10" s="76"/>
      <c r="Q10" s="310"/>
      <c r="R10" s="77">
        <f>'29'!Z11</f>
        <v>1235</v>
      </c>
      <c r="S10" s="76">
        <f>'29'!AB11</f>
        <v>65.29248553</v>
      </c>
      <c r="T10" s="77">
        <f>'29'!Y11</f>
        <v>3494</v>
      </c>
      <c r="U10" s="73" t="str">
        <f>IF('29'!AA11=1,'29'!AR6,'29'!AR7)</f>
        <v>S.A.L</v>
      </c>
      <c r="V10" s="43"/>
      <c r="W10" s="27"/>
      <c r="X10" s="54">
        <v>0.208333333333333</v>
      </c>
      <c r="Y10" s="125">
        <v>3471.0</v>
      </c>
      <c r="Z10" s="60">
        <v>1235.0</v>
      </c>
      <c r="AA10" s="56">
        <v>1.0</v>
      </c>
      <c r="AB10" s="58">
        <f>IF('29'!AA10=1,(('29'!Z10*'29'!$AS$6*'29'!$AT$6)/('29'!Y10*0.0036)),IF('29'!AA10=2,(('29'!Z10*'29'!$AS$7*'29'!$AT$7)/('29'!Y10*0.0036))))</f>
        <v>65.72513525</v>
      </c>
      <c r="AC10" s="58"/>
      <c r="AD10" s="59">
        <f>(('29'!AC10*'29'!$Q$10*1000000))/('29'!Y10*3600)</f>
        <v>0</v>
      </c>
      <c r="AE10" s="60"/>
      <c r="AF10" s="61">
        <f>('29'!AE10/24)*0.454</f>
        <v>0</v>
      </c>
      <c r="AG10" s="60"/>
      <c r="AH10" s="61">
        <f>('29'!AG10/24)*0.454</f>
        <v>0</v>
      </c>
      <c r="AI10" s="60">
        <v>5000.0</v>
      </c>
      <c r="AJ10" s="61">
        <f>('29'!AI10/24)*0.454</f>
        <v>94.58333333</v>
      </c>
      <c r="AK10" s="62"/>
      <c r="AL10" s="63">
        <f>('29'!AK10/24)*0.454</f>
        <v>0</v>
      </c>
      <c r="AM10" s="62"/>
      <c r="AN10" s="63">
        <f>('29'!AM10/24)*0.454</f>
        <v>0</v>
      </c>
      <c r="AO10" s="62"/>
      <c r="AP10" s="63">
        <f>('29'!AO10/24)*0.454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105.0</v>
      </c>
      <c r="C11" s="76">
        <v>14.0</v>
      </c>
      <c r="D11" s="76">
        <v>1.2</v>
      </c>
      <c r="E11" s="76">
        <v>8.0</v>
      </c>
      <c r="F11" s="76">
        <v>19.0</v>
      </c>
      <c r="G11" s="76">
        <v>1.4</v>
      </c>
      <c r="H11" s="76">
        <v>0.9</v>
      </c>
      <c r="I11" s="76">
        <v>0.5</v>
      </c>
      <c r="J11" s="76">
        <v>0.5</v>
      </c>
      <c r="K11" s="76">
        <v>6.9</v>
      </c>
      <c r="L11" s="76">
        <v>6.5</v>
      </c>
      <c r="M11" s="76">
        <v>6.5</v>
      </c>
      <c r="N11" s="76">
        <v>6.2</v>
      </c>
      <c r="O11" s="76">
        <v>2.8</v>
      </c>
      <c r="P11" s="76"/>
      <c r="Q11" s="310"/>
      <c r="R11" s="77">
        <f>'29'!Z13</f>
        <v>1235</v>
      </c>
      <c r="S11" s="76">
        <f>'29'!AB13</f>
        <v>65.46110314</v>
      </c>
      <c r="T11" s="77">
        <f>'29'!Y13</f>
        <v>3485</v>
      </c>
      <c r="U11" s="73" t="str">
        <f>IF('29'!AA13=1,'29'!AR6,'29'!AR7)</f>
        <v>S.A.L</v>
      </c>
      <c r="V11" s="16"/>
      <c r="W11" s="18"/>
      <c r="X11" s="54">
        <v>0.25</v>
      </c>
      <c r="Y11" s="125">
        <v>3494.0</v>
      </c>
      <c r="Z11" s="60">
        <v>1235.0</v>
      </c>
      <c r="AA11" s="56">
        <v>1.0</v>
      </c>
      <c r="AB11" s="58">
        <f>IF('29'!AA11=1,(('29'!Z11*'29'!$AS$6*'29'!$AT$6)/('29'!Y11*0.0036)),IF('29'!AA11=2,(('29'!Z11*'29'!$AS$7*'29'!$AT$7)/('29'!Y11*0.0036))))</f>
        <v>65.29248553</v>
      </c>
      <c r="AC11" s="58"/>
      <c r="AD11" s="59">
        <f>(('29'!AC11*'29'!$Q$10*1000000))/('29'!Y11*3600)</f>
        <v>0</v>
      </c>
      <c r="AE11" s="60"/>
      <c r="AF11" s="61">
        <f>('29'!AE11/24)*0.454</f>
        <v>0</v>
      </c>
      <c r="AG11" s="60"/>
      <c r="AH11" s="61">
        <f>('29'!AG11/24)*0.454</f>
        <v>0</v>
      </c>
      <c r="AI11" s="60">
        <v>5000.0</v>
      </c>
      <c r="AJ11" s="61">
        <f>('29'!AI11/24)*0.454</f>
        <v>94.58333333</v>
      </c>
      <c r="AK11" s="62"/>
      <c r="AL11" s="63">
        <f>('29'!AK11/24)*0.454</f>
        <v>0</v>
      </c>
      <c r="AM11" s="62"/>
      <c r="AN11" s="63">
        <f>('29'!AM11/24)*0.454</f>
        <v>0</v>
      </c>
      <c r="AO11" s="62"/>
      <c r="AP11" s="63">
        <f>('29'!AO11/24)*0.454</f>
        <v>0</v>
      </c>
    </row>
    <row r="12" ht="18.75" customHeight="1">
      <c r="A12" s="69">
        <v>0.416666666666667</v>
      </c>
      <c r="B12" s="76">
        <v>106.0</v>
      </c>
      <c r="C12" s="76">
        <v>16.0</v>
      </c>
      <c r="D12" s="76">
        <v>1.2</v>
      </c>
      <c r="E12" s="76">
        <v>8.0</v>
      </c>
      <c r="F12" s="76">
        <v>20.0</v>
      </c>
      <c r="G12" s="76">
        <v>1.5</v>
      </c>
      <c r="H12" s="76">
        <v>1.0</v>
      </c>
      <c r="I12" s="76">
        <v>0.5</v>
      </c>
      <c r="J12" s="76">
        <v>0.5</v>
      </c>
      <c r="K12" s="76">
        <v>6.9</v>
      </c>
      <c r="L12" s="76">
        <v>6.5</v>
      </c>
      <c r="M12" s="76">
        <v>6.5</v>
      </c>
      <c r="N12" s="76">
        <v>6.2</v>
      </c>
      <c r="O12" s="76">
        <v>2.8</v>
      </c>
      <c r="P12" s="76"/>
      <c r="Q12" s="310"/>
      <c r="R12" s="77">
        <f>'29'!Z15</f>
        <v>1235</v>
      </c>
      <c r="S12" s="76">
        <f>'29'!AB15</f>
        <v>66.35600478</v>
      </c>
      <c r="T12" s="77">
        <f>'29'!Y15</f>
        <v>3438</v>
      </c>
      <c r="U12" s="73" t="str">
        <f>IF('29'!AA15=1,'29'!AR6,'29'!AR7)</f>
        <v>S.A.L</v>
      </c>
      <c r="V12" s="88" t="str">
        <f>ESCALA!$B$31</f>
        <v/>
      </c>
      <c r="W12" s="89"/>
      <c r="X12" s="54">
        <v>0.291666666666667</v>
      </c>
      <c r="Y12" s="125">
        <v>3465.0</v>
      </c>
      <c r="Z12" s="60">
        <v>1235.0</v>
      </c>
      <c r="AA12" s="56">
        <v>1.0</v>
      </c>
      <c r="AB12" s="58">
        <f>IF('29'!AA12=1,(('29'!Z12*'29'!$AS$6*'29'!$AT$6)/('29'!Y12*0.0036)),IF('29'!AA12=2,(('29'!Z12*'29'!$AS$7*'29'!$AT$7)/('29'!Y12*0.0036))))</f>
        <v>65.83894501</v>
      </c>
      <c r="AC12" s="58"/>
      <c r="AD12" s="59">
        <f>(('29'!AC12*'29'!$Q$10*1000000))/('29'!Y12*3600)</f>
        <v>0</v>
      </c>
      <c r="AE12" s="60"/>
      <c r="AF12" s="61">
        <f>('29'!AE12/24)*0.454</f>
        <v>0</v>
      </c>
      <c r="AG12" s="60"/>
      <c r="AH12" s="61">
        <f>('29'!AG12/24)*0.454</f>
        <v>0</v>
      </c>
      <c r="AI12" s="60">
        <v>5000.0</v>
      </c>
      <c r="AJ12" s="61">
        <f>('29'!AI12/24)*0.454</f>
        <v>94.58333333</v>
      </c>
      <c r="AK12" s="62"/>
      <c r="AL12" s="63">
        <f>('29'!AK12/24)*0.454</f>
        <v>0</v>
      </c>
      <c r="AM12" s="62"/>
      <c r="AN12" s="63">
        <f>('29'!AM12/24)*0.454</f>
        <v>0</v>
      </c>
      <c r="AO12" s="62"/>
      <c r="AP12" s="63">
        <f>('29'!AO12/24)*0.454</f>
        <v>0</v>
      </c>
    </row>
    <row r="13" ht="18.75" customHeight="1">
      <c r="A13" s="69">
        <v>0.5</v>
      </c>
      <c r="B13" s="76">
        <v>103.0</v>
      </c>
      <c r="C13" s="76">
        <v>17.0</v>
      </c>
      <c r="D13" s="76">
        <v>14.0</v>
      </c>
      <c r="E13" s="76">
        <v>8.0</v>
      </c>
      <c r="F13" s="76">
        <v>20.0</v>
      </c>
      <c r="G13" s="76">
        <v>1.6</v>
      </c>
      <c r="H13" s="76">
        <v>1.1</v>
      </c>
      <c r="I13" s="76">
        <v>0.5</v>
      </c>
      <c r="J13" s="76">
        <v>0.5</v>
      </c>
      <c r="K13" s="76">
        <v>6.9</v>
      </c>
      <c r="L13" s="76">
        <v>6.5</v>
      </c>
      <c r="M13" s="76">
        <v>6.5</v>
      </c>
      <c r="N13" s="76">
        <v>6.2</v>
      </c>
      <c r="O13" s="76">
        <v>2.8</v>
      </c>
      <c r="P13" s="76"/>
      <c r="Q13" s="310"/>
      <c r="R13" s="77">
        <f>'29'!Z17</f>
        <v>1235</v>
      </c>
      <c r="S13" s="76">
        <f>'29'!AB17</f>
        <v>66.97943172</v>
      </c>
      <c r="T13" s="77">
        <f>'29'!Y17</f>
        <v>3406</v>
      </c>
      <c r="U13" s="73" t="str">
        <f>IF('29'!AA17=1,'29'!AR6,'29'!AR7)</f>
        <v>S.A.L</v>
      </c>
      <c r="V13" s="43"/>
      <c r="W13" s="27"/>
      <c r="X13" s="54">
        <v>0.333333333333333</v>
      </c>
      <c r="Y13" s="125">
        <v>3485.0</v>
      </c>
      <c r="Z13" s="60">
        <v>1235.0</v>
      </c>
      <c r="AA13" s="56">
        <v>1.0</v>
      </c>
      <c r="AB13" s="58">
        <f>IF('29'!AA13=1,(('29'!Z13*'29'!$AS$6*'29'!$AT$6)/('29'!Y13*0.0036)),IF('29'!AA13=2,(('29'!Z13*'29'!$AS$7*'29'!$AT$7)/('29'!Y13*0.0036))))</f>
        <v>65.46110314</v>
      </c>
      <c r="AC13" s="58"/>
      <c r="AD13" s="59">
        <f>(('29'!AC13*'29'!$Q$10*1000000))/('29'!Y13*3600)</f>
        <v>0</v>
      </c>
      <c r="AE13" s="60"/>
      <c r="AF13" s="61">
        <f>('29'!AE13/24)*0.454</f>
        <v>0</v>
      </c>
      <c r="AG13" s="60"/>
      <c r="AH13" s="61">
        <f>('29'!AG13/24)*0.454</f>
        <v>0</v>
      </c>
      <c r="AI13" s="60">
        <v>5000.0</v>
      </c>
      <c r="AJ13" s="61">
        <f>('29'!AI13/24)*0.454</f>
        <v>94.58333333</v>
      </c>
      <c r="AK13" s="62"/>
      <c r="AL13" s="63">
        <f>('29'!AK13/24)*0.454</f>
        <v>0</v>
      </c>
      <c r="AM13" s="62"/>
      <c r="AN13" s="63">
        <f>('29'!AM13/24)*0.454</f>
        <v>0</v>
      </c>
      <c r="AO13" s="62"/>
      <c r="AP13" s="63">
        <f>('29'!AO13/24)*0.454</f>
        <v>0</v>
      </c>
    </row>
    <row r="14" ht="18.75" customHeight="1">
      <c r="A14" s="69">
        <v>0.583333333333333</v>
      </c>
      <c r="B14" s="76">
        <v>107.0</v>
      </c>
      <c r="C14" s="76">
        <v>17.0</v>
      </c>
      <c r="D14" s="76">
        <v>14.0</v>
      </c>
      <c r="E14" s="76">
        <v>7.0</v>
      </c>
      <c r="F14" s="76">
        <v>20.0</v>
      </c>
      <c r="G14" s="76">
        <v>1.7</v>
      </c>
      <c r="H14" s="76">
        <v>1.1</v>
      </c>
      <c r="I14" s="76">
        <v>0.5</v>
      </c>
      <c r="J14" s="76">
        <v>0.5</v>
      </c>
      <c r="K14" s="76">
        <v>6.9</v>
      </c>
      <c r="L14" s="76">
        <v>6.5</v>
      </c>
      <c r="M14" s="76">
        <v>6.5</v>
      </c>
      <c r="N14" s="76">
        <v>6.2</v>
      </c>
      <c r="O14" s="76">
        <v>2.0</v>
      </c>
      <c r="P14" s="76"/>
      <c r="Q14" s="310"/>
      <c r="R14" s="77">
        <f>'29'!Z19</f>
        <v>1235</v>
      </c>
      <c r="S14" s="76">
        <f>'29'!AB19</f>
        <v>65.29248553</v>
      </c>
      <c r="T14" s="77">
        <f>'29'!Y19</f>
        <v>3494</v>
      </c>
      <c r="U14" s="73" t="str">
        <f>IF('29'!AA19=1,'29'!AR6,'29'!AR7)</f>
        <v>S.A.L</v>
      </c>
      <c r="V14" s="43"/>
      <c r="W14" s="27"/>
      <c r="X14" s="54">
        <v>0.375</v>
      </c>
      <c r="Y14" s="125">
        <v>3471.0</v>
      </c>
      <c r="Z14" s="60">
        <v>1235.0</v>
      </c>
      <c r="AA14" s="56">
        <v>1.0</v>
      </c>
      <c r="AB14" s="58">
        <f>IF('29'!AA14=1,(('29'!Z14*'29'!$AS$6*'29'!$AT$6)/('29'!Y14*0.0036)),IF('29'!AA14=2,(('29'!Z14*'29'!$AS$7*'29'!$AT$7)/('29'!Y14*0.0036))))</f>
        <v>65.72513525</v>
      </c>
      <c r="AC14" s="58"/>
      <c r="AD14" s="59">
        <f>(('29'!AC14*'29'!$Q$10*1000000))/('29'!Y14*3600)</f>
        <v>0</v>
      </c>
      <c r="AE14" s="60"/>
      <c r="AF14" s="61">
        <f>('29'!AE14/24)*0.454</f>
        <v>0</v>
      </c>
      <c r="AG14" s="60"/>
      <c r="AH14" s="61">
        <f>('29'!AG14/24)*0.454</f>
        <v>0</v>
      </c>
      <c r="AI14" s="60">
        <v>5000.0</v>
      </c>
      <c r="AJ14" s="61">
        <f>('29'!AI14/24)*0.454</f>
        <v>94.58333333</v>
      </c>
      <c r="AK14" s="62"/>
      <c r="AL14" s="63">
        <f>('29'!AK14/24)*0.454</f>
        <v>0</v>
      </c>
      <c r="AM14" s="62"/>
      <c r="AN14" s="63">
        <f>('29'!AM14/24)*0.454</f>
        <v>0</v>
      </c>
      <c r="AO14" s="62"/>
      <c r="AP14" s="63">
        <f>('29'!AO14/24)*0.454</f>
        <v>0</v>
      </c>
    </row>
    <row r="15" ht="18.75" customHeight="1">
      <c r="A15" s="69">
        <v>0.666666666666667</v>
      </c>
      <c r="B15" s="76">
        <v>111.0</v>
      </c>
      <c r="C15" s="76">
        <v>17.0</v>
      </c>
      <c r="D15" s="76">
        <v>14.0</v>
      </c>
      <c r="E15" s="76">
        <v>7.0</v>
      </c>
      <c r="F15" s="76">
        <v>23.0</v>
      </c>
      <c r="G15" s="76">
        <v>1.5</v>
      </c>
      <c r="H15" s="76">
        <v>1.0</v>
      </c>
      <c r="I15" s="76">
        <v>0.5</v>
      </c>
      <c r="J15" s="76">
        <v>0.5</v>
      </c>
      <c r="K15" s="76">
        <v>6.9</v>
      </c>
      <c r="L15" s="76">
        <v>6.5</v>
      </c>
      <c r="M15" s="76">
        <v>6.5</v>
      </c>
      <c r="N15" s="76">
        <v>6.2</v>
      </c>
      <c r="O15" s="76">
        <v>2.5</v>
      </c>
      <c r="P15" s="76"/>
      <c r="Q15" s="310"/>
      <c r="R15" s="77">
        <f>'29'!Z21</f>
        <v>1235</v>
      </c>
      <c r="S15" s="76">
        <f>'29'!AB21</f>
        <v>66.33670964</v>
      </c>
      <c r="T15" s="77">
        <f>'29'!Y21</f>
        <v>3439</v>
      </c>
      <c r="U15" s="73" t="str">
        <f>IF('29'!AA21=1,'29'!AR6,'29'!AR7)</f>
        <v>S.A.L</v>
      </c>
      <c r="V15" s="43"/>
      <c r="W15" s="27"/>
      <c r="X15" s="54">
        <v>0.416666666666667</v>
      </c>
      <c r="Y15" s="125">
        <v>3438.0</v>
      </c>
      <c r="Z15" s="60">
        <v>1235.0</v>
      </c>
      <c r="AA15" s="56">
        <v>1.0</v>
      </c>
      <c r="AB15" s="58">
        <f>IF('29'!AA15=1,(('29'!Z15*'29'!$AS$6*'29'!$AT$6)/('29'!Y15*0.0036)),IF('29'!AA15=2,(('29'!Z15*'29'!$AS$7*'29'!$AT$7)/('29'!Y15*0.0036))))</f>
        <v>66.35600478</v>
      </c>
      <c r="AC15" s="58"/>
      <c r="AD15" s="59">
        <f>(('29'!AC15*'29'!$Q$10*1000000))/('29'!Y15*3600)</f>
        <v>0</v>
      </c>
      <c r="AE15" s="60"/>
      <c r="AF15" s="61">
        <f>('29'!AE15/24)*0.454</f>
        <v>0</v>
      </c>
      <c r="AG15" s="60"/>
      <c r="AH15" s="61">
        <f>('29'!AG15/24)*0.454</f>
        <v>0</v>
      </c>
      <c r="AI15" s="60">
        <v>5000.0</v>
      </c>
      <c r="AJ15" s="61">
        <f>('29'!AI15/24)*0.454</f>
        <v>94.58333333</v>
      </c>
      <c r="AK15" s="62"/>
      <c r="AL15" s="63">
        <f>('29'!AK15/24)*0.454</f>
        <v>0</v>
      </c>
      <c r="AM15" s="62"/>
      <c r="AN15" s="63">
        <f>('29'!AM15/24)*0.454</f>
        <v>0</v>
      </c>
      <c r="AO15" s="62"/>
      <c r="AP15" s="63">
        <f>('29'!AO15/24)*0.454</f>
        <v>0</v>
      </c>
    </row>
    <row r="16" ht="18.75" customHeight="1">
      <c r="A16" s="69">
        <v>0.75</v>
      </c>
      <c r="B16" s="76">
        <v>114.0</v>
      </c>
      <c r="C16" s="76">
        <v>16.0</v>
      </c>
      <c r="D16" s="76">
        <v>12.0</v>
      </c>
      <c r="E16" s="76">
        <v>7.0</v>
      </c>
      <c r="F16" s="76">
        <v>22.0</v>
      </c>
      <c r="G16" s="76">
        <v>1.4</v>
      </c>
      <c r="H16" s="76">
        <v>1.0</v>
      </c>
      <c r="I16" s="76">
        <v>0.4</v>
      </c>
      <c r="J16" s="76">
        <v>0.5</v>
      </c>
      <c r="K16" s="76">
        <v>6.9</v>
      </c>
      <c r="L16" s="76">
        <v>6.5</v>
      </c>
      <c r="M16" s="76">
        <v>6.5</v>
      </c>
      <c r="N16" s="76">
        <v>6.2</v>
      </c>
      <c r="O16" s="76">
        <v>2.8</v>
      </c>
      <c r="P16" s="76"/>
      <c r="Q16" s="310"/>
      <c r="R16" s="77">
        <f>'29'!Z23</f>
        <v>1235</v>
      </c>
      <c r="S16" s="76">
        <f>'29'!AB23</f>
        <v>66.02950635</v>
      </c>
      <c r="T16" s="77">
        <f>'29'!Y23</f>
        <v>3455</v>
      </c>
      <c r="U16" s="73" t="str">
        <f>IF('29'!AA23=1,'29'!AR6,'29'!AR7)</f>
        <v>S.A.L</v>
      </c>
      <c r="V16" s="43"/>
      <c r="W16" s="27"/>
      <c r="X16" s="54">
        <v>0.458333333333333</v>
      </c>
      <c r="Y16" s="125">
        <v>3420.0</v>
      </c>
      <c r="Z16" s="60">
        <v>1235.0</v>
      </c>
      <c r="AA16" s="56">
        <v>1.0</v>
      </c>
      <c r="AB16" s="58">
        <f>IF('29'!AA16=1,(('29'!Z16*'29'!$AS$6*'29'!$AT$6)/('29'!Y16*0.0036)),IF('29'!AA16=2,(('29'!Z16*'29'!$AS$7*'29'!$AT$7)/('29'!Y16*0.0036))))</f>
        <v>66.70524691</v>
      </c>
      <c r="AC16" s="58"/>
      <c r="AD16" s="59">
        <f>(('29'!AC16*'29'!$Q$10*1000000))/('29'!Y16*3600)</f>
        <v>0</v>
      </c>
      <c r="AE16" s="60"/>
      <c r="AF16" s="61">
        <f>('29'!AE16/24)*0.454</f>
        <v>0</v>
      </c>
      <c r="AG16" s="60"/>
      <c r="AH16" s="61">
        <f>('29'!AG16/24)*0.454</f>
        <v>0</v>
      </c>
      <c r="AI16" s="60">
        <v>5000.0</v>
      </c>
      <c r="AJ16" s="61">
        <f>('29'!AI14/24)*0.454</f>
        <v>94.58333333</v>
      </c>
      <c r="AK16" s="62"/>
      <c r="AL16" s="63">
        <f>('29'!AK16/24)*0.454</f>
        <v>0</v>
      </c>
      <c r="AM16" s="62"/>
      <c r="AN16" s="63">
        <f>('29'!AM16/24)*0.454</f>
        <v>0</v>
      </c>
      <c r="AO16" s="62"/>
      <c r="AP16" s="63">
        <f>('29'!AO16/24)*0.454</f>
        <v>0</v>
      </c>
    </row>
    <row r="17" ht="18.75" customHeight="1">
      <c r="A17" s="69">
        <v>0.833333333333333</v>
      </c>
      <c r="B17" s="76">
        <v>117.0</v>
      </c>
      <c r="C17" s="76">
        <v>15.0</v>
      </c>
      <c r="D17" s="76">
        <v>12.0</v>
      </c>
      <c r="E17" s="76">
        <v>6.0</v>
      </c>
      <c r="F17" s="76">
        <v>21.0</v>
      </c>
      <c r="G17" s="76">
        <v>1.5</v>
      </c>
      <c r="H17" s="76">
        <v>0.9</v>
      </c>
      <c r="I17" s="76">
        <v>0.4</v>
      </c>
      <c r="J17" s="76">
        <v>0.5</v>
      </c>
      <c r="K17" s="76">
        <v>6.9</v>
      </c>
      <c r="L17" s="76">
        <v>6.5</v>
      </c>
      <c r="M17" s="76">
        <v>6.5</v>
      </c>
      <c r="N17" s="76">
        <v>6.2</v>
      </c>
      <c r="O17" s="76">
        <v>2.8</v>
      </c>
      <c r="P17" s="76"/>
      <c r="Q17" s="310"/>
      <c r="R17" s="77">
        <f>'29'!Z25</f>
        <v>1235</v>
      </c>
      <c r="S17" s="76">
        <f>'29'!AB25</f>
        <v>65.10614853</v>
      </c>
      <c r="T17" s="77">
        <f>'29'!Y25</f>
        <v>3504</v>
      </c>
      <c r="U17" s="73" t="str">
        <f>IF('29'!AA25=1,'29'!AR6,'29'!AR7)</f>
        <v>S.A.L</v>
      </c>
      <c r="V17" s="43"/>
      <c r="W17" s="27"/>
      <c r="X17" s="54">
        <v>0.5</v>
      </c>
      <c r="Y17" s="125">
        <v>3406.0</v>
      </c>
      <c r="Z17" s="60">
        <v>1235.0</v>
      </c>
      <c r="AA17" s="56">
        <v>1.0</v>
      </c>
      <c r="AB17" s="58">
        <f>IF('29'!AA17=1,(('29'!Z17*'29'!$AS$6*'29'!$AT$6)/('29'!Y17*0.0036)),IF('29'!AA17=2,(('29'!Z17*'29'!$AS$7*'29'!$AT$7)/('29'!Y17*0.0036))))</f>
        <v>66.97943172</v>
      </c>
      <c r="AC17" s="58"/>
      <c r="AD17" s="59">
        <f>(('29'!AC17*'29'!$Q$10*1000000))/('29'!Y17*3600)</f>
        <v>0</v>
      </c>
      <c r="AE17" s="60"/>
      <c r="AF17" s="61">
        <f>('29'!AE17/24)*0.454</f>
        <v>0</v>
      </c>
      <c r="AG17" s="60"/>
      <c r="AH17" s="61">
        <f>('29'!AG17/24)*0.454</f>
        <v>0</v>
      </c>
      <c r="AI17" s="60">
        <v>5000.0</v>
      </c>
      <c r="AJ17" s="61">
        <f>('29'!AI15/24)*0.454</f>
        <v>94.58333333</v>
      </c>
      <c r="AK17" s="62"/>
      <c r="AL17" s="63">
        <f>('29'!AK17/24)*0.454</f>
        <v>0</v>
      </c>
      <c r="AM17" s="62"/>
      <c r="AN17" s="63">
        <f>('29'!AM17/24)*0.454</f>
        <v>0</v>
      </c>
      <c r="AO17" s="62"/>
      <c r="AP17" s="63">
        <f>('29'!AO17/24)*0.454</f>
        <v>0</v>
      </c>
    </row>
    <row r="18" ht="19.5" customHeight="1">
      <c r="A18" s="69">
        <v>0.916666666666667</v>
      </c>
      <c r="B18" s="76">
        <v>115.0</v>
      </c>
      <c r="C18" s="76">
        <v>15.0</v>
      </c>
      <c r="D18" s="76">
        <v>13.0</v>
      </c>
      <c r="E18" s="76">
        <v>6.0</v>
      </c>
      <c r="F18" s="76">
        <v>20.0</v>
      </c>
      <c r="G18" s="76">
        <v>1.6</v>
      </c>
      <c r="H18" s="76">
        <v>0.9</v>
      </c>
      <c r="I18" s="76">
        <v>0.4</v>
      </c>
      <c r="J18" s="76">
        <v>0.4</v>
      </c>
      <c r="K18" s="76">
        <v>6.9</v>
      </c>
      <c r="L18" s="76">
        <v>6.5</v>
      </c>
      <c r="M18" s="76">
        <v>6.5</v>
      </c>
      <c r="N18" s="76">
        <v>6.2</v>
      </c>
      <c r="O18" s="76">
        <v>2.8</v>
      </c>
      <c r="P18" s="76"/>
      <c r="Q18" s="310"/>
      <c r="R18" s="77">
        <f>'29'!Z27</f>
        <v>1235</v>
      </c>
      <c r="S18" s="76">
        <f>'29'!AB27</f>
        <v>63.72400683</v>
      </c>
      <c r="T18" s="77">
        <f>'29'!Y27</f>
        <v>3580</v>
      </c>
      <c r="U18" s="73" t="str">
        <f>IF('29'!AA27=1,'29'!AR6,'29'!AR7)</f>
        <v>S.A.L</v>
      </c>
      <c r="V18" s="16"/>
      <c r="W18" s="18"/>
      <c r="X18" s="54">
        <v>0.541666666666667</v>
      </c>
      <c r="Y18" s="125">
        <v>3439.0</v>
      </c>
      <c r="Z18" s="60">
        <v>1235.0</v>
      </c>
      <c r="AA18" s="56">
        <v>1.0</v>
      </c>
      <c r="AB18" s="58">
        <f>IF('29'!AA18=1,(('29'!Z18*'29'!$AS$6*'29'!$AT$6)/('29'!Y18*0.0036)),IF('29'!AA18=2,(('29'!Z18*'29'!$AS$7*'29'!$AT$7)/('29'!Y18*0.0036))))</f>
        <v>66.33670964</v>
      </c>
      <c r="AC18" s="58"/>
      <c r="AD18" s="59">
        <f>(('29'!AC18*'29'!$Q$10*1000000))/('29'!Y18*3600)</f>
        <v>0</v>
      </c>
      <c r="AE18" s="60"/>
      <c r="AF18" s="61">
        <f>('29'!AE18/24)*0.454</f>
        <v>0</v>
      </c>
      <c r="AG18" s="60"/>
      <c r="AH18" s="61">
        <f>('29'!AG18/24)*0.454</f>
        <v>0</v>
      </c>
      <c r="AI18" s="60">
        <v>5000.0</v>
      </c>
      <c r="AJ18" s="61">
        <f>('29'!AI16/24)*0.454</f>
        <v>94.58333333</v>
      </c>
      <c r="AK18" s="62"/>
      <c r="AL18" s="63">
        <f>('29'!AK18/24)*0.454</f>
        <v>0</v>
      </c>
      <c r="AM18" s="62"/>
      <c r="AN18" s="63">
        <f>('29'!AM18/24)*0.454</f>
        <v>0</v>
      </c>
      <c r="AO18" s="62"/>
      <c r="AP18" s="63">
        <f>('29'!AO18/24)*0.454</f>
        <v>0</v>
      </c>
    </row>
    <row r="19" ht="18.75" customHeight="1">
      <c r="A19" s="51" t="s">
        <v>52</v>
      </c>
      <c r="B19" s="91">
        <f>AVERAGE('29'!B7:B18)</f>
        <v>111</v>
      </c>
      <c r="C19" s="92">
        <f>AVERAGE('29'!C7:C18)</f>
        <v>15.33333333</v>
      </c>
      <c r="D19" s="92">
        <f>AVERAGE('29'!D7:D18)</f>
        <v>11.45</v>
      </c>
      <c r="E19" s="92">
        <f>AVERAGE('29'!E7:E18)</f>
        <v>7</v>
      </c>
      <c r="F19" s="92">
        <f>AVERAGE('29'!F7:F18)</f>
        <v>20.75</v>
      </c>
      <c r="G19" s="92">
        <f>AVERAGE('29'!G7:G18)</f>
        <v>1.391666667</v>
      </c>
      <c r="H19" s="92">
        <f>AVERAGE('29'!H7:H18)</f>
        <v>0.9666666667</v>
      </c>
      <c r="I19" s="92">
        <f>AVERAGE('29'!I7:I18)</f>
        <v>0.4083333333</v>
      </c>
      <c r="J19" s="92">
        <f>AVERAGE('29'!J7:J18)</f>
        <v>0.4666666667</v>
      </c>
      <c r="K19" s="92">
        <f>AVERAGE('29'!K7:K18)</f>
        <v>6.9</v>
      </c>
      <c r="L19" s="92">
        <f>AVERAGE('29'!L7:L18)</f>
        <v>6.5</v>
      </c>
      <c r="M19" s="92">
        <f>AVERAGE('29'!M7:M18)</f>
        <v>6.5</v>
      </c>
      <c r="N19" s="92">
        <f>AVERAGE('29'!N7:N18)</f>
        <v>6.2</v>
      </c>
      <c r="O19" s="92">
        <f>AVERAGE('29'!O7:O18)</f>
        <v>2.741666667</v>
      </c>
      <c r="P19" s="93" t="str">
        <f>AVERAGE('29'!P7:P18)</f>
        <v>#DIV/0!</v>
      </c>
      <c r="Q19" s="94" t="str">
        <f>AVERAGE('29'!Q7:Q18)</f>
        <v>#DIV/0!</v>
      </c>
      <c r="R19" s="94">
        <f>AVERAGE('29'!R7:R18)</f>
        <v>1235</v>
      </c>
      <c r="S19" s="94">
        <f>AVERAGE('29'!S7:S18)</f>
        <v>65.46825608</v>
      </c>
      <c r="T19" s="95"/>
      <c r="U19" s="96"/>
      <c r="V19" s="97"/>
      <c r="W19" s="97"/>
      <c r="X19" s="54">
        <v>0.583333333333333</v>
      </c>
      <c r="Y19" s="125">
        <v>3494.0</v>
      </c>
      <c r="Z19" s="60">
        <v>1235.0</v>
      </c>
      <c r="AA19" s="56">
        <v>1.0</v>
      </c>
      <c r="AB19" s="58">
        <f>IF('29'!AA19=1,(('29'!Z19*'29'!$AS$6*'29'!$AT$6)/('29'!Y19*0.0036)),IF('29'!AA19=2,(('29'!Z19*'29'!$AS$7*'29'!$AT$7)/('29'!Y19*0.0036))))</f>
        <v>65.29248553</v>
      </c>
      <c r="AC19" s="58"/>
      <c r="AD19" s="59">
        <f>(('29'!AC19*'29'!$Q$10*1000000))/('29'!Y19*3600)</f>
        <v>0</v>
      </c>
      <c r="AE19" s="60"/>
      <c r="AF19" s="61">
        <f>('29'!AE19/24)*0.454</f>
        <v>0</v>
      </c>
      <c r="AG19" s="60"/>
      <c r="AH19" s="61">
        <f>('29'!AG19/24)*0.454</f>
        <v>0</v>
      </c>
      <c r="AI19" s="60">
        <v>5000.0</v>
      </c>
      <c r="AJ19" s="61">
        <f>('29'!AI17/24)*0.454</f>
        <v>94.58333333</v>
      </c>
      <c r="AK19" s="62"/>
      <c r="AL19" s="63">
        <f>('29'!AK19/24)*0.454</f>
        <v>0</v>
      </c>
      <c r="AM19" s="62"/>
      <c r="AN19" s="63">
        <f>('29'!AM19/24)*0.454</f>
        <v>0</v>
      </c>
      <c r="AO19" s="62"/>
      <c r="AP19" s="63">
        <f>('29'!AO19/24)*0.454</f>
        <v>0</v>
      </c>
    </row>
    <row r="20" ht="18.75" customHeight="1">
      <c r="A20" s="51" t="s">
        <v>53</v>
      </c>
      <c r="B20" s="91">
        <f>MAX('29'!B7:B18)</f>
        <v>121</v>
      </c>
      <c r="C20" s="92">
        <f>MAX('29'!C7:C18)</f>
        <v>17</v>
      </c>
      <c r="D20" s="92">
        <f>MAX('29'!D7:D18)</f>
        <v>14</v>
      </c>
      <c r="E20" s="92">
        <f>MAX('29'!E7:E18)</f>
        <v>8</v>
      </c>
      <c r="F20" s="92">
        <f>MAX('29'!F7:F18)</f>
        <v>23</v>
      </c>
      <c r="G20" s="92">
        <f>MAX('29'!G7:G18)</f>
        <v>1.7</v>
      </c>
      <c r="H20" s="92">
        <f>MAX('29'!H7:H18)</f>
        <v>1.1</v>
      </c>
      <c r="I20" s="92">
        <f>MAX('29'!I7:I18)</f>
        <v>0.5</v>
      </c>
      <c r="J20" s="92">
        <f>MAX('29'!J7:J18)</f>
        <v>0.5</v>
      </c>
      <c r="K20" s="92">
        <f>MAX('29'!K7:K18)</f>
        <v>6.9</v>
      </c>
      <c r="L20" s="92">
        <f>MAX('29'!L7:L18)</f>
        <v>6.5</v>
      </c>
      <c r="M20" s="92">
        <f>MAX('29'!M7:M18)</f>
        <v>6.5</v>
      </c>
      <c r="N20" s="92">
        <f>MAX('29'!N7:N18)</f>
        <v>6.2</v>
      </c>
      <c r="O20" s="98">
        <f>MAX('29'!O7:O18)</f>
        <v>3</v>
      </c>
      <c r="P20" s="98">
        <f>MAX('29'!P7:P18)</f>
        <v>0</v>
      </c>
      <c r="Q20" s="98">
        <f>MAX('29'!Q7:Q18)</f>
        <v>0</v>
      </c>
      <c r="R20" s="98">
        <f>MAX('29'!R7:R18)</f>
        <v>1235</v>
      </c>
      <c r="S20" s="98">
        <f>MAX('29'!S7:S18)</f>
        <v>66.97943172</v>
      </c>
      <c r="T20" s="99"/>
      <c r="U20" s="21"/>
      <c r="X20" s="54">
        <v>0.625</v>
      </c>
      <c r="Y20" s="125">
        <v>3419.0</v>
      </c>
      <c r="Z20" s="60">
        <v>1235.0</v>
      </c>
      <c r="AA20" s="56">
        <v>1.0</v>
      </c>
      <c r="AB20" s="58">
        <f>IF('29'!AA20=1,(('29'!Z20*'29'!$AS$6*'29'!$AT$6)/('29'!Y20*0.0036)),IF('29'!AA20=2,(('29'!Z20*'29'!$AS$7*'29'!$AT$7)/('29'!Y20*0.0036))))</f>
        <v>66.72475708</v>
      </c>
      <c r="AC20" s="58"/>
      <c r="AD20" s="59">
        <f>(('29'!AC20*'29'!$Q$10*1000000))/('29'!Y20*3600)</f>
        <v>0</v>
      </c>
      <c r="AE20" s="60"/>
      <c r="AF20" s="61">
        <f>('29'!AE20/24)*0.454</f>
        <v>0</v>
      </c>
      <c r="AG20" s="60"/>
      <c r="AH20" s="61">
        <f>('29'!AG20/24)*0.454</f>
        <v>0</v>
      </c>
      <c r="AI20" s="60">
        <v>5000.0</v>
      </c>
      <c r="AJ20" s="61">
        <f>('29'!AI18/24)*0.454</f>
        <v>94.58333333</v>
      </c>
      <c r="AK20" s="62"/>
      <c r="AL20" s="63">
        <f>('29'!AK20/24)*0.454</f>
        <v>0</v>
      </c>
      <c r="AM20" s="62"/>
      <c r="AN20" s="63">
        <f>('29'!AM20/24)*0.454</f>
        <v>0</v>
      </c>
      <c r="AO20" s="62"/>
      <c r="AP20" s="63">
        <f>('29'!AO20/24)*0.454</f>
        <v>0</v>
      </c>
    </row>
    <row r="21" ht="19.5" customHeight="1">
      <c r="A21" s="51" t="s">
        <v>54</v>
      </c>
      <c r="B21" s="91">
        <f>MIN('29'!B7:B18)</f>
        <v>103</v>
      </c>
      <c r="C21" s="92">
        <f>MIN('29'!C7:C18)</f>
        <v>14</v>
      </c>
      <c r="D21" s="92">
        <f>MIN('29'!D7:D18)</f>
        <v>1.2</v>
      </c>
      <c r="E21" s="92">
        <f>MIN('29'!E7:E18)</f>
        <v>6</v>
      </c>
      <c r="F21" s="92">
        <f>MIN('29'!F7:F18)</f>
        <v>19</v>
      </c>
      <c r="G21" s="100">
        <f>MIN('29'!G7:G18)</f>
        <v>1.1</v>
      </c>
      <c r="H21" s="100">
        <f>MIN('29'!H7:H18)</f>
        <v>0.9</v>
      </c>
      <c r="I21" s="100">
        <f>MIN('29'!I7:I18)</f>
        <v>0.3</v>
      </c>
      <c r="J21" s="100">
        <f>MIN('29'!J7:J18)</f>
        <v>0.4</v>
      </c>
      <c r="K21" s="100">
        <f>MIN('29'!K7:K18)</f>
        <v>6.9</v>
      </c>
      <c r="L21" s="100">
        <f>MIN('29'!L7:L18)</f>
        <v>6.5</v>
      </c>
      <c r="M21" s="100">
        <f>MIN('29'!M7:M18)</f>
        <v>6.5</v>
      </c>
      <c r="N21" s="100">
        <f>MIN('29'!N7:N18)</f>
        <v>6.2</v>
      </c>
      <c r="O21" s="101">
        <f>MIN('29'!O7:O18)</f>
        <v>2</v>
      </c>
      <c r="P21" s="101">
        <f>MIN('29'!P7:P18)</f>
        <v>0</v>
      </c>
      <c r="Q21" s="101">
        <f>MIN('29'!Q7:Q18)</f>
        <v>0</v>
      </c>
      <c r="R21" s="101">
        <f>MIN('29'!R7:R18)</f>
        <v>1235</v>
      </c>
      <c r="S21" s="101">
        <f>MIN('29'!S7:S18)</f>
        <v>63.72400683</v>
      </c>
      <c r="T21" s="99"/>
      <c r="U21" s="21"/>
      <c r="X21" s="54">
        <v>0.666666666666667</v>
      </c>
      <c r="Y21" s="125">
        <v>3439.0</v>
      </c>
      <c r="Z21" s="60">
        <v>1235.0</v>
      </c>
      <c r="AA21" s="56">
        <v>1.0</v>
      </c>
      <c r="AB21" s="58">
        <f>IF('29'!AA21=1,(('29'!Z21*'29'!$AS$6*'29'!$AT$6)/('29'!Y21*0.0036)),IF('29'!AA21=2,(('29'!Z21*'29'!$AS$7*'29'!$AT$7)/('29'!Y21*0.0036))))</f>
        <v>66.33670964</v>
      </c>
      <c r="AC21" s="58"/>
      <c r="AD21" s="59">
        <f>(('29'!AC21*'29'!$Q$10*1000000))/('29'!Y21*3600)</f>
        <v>0</v>
      </c>
      <c r="AE21" s="60"/>
      <c r="AF21" s="61">
        <f>('29'!AE21/24)*0.454</f>
        <v>0</v>
      </c>
      <c r="AG21" s="60"/>
      <c r="AH21" s="61">
        <f>('29'!AG21/24)*0.454</f>
        <v>0</v>
      </c>
      <c r="AI21" s="60">
        <v>6000.0</v>
      </c>
      <c r="AJ21" s="61">
        <f>('29'!AI19/24)*0.454</f>
        <v>94.58333333</v>
      </c>
      <c r="AK21" s="62"/>
      <c r="AL21" s="63">
        <f>('29'!AK21/24)*0.454</f>
        <v>0</v>
      </c>
      <c r="AM21" s="62"/>
      <c r="AN21" s="63">
        <f>('29'!AM21/24)*0.454</f>
        <v>0</v>
      </c>
      <c r="AO21" s="62"/>
      <c r="AP21" s="63">
        <f>('29'!AO21/24)*0.454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3459.0</v>
      </c>
      <c r="Z22" s="60">
        <v>1235.0</v>
      </c>
      <c r="AA22" s="56">
        <v>1.0</v>
      </c>
      <c r="AB22" s="58">
        <f>IF('29'!AA22=1,(('29'!Z22*'29'!$AS$6*'29'!$AT$6)/('29'!Y22*0.0036)),IF('29'!AA22=2,(('29'!Z22*'29'!$AS$7*'29'!$AT$7)/('29'!Y22*0.0036))))</f>
        <v>65.95314959</v>
      </c>
      <c r="AC22" s="58"/>
      <c r="AD22" s="59">
        <f>(('29'!AC22*'29'!$Q$10*1000000))/('29'!Y22*3600)</f>
        <v>0</v>
      </c>
      <c r="AE22" s="60"/>
      <c r="AF22" s="61">
        <f>('29'!AE22/24)*0.454</f>
        <v>0</v>
      </c>
      <c r="AG22" s="60"/>
      <c r="AH22" s="61">
        <f>('29'!AG22/24)*0.454</f>
        <v>0</v>
      </c>
      <c r="AI22" s="60">
        <v>6000.0</v>
      </c>
      <c r="AJ22" s="61">
        <f>('29'!AI20/24)*0.454</f>
        <v>94.58333333</v>
      </c>
      <c r="AK22" s="62"/>
      <c r="AL22" s="63">
        <f>('29'!AK22/24)*0.454</f>
        <v>0</v>
      </c>
      <c r="AM22" s="62"/>
      <c r="AN22" s="63">
        <f>('29'!AM22/24)*0.454</f>
        <v>0</v>
      </c>
      <c r="AO22" s="62"/>
      <c r="AP22" s="63">
        <f>('29'!AO22/24)*0.454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3455.0</v>
      </c>
      <c r="Z23" s="60">
        <v>1235.0</v>
      </c>
      <c r="AA23" s="56">
        <v>1.0</v>
      </c>
      <c r="AB23" s="58">
        <f>IF('29'!AA23=1,(('29'!Z23*'29'!$AS$6*'29'!$AT$6)/('29'!Y23*0.0036)),IF('29'!AA23=2,(('29'!Z23*'29'!$AS$7*'29'!$AT$7)/('29'!Y23*0.0036))))</f>
        <v>66.02950635</v>
      </c>
      <c r="AC23" s="58"/>
      <c r="AD23" s="59">
        <f>(('29'!AC23*'29'!$Q$10*1000000))/('29'!Y23*3600)</f>
        <v>0</v>
      </c>
      <c r="AE23" s="60"/>
      <c r="AF23" s="61">
        <f>('29'!AE23/24)*0.454</f>
        <v>0</v>
      </c>
      <c r="AG23" s="60"/>
      <c r="AH23" s="61">
        <f>('29'!AG23/24)*0.454</f>
        <v>0</v>
      </c>
      <c r="AI23" s="60">
        <v>6000.0</v>
      </c>
      <c r="AJ23" s="61">
        <f>('29'!AI21/24)*0.454</f>
        <v>113.5</v>
      </c>
      <c r="AK23" s="62"/>
      <c r="AL23" s="63">
        <f>('29'!AK23/24)*0.454</f>
        <v>0</v>
      </c>
      <c r="AM23" s="62"/>
      <c r="AN23" s="63">
        <f>('29'!AM23/24)*0.454</f>
        <v>0</v>
      </c>
      <c r="AO23" s="62"/>
      <c r="AP23" s="63">
        <f>('29'!AO23/24)*0.454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3444.0</v>
      </c>
      <c r="Z24" s="60">
        <v>1235.0</v>
      </c>
      <c r="AA24" s="56">
        <v>1.0</v>
      </c>
      <c r="AB24" s="57">
        <f>IF('29'!AA24=1,(('29'!Z24*'29'!$AS$6*'29'!$AT$6)/('29'!Y24*0.0036)),IF('29'!AA24=2,(('29'!Z24*'29'!$AS$7*'29'!$AT$7)/('29'!Y24*0.0036))))</f>
        <v>66.24040199</v>
      </c>
      <c r="AC24" s="58"/>
      <c r="AD24" s="59">
        <f>(('29'!AC24*'29'!$Q$10*1000000))/('29'!Y24*3600)</f>
        <v>0</v>
      </c>
      <c r="AE24" s="60"/>
      <c r="AF24" s="311">
        <f>('29'!AE24/24)*0.454</f>
        <v>0</v>
      </c>
      <c r="AG24" s="60"/>
      <c r="AH24" s="311">
        <f>('29'!AG24/24)*0.454</f>
        <v>0</v>
      </c>
      <c r="AI24" s="60">
        <v>6000.0</v>
      </c>
      <c r="AJ24" s="311">
        <f>('29'!AI22/24)*0.454</f>
        <v>113.5</v>
      </c>
      <c r="AK24" s="62"/>
      <c r="AL24" s="110">
        <f>('29'!AK24/24)*0.454</f>
        <v>0</v>
      </c>
      <c r="AM24" s="312"/>
      <c r="AN24" s="110">
        <f>('29'!AM24/24)*0.454</f>
        <v>0</v>
      </c>
      <c r="AO24" s="62"/>
      <c r="AP24" s="110">
        <f>('29'!AO24/24)*0.454</f>
        <v>0</v>
      </c>
    </row>
    <row r="25" ht="19.5" customHeight="1">
      <c r="A25" s="111">
        <v>0.416666666666667</v>
      </c>
      <c r="B25" s="108">
        <v>0.36</v>
      </c>
      <c r="C25" s="108">
        <v>0.42</v>
      </c>
      <c r="D25" s="108">
        <v>0.4</v>
      </c>
      <c r="E25" s="315">
        <v>0.43</v>
      </c>
      <c r="F25" s="315">
        <v>0.42</v>
      </c>
      <c r="G25" s="315" t="s">
        <v>132</v>
      </c>
      <c r="H25" s="315">
        <v>0.48</v>
      </c>
      <c r="I25" s="315">
        <v>0.42</v>
      </c>
      <c r="J25" s="315" t="s">
        <v>132</v>
      </c>
      <c r="K25" s="315">
        <v>0.26</v>
      </c>
      <c r="L25" s="315">
        <v>0.29</v>
      </c>
      <c r="M25" s="315">
        <v>0.3</v>
      </c>
      <c r="N25" s="315">
        <v>0.32</v>
      </c>
      <c r="O25" s="315">
        <v>0.28</v>
      </c>
      <c r="P25" s="315">
        <v>0.3</v>
      </c>
      <c r="Q25" s="315" t="s">
        <v>132</v>
      </c>
      <c r="R25" s="112" t="str">
        <f t="shared" ref="R25:R26" si="1">#DIV/0!</f>
        <v>#DIV/0!</v>
      </c>
      <c r="S25" s="113"/>
      <c r="T25" s="466" t="s">
        <v>0</v>
      </c>
      <c r="U25" s="361">
        <f>ESCALA!$A$31</f>
        <v>43950</v>
      </c>
      <c r="X25" s="54">
        <v>0.833333333333333</v>
      </c>
      <c r="Y25" s="125">
        <v>3504.0</v>
      </c>
      <c r="Z25" s="60">
        <v>1235.0</v>
      </c>
      <c r="AA25" s="56">
        <v>1.0</v>
      </c>
      <c r="AB25" s="58">
        <f>IF('29'!AA25=1,(('29'!Z25*'29'!$AS$6*'29'!$AT$6)/('29'!Y25*0.0036)),IF('29'!AA25=2,(('29'!Z25*'29'!$AS$7*'29'!$AT$7)/('29'!Y25*0.0036))))</f>
        <v>65.10614853</v>
      </c>
      <c r="AC25" s="58"/>
      <c r="AD25" s="59">
        <f>(('29'!AC25*'29'!$Q$10*1000000))/('29'!Y25*3600)</f>
        <v>0</v>
      </c>
      <c r="AE25" s="60"/>
      <c r="AF25" s="61">
        <f>('29'!AE25/24)*0.454</f>
        <v>0</v>
      </c>
      <c r="AG25" s="60"/>
      <c r="AH25" s="61">
        <f>('29'!AG25/24)*0.454</f>
        <v>0</v>
      </c>
      <c r="AI25" s="60">
        <v>6000.0</v>
      </c>
      <c r="AJ25" s="61">
        <f>('29'!AI23/24)*0.454</f>
        <v>113.5</v>
      </c>
      <c r="AK25" s="62"/>
      <c r="AL25" s="63">
        <f>('29'!AK25/24)*0.454</f>
        <v>0</v>
      </c>
      <c r="AM25" s="62"/>
      <c r="AN25" s="63">
        <f>('29'!AM25/24)*0.454</f>
        <v>0</v>
      </c>
      <c r="AO25" s="62"/>
      <c r="AP25" s="63">
        <f>('29'!AO25/24)*0.454</f>
        <v>0</v>
      </c>
    </row>
    <row r="26" ht="19.5" customHeight="1">
      <c r="A26" s="111">
        <v>0.666666666666667</v>
      </c>
      <c r="B26" s="108"/>
      <c r="C26" s="108"/>
      <c r="D26" s="108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112" t="str">
        <f t="shared" si="1"/>
        <v>#DIV/0!</v>
      </c>
      <c r="S26" s="116"/>
      <c r="T26" s="117"/>
      <c r="U26" s="118"/>
      <c r="X26" s="54">
        <v>0.875</v>
      </c>
      <c r="Y26" s="125">
        <v>3437.0</v>
      </c>
      <c r="Z26" s="60">
        <v>1235.0</v>
      </c>
      <c r="AA26" s="56">
        <v>1.0</v>
      </c>
      <c r="AB26" s="58">
        <f>IF('29'!AA26=1,(('29'!Z26*'29'!$AS$6*'29'!$AT$6)/('29'!Y26*0.0036)),IF('29'!AA26=2,(('29'!Z26*'29'!$AS$7*'29'!$AT$7)/('29'!Y26*0.0036))))</f>
        <v>66.37531116</v>
      </c>
      <c r="AC26" s="58"/>
      <c r="AD26" s="59">
        <f>(('29'!AC26*'29'!$Q$10*1000000))/('29'!Y26*3600)</f>
        <v>0</v>
      </c>
      <c r="AE26" s="60"/>
      <c r="AF26" s="61">
        <f>('29'!AE26/24)*0.454</f>
        <v>0</v>
      </c>
      <c r="AG26" s="60"/>
      <c r="AH26" s="61">
        <f>('29'!AG26/24)*0.454</f>
        <v>0</v>
      </c>
      <c r="AI26" s="60">
        <v>6000.0</v>
      </c>
      <c r="AJ26" s="61">
        <f>('29'!AI24/24)*0.454</f>
        <v>113.5</v>
      </c>
      <c r="AK26" s="62"/>
      <c r="AL26" s="63">
        <f>('29'!AK26/24)*0.454</f>
        <v>0</v>
      </c>
      <c r="AM26" s="62"/>
      <c r="AN26" s="63">
        <f>('29'!AM26/24)*0.454</f>
        <v>0</v>
      </c>
      <c r="AO26" s="62"/>
      <c r="AP26" s="63">
        <f>('29'!AO26/24)*0.454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121"/>
      <c r="S27" s="122"/>
      <c r="T27" s="123"/>
      <c r="U27" s="124"/>
      <c r="X27" s="54">
        <v>0.916666666666667</v>
      </c>
      <c r="Y27" s="125">
        <v>3580.0</v>
      </c>
      <c r="Z27" s="60">
        <v>1235.0</v>
      </c>
      <c r="AA27" s="56">
        <v>1.0</v>
      </c>
      <c r="AB27" s="58">
        <f>IF('29'!AA27=1,(('29'!Z27*'29'!$AS$6*'29'!$AT$6)/('29'!Y27*0.0036)),IF('29'!AA27=2,(('29'!Z27*'29'!$AS$7*'29'!$AT$7)/('29'!Y27*0.0036))))</f>
        <v>63.72400683</v>
      </c>
      <c r="AC27" s="58"/>
      <c r="AD27" s="59">
        <f>(('29'!AC27*'29'!$Q$10*1000000))/('29'!Y27*3600)</f>
        <v>0</v>
      </c>
      <c r="AE27" s="60"/>
      <c r="AF27" s="61">
        <f>('29'!AE27/24)*0.454</f>
        <v>0</v>
      </c>
      <c r="AG27" s="60"/>
      <c r="AH27" s="61">
        <f>('29'!AG27/24)*0.454</f>
        <v>0</v>
      </c>
      <c r="AI27" s="60">
        <v>6000.0</v>
      </c>
      <c r="AJ27" s="61">
        <f>('29'!AI25/24)*0.454</f>
        <v>113.5</v>
      </c>
      <c r="AK27" s="62"/>
      <c r="AL27" s="63">
        <f>('29'!AK27/24)*0.454</f>
        <v>0</v>
      </c>
      <c r="AM27" s="62"/>
      <c r="AN27" s="63">
        <f>('29'!AM27/24)*0.454</f>
        <v>0</v>
      </c>
      <c r="AO27" s="62"/>
      <c r="AP27" s="63">
        <f>('29'!AO27/24)*0.454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3515.0</v>
      </c>
      <c r="Z28" s="60">
        <v>1235.0</v>
      </c>
      <c r="AA28" s="56">
        <v>1.0</v>
      </c>
      <c r="AB28" s="58">
        <f>IF('29'!AA28=1,(('29'!Z28*'29'!$AS$6*'29'!$AT$6)/('29'!Y28*0.0036)),IF('29'!AA28=2,(('29'!Z28*'29'!$AS$7*'29'!$AT$7)/('29'!Y28*0.0036))))</f>
        <v>64.9024024</v>
      </c>
      <c r="AC28" s="58"/>
      <c r="AD28" s="59">
        <f>(('29'!AC28*'29'!$Q$10*1000000))/('29'!Y28*3600)</f>
        <v>0</v>
      </c>
      <c r="AE28" s="60"/>
      <c r="AF28" s="61">
        <f>('29'!AE28/24)*0.454</f>
        <v>0</v>
      </c>
      <c r="AG28" s="60"/>
      <c r="AH28" s="61">
        <f>('29'!AG28/24)*0.454</f>
        <v>0</v>
      </c>
      <c r="AI28" s="60">
        <v>6000.0</v>
      </c>
      <c r="AJ28" s="61">
        <f>('29'!AI26/24)*0.454</f>
        <v>113.5</v>
      </c>
      <c r="AK28" s="62"/>
      <c r="AL28" s="63">
        <f>('29'!AK28/24)*0.454</f>
        <v>0</v>
      </c>
      <c r="AM28" s="62"/>
      <c r="AN28" s="63">
        <f>('29'!AM28/24)*0.454</f>
        <v>0</v>
      </c>
      <c r="AO28" s="62"/>
      <c r="AP28" s="63">
        <f>('29'!AO28/24)*0.454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3447.0</v>
      </c>
      <c r="Z29" s="60">
        <v>1235.0</v>
      </c>
      <c r="AA29" s="56">
        <v>1.0</v>
      </c>
      <c r="AB29" s="58">
        <f>IF('29'!AA29=1,(('29'!Z29*'29'!$AS$6*'29'!$AT$6)/('29'!Y29*0.0036)),IF('29'!AA29=2,(('29'!Z29*'29'!$AS$7*'29'!$AT$7)/('29'!Y29*0.0036))))</f>
        <v>66.18275151</v>
      </c>
      <c r="AC29" s="58"/>
      <c r="AD29" s="59">
        <f>(('29'!AC29*'29'!$Q$10*1000000))/('29'!Y29*3600)</f>
        <v>0</v>
      </c>
      <c r="AE29" s="60"/>
      <c r="AF29" s="61">
        <f>('29'!AE29/24)*0.454</f>
        <v>0</v>
      </c>
      <c r="AG29" s="60"/>
      <c r="AH29" s="61">
        <f>('29'!AG29/24)*0.454</f>
        <v>0</v>
      </c>
      <c r="AI29" s="60">
        <v>6000.0</v>
      </c>
      <c r="AJ29" s="61">
        <f>('29'!AI27/24)*0.454</f>
        <v>113.5</v>
      </c>
      <c r="AK29" s="62"/>
      <c r="AL29" s="63">
        <f>('29'!AK29/24)*0.454</f>
        <v>0</v>
      </c>
      <c r="AM29" s="62"/>
      <c r="AN29" s="63">
        <f>('29'!AM29/24)*0.454</f>
        <v>0</v>
      </c>
      <c r="AO29" s="62"/>
      <c r="AP29" s="63">
        <f>('29'!AO29/24)*0.454</f>
        <v>0</v>
      </c>
    </row>
    <row r="30" ht="18.75" customHeight="1">
      <c r="A30" s="43"/>
      <c r="U30" s="27"/>
      <c r="X30" s="130" t="s">
        <v>55</v>
      </c>
      <c r="Y30" s="131">
        <f>SUM('29'!Y6:Y29)*3.6</f>
        <v>299822.4</v>
      </c>
      <c r="Z30" s="132">
        <f>SUM('29'!Z6:Z29)</f>
        <v>29640</v>
      </c>
      <c r="AA30" s="133"/>
      <c r="AB30" s="132"/>
      <c r="AC30" s="133"/>
      <c r="AD30" s="132"/>
      <c r="AE30" s="60"/>
      <c r="AF30" s="61">
        <f>SUM('29'!AF6:AF29)</f>
        <v>0</v>
      </c>
      <c r="AG30" s="60"/>
      <c r="AH30" s="61">
        <f>SUM('29'!AH6:AH29)</f>
        <v>0</v>
      </c>
      <c r="AI30" s="60"/>
      <c r="AJ30" s="61">
        <f>SUM('29'!AJ6:AJ29)</f>
        <v>2402.416667</v>
      </c>
      <c r="AK30" s="62"/>
      <c r="AL30" s="63">
        <f>SUM('29'!AL6:AL29)</f>
        <v>0</v>
      </c>
      <c r="AM30" s="62"/>
      <c r="AN30" s="63">
        <f>SUM('29'!AN6:AN29)</f>
        <v>0</v>
      </c>
      <c r="AO30" s="62"/>
      <c r="AP30" s="63">
        <f>SUM('29'!AP6:AP29)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SUMIF('29'!AA6:AA29,"=1",'29'!Z6:Z29)</f>
        <v>29640</v>
      </c>
      <c r="AA32" s="132">
        <f>'29'!Z32*'29'!AS6</f>
        <v>39421.2</v>
      </c>
      <c r="AB32" s="139">
        <f>SUMIF('29'!$AA$6:$AA$29,"=1",'29'!$AB$6:$AB$29)/COUNTIF('29'!$AA$6:$AA$29,"=1")</f>
        <v>65.74899117</v>
      </c>
      <c r="AC32" s="140">
        <f>SUMIF('29'!AA6:AA29,"=1",'29'!AC6:AC29)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SUMIF('29'!AA6:AA29,"=2",'29'!Z6:Z29)</f>
        <v>0</v>
      </c>
      <c r="AA33" s="132">
        <f>'29'!Z33*'29'!AS7</f>
        <v>0</v>
      </c>
      <c r="AB33" s="139" t="str">
        <f>SUMIF('29'!$AA$6:$AA$29,"=2",'29'!$AB$6:$AB$29)/COUNTIF('29'!$AA$6:$AA$29,"=2")</f>
        <v>#DIV/0!</v>
      </c>
      <c r="AC33" s="145">
        <f>SUMIF('29'!AA6:AA29,"=2",'29'!AC6:AC29)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AVERAGE('29'!Y6:Y29)</f>
        <v>3470.166667</v>
      </c>
      <c r="Z34" s="56">
        <f>AVERAGE('29'!Z6:Z29)</f>
        <v>1235</v>
      </c>
      <c r="AA34" s="152"/>
      <c r="AB34" s="152"/>
      <c r="AC34" s="153" t="str">
        <f>SUM('29'!AC6:AC29)/COUNTIF('29'!AC6:AC29,"&lt;&gt;0")</f>
        <v>#DIV/0!</v>
      </c>
      <c r="AD34" s="154" t="str">
        <f>SUM('29'!AD6:AD29)/COUNTIF('29'!AD6:AD29,"&lt;&gt;0")</f>
        <v>#DIV/0!</v>
      </c>
      <c r="AE34" s="133"/>
      <c r="AF34" s="153">
        <f>AVERAGE('29'!AF6:AF29)</f>
        <v>0</v>
      </c>
      <c r="AG34" s="153"/>
      <c r="AH34" s="153">
        <f>AVERAGE('29'!AH6:AH29)</f>
        <v>0</v>
      </c>
      <c r="AI34" s="153"/>
      <c r="AJ34" s="153">
        <f>'29'!AJ30/24</f>
        <v>100.1006944</v>
      </c>
      <c r="AK34" s="153"/>
      <c r="AL34" s="153">
        <f>AVERAGE('29'!AL6:AL29)</f>
        <v>0</v>
      </c>
      <c r="AM34" s="153"/>
      <c r="AN34" s="153">
        <f>AVERAGE('29'!AN6:AN29)</f>
        <v>0</v>
      </c>
      <c r="AO34" s="153"/>
      <c r="AP34" s="153">
        <f>AVERAGE('29'!AP6:AP29)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58.2</v>
      </c>
      <c r="D37" s="76">
        <v>34.1</v>
      </c>
      <c r="E37" s="76">
        <v>26.1</v>
      </c>
      <c r="F37" s="76">
        <v>1.0</v>
      </c>
      <c r="G37" s="60">
        <v>0.1</v>
      </c>
      <c r="H37" s="60">
        <v>0.1</v>
      </c>
      <c r="I37" s="60">
        <v>0.1</v>
      </c>
      <c r="J37" s="60">
        <v>0.1</v>
      </c>
      <c r="K37" s="60">
        <v>0.0</v>
      </c>
      <c r="L37" s="52"/>
      <c r="M37" s="106"/>
      <c r="N37" s="157"/>
      <c r="O37" s="51"/>
      <c r="P37" s="51"/>
      <c r="Q37" s="51"/>
      <c r="R37" s="51"/>
      <c r="S37" s="51"/>
      <c r="T37" s="51"/>
      <c r="U37" s="365" t="str">
        <f>'29'!V12</f>
        <v/>
      </c>
      <c r="X37" s="277" t="s">
        <v>75</v>
      </c>
      <c r="Y37" s="128"/>
      <c r="Z37" s="170">
        <f>COUNTA('29'!Z6:Z29)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SUM('29'!AF30+'29'!AH30)</f>
        <v>0</v>
      </c>
      <c r="AL38" s="178" t="s">
        <v>78</v>
      </c>
      <c r="AM38" s="179">
        <f>SUM('29'!AL30+'29'!AN30)</f>
        <v>0</v>
      </c>
      <c r="AO38" s="178" t="s">
        <v>78</v>
      </c>
      <c r="AP38" s="180">
        <f>'29'!AJ30</f>
        <v>2402.416667</v>
      </c>
      <c r="AQ38" s="178" t="s">
        <v>78</v>
      </c>
      <c r="AR38" s="179">
        <f>'29'!AP30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('29'!AK38/'29'!Y30)*1000</f>
        <v>0</v>
      </c>
      <c r="AL39" s="327" t="s">
        <v>86</v>
      </c>
      <c r="AM39" s="328">
        <f>('29'!AM38/'29'!Y30)*1000</f>
        <v>0</v>
      </c>
      <c r="AO39" s="325" t="s">
        <v>86</v>
      </c>
      <c r="AP39" s="326">
        <f>('29'!AP38/'29'!Y30)*1000</f>
        <v>8.012799133</v>
      </c>
      <c r="AQ39" s="327" t="s">
        <v>86</v>
      </c>
      <c r="AR39" s="328">
        <f>('29'!AR38/'29'!Y30)*1000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SUM('29'!AK38,'29'!AM38)</f>
        <v>0</v>
      </c>
      <c r="AM40" s="128"/>
      <c r="AO40" s="210" t="s">
        <v>90</v>
      </c>
      <c r="AP40" s="128"/>
      <c r="AQ40" s="211">
        <f>SUM('29'!AP38,'29'!AR38)</f>
        <v>2402.416667</v>
      </c>
      <c r="AR40" s="128"/>
    </row>
    <row r="41" ht="16.5" customHeight="1">
      <c r="A41" s="212">
        <f>COUNTA('29'!E7:E18)</f>
        <v>12</v>
      </c>
      <c r="B41" s="213">
        <f>COUNTA('29'!I7:I18)</f>
        <v>12</v>
      </c>
      <c r="C41" s="214">
        <f>COUNTA('29'!J7:J18)</f>
        <v>12</v>
      </c>
      <c r="D41" s="80"/>
      <c r="E41" s="214">
        <f>COUNTIF('29'!E7:E18,"&gt;15")</f>
        <v>0</v>
      </c>
      <c r="F41" s="80"/>
      <c r="G41" s="214">
        <f>COUNTIF('29'!J7:J18,"&gt;1")</f>
        <v>0</v>
      </c>
      <c r="H41" s="80"/>
      <c r="I41" s="215"/>
      <c r="J41" s="214">
        <f>'29'!A41-'29'!E41</f>
        <v>12</v>
      </c>
      <c r="K41" s="80"/>
      <c r="L41" s="214">
        <f>'29'!C41-'29'!G41</f>
        <v>12</v>
      </c>
      <c r="M41" s="80"/>
      <c r="N41" s="215"/>
      <c r="O41" s="216">
        <f>COUNTIF('29'!J7:J18,"&lt;=0,5")</f>
        <v>12</v>
      </c>
      <c r="P41" s="217"/>
      <c r="Q41" s="218"/>
      <c r="R41" s="219"/>
      <c r="S41" s="220">
        <f>COUNTIF('29'!J7:J18,"&lt;=1,0")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210" t="s">
        <v>91</v>
      </c>
      <c r="AK41" s="128"/>
      <c r="AL41" s="223">
        <f>SUM(('29'!AK38+'29'!AM38)/'29'!Y30)*1000</f>
        <v>0</v>
      </c>
      <c r="AM41" s="128"/>
      <c r="AO41" s="210" t="s">
        <v>91</v>
      </c>
      <c r="AP41" s="128"/>
      <c r="AQ41" s="223">
        <f>SUM(('29'!AP38+'29'!AR38)/'29'!Y30)*1000</f>
        <v>8.012799133</v>
      </c>
      <c r="AR41" s="128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SUM('29'!Y45,'29'!AA45,'29'!AC45,'29'!AE45)</f>
        <v>0</v>
      </c>
      <c r="AI44" s="246" t="s">
        <v>103</v>
      </c>
      <c r="AJ44" s="127"/>
      <c r="AK44" s="127"/>
      <c r="AL44" s="127"/>
      <c r="AM44" s="127"/>
      <c r="AN44" s="127"/>
      <c r="AO44" s="127"/>
      <c r="AP44" s="127"/>
      <c r="AQ44" s="127"/>
      <c r="AR44" s="128"/>
    </row>
    <row r="45" ht="15.0" customHeight="1">
      <c r="H45" s="247">
        <f>COUNTIF('29'!I7:I18,"&lt;=5,0")</f>
        <v>12</v>
      </c>
      <c r="I45" s="127"/>
      <c r="J45" s="128"/>
      <c r="K45" s="215"/>
      <c r="L45" s="208">
        <f>COUNTA('29'!L37)</f>
        <v>0</v>
      </c>
      <c r="M45" s="128"/>
      <c r="O45" s="248"/>
      <c r="P45" s="249"/>
      <c r="Q45" s="250">
        <f>'29'!S41-'29'!O41</f>
        <v>0</v>
      </c>
      <c r="R45" s="251"/>
      <c r="S45" s="252"/>
      <c r="T45" s="253"/>
      <c r="X45" s="133" t="s">
        <v>104</v>
      </c>
      <c r="Y45" s="254">
        <f>'29'!Y44*275.3</f>
        <v>0</v>
      </c>
      <c r="Z45" s="133" t="s">
        <v>104</v>
      </c>
      <c r="AA45" s="254">
        <f>262.4*'29'!AA44</f>
        <v>0</v>
      </c>
      <c r="AB45" s="133" t="s">
        <v>104</v>
      </c>
      <c r="AC45" s="254">
        <f>'29'!AC44*277.7</f>
        <v>0</v>
      </c>
      <c r="AD45" s="133" t="s">
        <v>104</v>
      </c>
      <c r="AE45" s="255"/>
      <c r="AF45" s="46"/>
      <c r="AG45" s="46"/>
      <c r="AI45" s="236" t="s">
        <v>97</v>
      </c>
      <c r="AJ45" s="18"/>
      <c r="AK45" s="236" t="s">
        <v>98</v>
      </c>
      <c r="AL45" s="18"/>
      <c r="AM45" s="236" t="s">
        <v>99</v>
      </c>
      <c r="AN45" s="18"/>
      <c r="AO45" s="422"/>
      <c r="AP45" s="89"/>
      <c r="AQ45" s="237"/>
      <c r="AR45" s="238"/>
    </row>
    <row r="46" ht="15.75" customHeight="1">
      <c r="F46" s="257"/>
      <c r="X46" s="196" t="s">
        <v>105</v>
      </c>
      <c r="Y46" s="258">
        <f>'29'!AS6</f>
        <v>1.33</v>
      </c>
      <c r="Z46" s="196" t="s">
        <v>105</v>
      </c>
      <c r="AA46" s="258">
        <f>'29'!Y46</f>
        <v>1.33</v>
      </c>
      <c r="AB46" s="196" t="s">
        <v>105</v>
      </c>
      <c r="AC46" s="258">
        <f>'29'!Y46</f>
        <v>1.33</v>
      </c>
      <c r="AD46" s="196" t="s">
        <v>105</v>
      </c>
      <c r="AE46" s="259">
        <f>'29'!Y46</f>
        <v>1.33</v>
      </c>
      <c r="AF46" s="260" t="s">
        <v>106</v>
      </c>
      <c r="AG46" s="261">
        <f>SUM('29'!Y47,'29'!AA47,'29'!AC47,'29'!AE47)</f>
        <v>0</v>
      </c>
      <c r="AI46" s="68" t="s">
        <v>101</v>
      </c>
      <c r="AJ46" s="241"/>
      <c r="AK46" s="68" t="s">
        <v>101</v>
      </c>
      <c r="AL46" s="241"/>
      <c r="AM46" s="68" t="s">
        <v>101</v>
      </c>
      <c r="AN46" s="241"/>
      <c r="AO46" s="43"/>
      <c r="AP46" s="27"/>
      <c r="AQ46" s="244" t="s">
        <v>102</v>
      </c>
      <c r="AR46" s="245">
        <f>SUM('10'!AJ47,'10'!AL47,'10'!AN47,'10'!AP47)</f>
        <v>0</v>
      </c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'29'!Y45*'29'!Y46</f>
        <v>0</v>
      </c>
      <c r="Z47" s="133" t="s">
        <v>108</v>
      </c>
      <c r="AA47" s="254">
        <f>'29'!AA45*'29'!AA46</f>
        <v>0</v>
      </c>
      <c r="AB47" s="133" t="s">
        <v>108</v>
      </c>
      <c r="AC47" s="254">
        <f>'29'!AC45*'29'!AC46</f>
        <v>0</v>
      </c>
      <c r="AD47" s="133" t="s">
        <v>108</v>
      </c>
      <c r="AE47" s="254">
        <f>'29'!AE45*'29'!AE46</f>
        <v>0</v>
      </c>
      <c r="AF47" s="46"/>
      <c r="AG47" s="46"/>
      <c r="AI47" s="133" t="s">
        <v>104</v>
      </c>
      <c r="AJ47" s="254">
        <f>AJ46*275.3</f>
        <v>0</v>
      </c>
      <c r="AK47" s="133" t="s">
        <v>104</v>
      </c>
      <c r="AL47" s="254">
        <f>262.4*'10'!AL46</f>
        <v>0</v>
      </c>
      <c r="AM47" s="133" t="s">
        <v>104</v>
      </c>
      <c r="AN47" s="254">
        <f>AN46*277.7</f>
        <v>0</v>
      </c>
      <c r="AO47" s="43"/>
      <c r="AP47" s="27"/>
      <c r="AQ47" s="46"/>
      <c r="AR47" s="46"/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96" t="s">
        <v>105</v>
      </c>
      <c r="AJ48" s="258">
        <f>Y46</f>
        <v>1.33</v>
      </c>
      <c r="AK48" s="265" t="s">
        <v>105</v>
      </c>
      <c r="AL48" s="258">
        <f>'10'!AJ48</f>
        <v>1.33</v>
      </c>
      <c r="AM48" s="265" t="s">
        <v>105</v>
      </c>
      <c r="AN48" s="258">
        <f>AJ48</f>
        <v>1.33</v>
      </c>
      <c r="AO48" s="43"/>
      <c r="AP48" s="27"/>
      <c r="AQ48" s="260" t="s">
        <v>106</v>
      </c>
      <c r="AR48" s="261">
        <f>SUM('10'!AJ49,'10'!AL49,'10'!AN49,'10'!AP49)</f>
        <v>0</v>
      </c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33" t="s">
        <v>108</v>
      </c>
      <c r="AJ49" s="254">
        <f>AJ47*AJ48</f>
        <v>0</v>
      </c>
      <c r="AK49" s="133" t="s">
        <v>108</v>
      </c>
      <c r="AL49" s="254">
        <f>'10'!AL47*'10'!AL48</f>
        <v>0</v>
      </c>
      <c r="AM49" s="133" t="s">
        <v>108</v>
      </c>
      <c r="AN49" s="254">
        <f>AN47*AN48</f>
        <v>0</v>
      </c>
      <c r="AO49" s="16"/>
      <c r="AP49" s="18"/>
      <c r="AQ49" s="46"/>
      <c r="AR49" s="46"/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</row>
    <row r="51" ht="16.5" customHeight="1">
      <c r="O51" s="208">
        <f>COUNTA('29'!O7:O18)</f>
        <v>12</v>
      </c>
      <c r="P51" s="128"/>
      <c r="R51" s="247">
        <f>COUNTIF('29'!O7:O18,"&gt;=0,5")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  <c r="AI51" s="269" t="s">
        <v>112</v>
      </c>
      <c r="AJ51" s="127"/>
      <c r="AK51" s="127"/>
      <c r="AL51" s="127"/>
      <c r="AM51" s="127"/>
      <c r="AN51" s="127"/>
      <c r="AO51" s="127"/>
      <c r="AP51" s="127"/>
      <c r="AQ51" s="127"/>
      <c r="AR51" s="128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SUM('29'!Y53,'29'!AA53,'29'!AC53,'29'!AE53)</f>
        <v>0</v>
      </c>
      <c r="AI52" s="236" t="s">
        <v>97</v>
      </c>
      <c r="AJ52" s="18"/>
      <c r="AK52" s="236" t="s">
        <v>98</v>
      </c>
      <c r="AL52" s="18"/>
      <c r="AM52" s="236" t="s">
        <v>99</v>
      </c>
      <c r="AN52" s="18"/>
      <c r="AO52" s="422"/>
      <c r="AP52" s="89"/>
      <c r="AQ52" s="270"/>
      <c r="AR52" s="271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'29'!Y52*275.3</f>
        <v>0</v>
      </c>
      <c r="Z53" s="133" t="s">
        <v>104</v>
      </c>
      <c r="AA53" s="254">
        <f>262.4*'29'!AA52</f>
        <v>0</v>
      </c>
      <c r="AB53" s="133" t="s">
        <v>104</v>
      </c>
      <c r="AC53" s="276">
        <f>'29'!AC52*277.7</f>
        <v>0</v>
      </c>
      <c r="AD53" s="133" t="s">
        <v>104</v>
      </c>
      <c r="AE53" s="352"/>
      <c r="AF53" s="46"/>
      <c r="AG53" s="46"/>
      <c r="AI53" s="68" t="s">
        <v>101</v>
      </c>
      <c r="AJ53" s="275">
        <v>0.0</v>
      </c>
      <c r="AK53" s="68" t="s">
        <v>101</v>
      </c>
      <c r="AL53" s="272"/>
      <c r="AM53" s="68" t="s">
        <v>101</v>
      </c>
      <c r="AN53" s="272"/>
      <c r="AO53" s="43"/>
      <c r="AP53" s="27"/>
      <c r="AQ53" s="244" t="s">
        <v>102</v>
      </c>
      <c r="AR53" s="245">
        <f>'10'!AJ54+'10'!AL54+'10'!AN54+'10'!AP54</f>
        <v>0</v>
      </c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'29'!AS7</f>
        <v>1.377</v>
      </c>
      <c r="Z54" s="196" t="s">
        <v>105</v>
      </c>
      <c r="AA54" s="258">
        <f>'29'!Y54</f>
        <v>1.377</v>
      </c>
      <c r="AB54" s="196" t="s">
        <v>105</v>
      </c>
      <c r="AC54" s="258">
        <f>'29'!Y54</f>
        <v>1.377</v>
      </c>
      <c r="AD54" s="196" t="s">
        <v>105</v>
      </c>
      <c r="AE54" s="259">
        <f>'29'!Y54</f>
        <v>1.377</v>
      </c>
      <c r="AF54" s="260" t="s">
        <v>106</v>
      </c>
      <c r="AG54" s="261">
        <f>SUM('29'!Y55,'29'!AA55,'29'!AC55,'29'!AE55)</f>
        <v>0</v>
      </c>
      <c r="AI54" s="133" t="s">
        <v>104</v>
      </c>
      <c r="AJ54" s="254">
        <f>AJ53*275.3</f>
        <v>0</v>
      </c>
      <c r="AK54" s="133" t="s">
        <v>104</v>
      </c>
      <c r="AL54" s="254">
        <f>262.4*AL53</f>
        <v>0</v>
      </c>
      <c r="AM54" s="133" t="s">
        <v>104</v>
      </c>
      <c r="AN54" s="276">
        <f>AN53*277.7</f>
        <v>0</v>
      </c>
      <c r="AO54" s="43"/>
      <c r="AP54" s="27"/>
      <c r="AQ54" s="46"/>
      <c r="AR54" s="46"/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'29'!Y53*'29'!Y54</f>
        <v>0</v>
      </c>
      <c r="Z55" s="133" t="s">
        <v>108</v>
      </c>
      <c r="AA55" s="254">
        <f>'29'!AA53*'29'!AA54</f>
        <v>0</v>
      </c>
      <c r="AB55" s="133" t="s">
        <v>108</v>
      </c>
      <c r="AC55" s="254">
        <f>'29'!AC53*'29'!AC54</f>
        <v>0</v>
      </c>
      <c r="AD55" s="133" t="s">
        <v>108</v>
      </c>
      <c r="AE55" s="254">
        <f>'29'!AE53*'29'!AE54</f>
        <v>0</v>
      </c>
      <c r="AF55" s="46"/>
      <c r="AG55" s="46"/>
      <c r="AI55" s="196" t="s">
        <v>105</v>
      </c>
      <c r="AJ55" s="258">
        <f>Y54</f>
        <v>1.377</v>
      </c>
      <c r="AK55" s="196" t="s">
        <v>105</v>
      </c>
      <c r="AL55" s="258">
        <f>AJ55</f>
        <v>1.377</v>
      </c>
      <c r="AM55" s="196" t="s">
        <v>105</v>
      </c>
      <c r="AN55" s="258">
        <f>AJ55</f>
        <v>1.377</v>
      </c>
      <c r="AO55" s="43"/>
      <c r="AP55" s="27"/>
      <c r="AQ55" s="260" t="s">
        <v>106</v>
      </c>
      <c r="AR55" s="261">
        <f>SUM('10'!AJ56,'10'!AL56,'10'!AN56,'10'!AP56)</f>
        <v>0</v>
      </c>
    </row>
    <row r="56" ht="13.5" customHeight="1">
      <c r="O56" s="16"/>
      <c r="P56" s="18"/>
      <c r="R56" s="16"/>
      <c r="S56" s="17"/>
      <c r="T56" s="18"/>
      <c r="AI56" s="133" t="s">
        <v>108</v>
      </c>
      <c r="AJ56" s="254">
        <f>AJ54*AJ55</f>
        <v>0</v>
      </c>
      <c r="AK56" s="133" t="s">
        <v>108</v>
      </c>
      <c r="AL56" s="254">
        <f>AL54*AL55</f>
        <v>0</v>
      </c>
      <c r="AM56" s="133" t="s">
        <v>108</v>
      </c>
      <c r="AN56" s="254">
        <f>AN54*AN55</f>
        <v>0</v>
      </c>
      <c r="AO56" s="16"/>
      <c r="AP56" s="18"/>
      <c r="AQ56" s="46"/>
      <c r="AR56" s="46"/>
    </row>
    <row r="57" ht="15.75" customHeight="1">
      <c r="O57" s="169">
        <f>COUNTA('29'!N7:N18)</f>
        <v>12</v>
      </c>
      <c r="P57" s="128"/>
      <c r="R57" s="277">
        <f>COUNTIF('29'!N7:N18,"&gt;=6")</f>
        <v>12</v>
      </c>
      <c r="S57" s="127"/>
      <c r="T57" s="128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  <c r="AI59" s="279" t="s">
        <v>117</v>
      </c>
      <c r="AJ59" s="127"/>
      <c r="AK59" s="127"/>
      <c r="AL59" s="127"/>
      <c r="AM59" s="127"/>
      <c r="AN59" s="127"/>
      <c r="AO59" s="127"/>
      <c r="AP59" s="127"/>
      <c r="AQ59" s="127"/>
      <c r="AR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7" t="s">
        <v>120</v>
      </c>
      <c r="AJ60" s="127"/>
      <c r="AK60" s="127"/>
      <c r="AL60" s="127"/>
      <c r="AM60" s="128"/>
      <c r="AN60" s="277" t="s">
        <v>93</v>
      </c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86" t="s">
        <v>121</v>
      </c>
      <c r="AJ61" s="79"/>
      <c r="AK61" s="80"/>
      <c r="AL61" s="287">
        <f>AJ56+AL56+AN56</f>
        <v>0</v>
      </c>
      <c r="AM61" s="80"/>
      <c r="AN61" s="286" t="s">
        <v>121</v>
      </c>
      <c r="AO61" s="79"/>
      <c r="AP61" s="80"/>
      <c r="AQ61" s="287">
        <f>AJ49+AL49+AN49</f>
        <v>0</v>
      </c>
      <c r="AR61" s="80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123</v>
      </c>
      <c r="AJ62" s="79"/>
      <c r="AK62" s="80"/>
      <c r="AL62" s="292">
        <f>AA33</f>
        <v>0</v>
      </c>
      <c r="AM62" s="80"/>
      <c r="AN62" s="286" t="s">
        <v>123</v>
      </c>
      <c r="AO62" s="79"/>
      <c r="AP62" s="80"/>
      <c r="AQ62" s="293">
        <f>AA32</f>
        <v>39421.2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124</v>
      </c>
      <c r="AC63" s="125"/>
      <c r="AE63" s="97"/>
      <c r="AI63" s="286" t="s">
        <v>125</v>
      </c>
      <c r="AJ63" s="79"/>
      <c r="AK63" s="80"/>
      <c r="AL63" s="287">
        <f>AL61-AL62</f>
        <v>0</v>
      </c>
      <c r="AM63" s="80"/>
      <c r="AN63" s="286" t="s">
        <v>125</v>
      </c>
      <c r="AO63" s="79"/>
      <c r="AP63" s="80"/>
      <c r="AQ63" s="287">
        <f>AQ61-AQ62</f>
        <v>-39421.2</v>
      </c>
      <c r="AR63" s="80"/>
    </row>
    <row r="64" ht="15.0" customHeight="1">
      <c r="X64" s="294" t="s">
        <v>135</v>
      </c>
      <c r="Y64" s="295"/>
      <c r="Z64" s="43"/>
      <c r="AA64" s="27"/>
      <c r="AB64" s="296"/>
      <c r="AC64" s="125"/>
    </row>
    <row r="65" ht="39.0" customHeight="1">
      <c r="X65" s="297" t="s">
        <v>126</v>
      </c>
      <c r="Y65" s="298">
        <f>'28'!$Y$68</f>
        <v>-2270</v>
      </c>
      <c r="Z65" s="43"/>
      <c r="AA65" s="27"/>
      <c r="AB65" s="299" t="s">
        <v>126</v>
      </c>
      <c r="AC65" s="330">
        <f>'28'!$AC$68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SUM('29'!AK38,'29'!AP38)</f>
        <v>2402.416667</v>
      </c>
      <c r="Z67" s="43"/>
      <c r="AA67" s="27"/>
      <c r="AB67" s="296" t="s">
        <v>124</v>
      </c>
      <c r="AC67" s="254">
        <f>SUM('29'!AM38,'29'!AR38)</f>
        <v>0</v>
      </c>
    </row>
    <row r="68" ht="15.75" customHeight="1">
      <c r="X68" s="294" t="s">
        <v>128</v>
      </c>
      <c r="Y68" s="301">
        <f>SUM('29'!Y63,'29'!Y65)-'29'!Y67-'29'!Y64</f>
        <v>-4672.416667</v>
      </c>
      <c r="Z68" s="16"/>
      <c r="AA68" s="18"/>
      <c r="AB68" s="296" t="s">
        <v>128</v>
      </c>
      <c r="AC68" s="302">
        <f>SUM('29'!AC63,'29'!AC65)-'29'!AC67</f>
        <v>0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7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X35:Y35"/>
    <mergeCell ref="AA35:AB35"/>
    <mergeCell ref="AJ35:AM36"/>
    <mergeCell ref="AO35:AR36"/>
    <mergeCell ref="AJ37:AK37"/>
    <mergeCell ref="AL37:AM37"/>
    <mergeCell ref="AO37:AP37"/>
    <mergeCell ref="AQ37:AR3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L36:N36"/>
    <mergeCell ref="L37:N37"/>
    <mergeCell ref="X37:Y37"/>
    <mergeCell ref="L38:N38"/>
    <mergeCell ref="C40:D40"/>
    <mergeCell ref="E40:F40"/>
    <mergeCell ref="G40:H40"/>
    <mergeCell ref="J40:K40"/>
    <mergeCell ref="X40:AG40"/>
    <mergeCell ref="AJ40:AK40"/>
    <mergeCell ref="AL40:AM40"/>
    <mergeCell ref="AO40:AP40"/>
    <mergeCell ref="AQ40:AR40"/>
    <mergeCell ref="E41:F41"/>
    <mergeCell ref="G41:H41"/>
    <mergeCell ref="J41:K41"/>
    <mergeCell ref="L41:M41"/>
    <mergeCell ref="X41:AG41"/>
    <mergeCell ref="AJ41:AK41"/>
    <mergeCell ref="AL41:AM41"/>
    <mergeCell ref="AO41:AP41"/>
    <mergeCell ref="AQ41:AR41"/>
    <mergeCell ref="X42:AG42"/>
    <mergeCell ref="AQ53:AQ54"/>
    <mergeCell ref="AR53:AR54"/>
    <mergeCell ref="AQ55:AQ56"/>
    <mergeCell ref="AR55:AR56"/>
    <mergeCell ref="AF54:AF55"/>
    <mergeCell ref="AG54:AG55"/>
    <mergeCell ref="O55:P56"/>
    <mergeCell ref="R55:T56"/>
    <mergeCell ref="O57:P57"/>
    <mergeCell ref="R57:T57"/>
    <mergeCell ref="X58:AC58"/>
    <mergeCell ref="AD52:AE52"/>
    <mergeCell ref="AF52:AF53"/>
    <mergeCell ref="AG52:AG53"/>
    <mergeCell ref="AI52:AJ52"/>
    <mergeCell ref="AK52:AL52"/>
    <mergeCell ref="AM52:AN52"/>
    <mergeCell ref="AO52:AP56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59:AR59"/>
    <mergeCell ref="AI60:AM60"/>
    <mergeCell ref="AN60:AR60"/>
    <mergeCell ref="AI61:AK61"/>
    <mergeCell ref="AL61:AM61"/>
    <mergeCell ref="AN61:AP61"/>
    <mergeCell ref="AQ61:AR61"/>
    <mergeCell ref="X62:Y62"/>
    <mergeCell ref="X66:Y66"/>
    <mergeCell ref="X59:AC59"/>
    <mergeCell ref="X60:Y60"/>
    <mergeCell ref="Z60:AA60"/>
    <mergeCell ref="AB60:AC60"/>
    <mergeCell ref="X61:AC61"/>
    <mergeCell ref="Z62:AA68"/>
    <mergeCell ref="AB62:AC62"/>
    <mergeCell ref="AB66:AC66"/>
    <mergeCell ref="C39:D39"/>
    <mergeCell ref="C41:D41"/>
    <mergeCell ref="H43:J44"/>
    <mergeCell ref="L43:M44"/>
    <mergeCell ref="H45:J45"/>
    <mergeCell ref="L45:M45"/>
    <mergeCell ref="A39:B39"/>
    <mergeCell ref="E39:H39"/>
    <mergeCell ref="J39:M39"/>
    <mergeCell ref="O39:Q40"/>
    <mergeCell ref="R39:R41"/>
    <mergeCell ref="L40:M40"/>
    <mergeCell ref="O41:Q41"/>
    <mergeCell ref="AM45:AN45"/>
    <mergeCell ref="AO45:AP49"/>
    <mergeCell ref="AQ46:AQ47"/>
    <mergeCell ref="AR46:AR47"/>
    <mergeCell ref="AQ48:AQ49"/>
    <mergeCell ref="AR48:AR49"/>
    <mergeCell ref="AI51:AR51"/>
    <mergeCell ref="AD43:AE43"/>
    <mergeCell ref="AD44:AE44"/>
    <mergeCell ref="AF44:AF45"/>
    <mergeCell ref="AG44:AG45"/>
    <mergeCell ref="AI44:AR44"/>
    <mergeCell ref="AI45:AJ45"/>
    <mergeCell ref="AK45:AL45"/>
    <mergeCell ref="Q45:S45"/>
    <mergeCell ref="O47:T48"/>
    <mergeCell ref="O49:P50"/>
    <mergeCell ref="R49:T50"/>
    <mergeCell ref="O51:P51"/>
    <mergeCell ref="R51:T51"/>
    <mergeCell ref="O53:T54"/>
    <mergeCell ref="S39:T40"/>
    <mergeCell ref="S41:T41"/>
    <mergeCell ref="O42:T42"/>
    <mergeCell ref="Q43:S44"/>
    <mergeCell ref="X43:Y43"/>
    <mergeCell ref="Z43:AA43"/>
    <mergeCell ref="AB43:AC43"/>
    <mergeCell ref="AF46:AF47"/>
    <mergeCell ref="AG46:AG47"/>
    <mergeCell ref="X50:AG50"/>
    <mergeCell ref="X51:Y51"/>
    <mergeCell ref="Z51:AA51"/>
    <mergeCell ref="AB51:AC51"/>
    <mergeCell ref="AD51:AE51"/>
  </mergeCells>
  <conditionalFormatting sqref="O19: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8.57"/>
    <col customWidth="1" min="19" max="19" width="11.57"/>
    <col customWidth="1" min="20" max="20" width="8.71"/>
    <col customWidth="1" min="21" max="21" width="8.14"/>
    <col customWidth="1" min="22" max="22" width="8.57"/>
    <col customWidth="1" min="23" max="23" width="8.71"/>
    <col customWidth="1" min="24" max="24" width="8.57"/>
    <col customWidth="1" min="25" max="26" width="8.71"/>
    <col customWidth="1" min="27" max="32" width="8.57"/>
    <col customWidth="1" min="33" max="33" width="8.14"/>
    <col customWidth="1" min="34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47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152</v>
      </c>
      <c r="AF4" s="32" t="s">
        <v>153</v>
      </c>
      <c r="AG4" s="32" t="s">
        <v>154</v>
      </c>
      <c r="AH4" s="32" t="s">
        <v>155</v>
      </c>
      <c r="AI4" s="32" t="s">
        <v>156</v>
      </c>
      <c r="AJ4" s="32" t="s">
        <v>157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3425.0</v>
      </c>
      <c r="Z6" s="392">
        <v>1235.0</v>
      </c>
      <c r="AA6" s="56">
        <v>1.0</v>
      </c>
      <c r="AB6" s="58">
        <f>IF('30'!AA6=1,(('30'!Z6*'30'!$AS$6*'30'!$AT$6)/('30'!Y6*0.0036)),IF('30'!AA6=2,(('30'!Z6*'30'!$AS$7*'30'!$AT$7)/('30'!Y6*0.0036))))</f>
        <v>66.60786699</v>
      </c>
      <c r="AC6" s="58"/>
      <c r="AD6" s="59">
        <f>(('30'!AC6*'30'!$Q$10*1000000))/('30'!Y6*3600)</f>
        <v>0</v>
      </c>
      <c r="AE6" s="60"/>
      <c r="AF6" s="61">
        <f>('30'!AE6/24)*0.454</f>
        <v>0</v>
      </c>
      <c r="AG6" s="60"/>
      <c r="AH6" s="61">
        <f>('30'!AG6/24)*0.454</f>
        <v>0</v>
      </c>
      <c r="AI6" s="392">
        <v>6000.0</v>
      </c>
      <c r="AJ6" s="61">
        <f>('30'!AI6/24)*0.454</f>
        <v>113.5</v>
      </c>
      <c r="AK6" s="62"/>
      <c r="AL6" s="63">
        <f>('30'!AK6/24)*0.454</f>
        <v>0</v>
      </c>
      <c r="AM6" s="62"/>
      <c r="AN6" s="63">
        <f>('30'!AM6/24)*0.454</f>
        <v>0</v>
      </c>
      <c r="AO6" s="62"/>
      <c r="AP6" s="63">
        <f>('30'!AO6/24)*0.454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108.0</v>
      </c>
      <c r="C7" s="76">
        <v>15.0</v>
      </c>
      <c r="D7" s="76">
        <v>13.0</v>
      </c>
      <c r="E7" s="76">
        <v>6.0</v>
      </c>
      <c r="F7" s="76">
        <v>19.0</v>
      </c>
      <c r="G7" s="76">
        <v>1.0</v>
      </c>
      <c r="H7" s="76">
        <v>1.5</v>
      </c>
      <c r="I7" s="76">
        <v>0.6</v>
      </c>
      <c r="J7" s="76">
        <v>0.4</v>
      </c>
      <c r="K7" s="76">
        <v>6.9</v>
      </c>
      <c r="L7" s="76">
        <v>6.5</v>
      </c>
      <c r="M7" s="76">
        <v>6.5</v>
      </c>
      <c r="N7" s="76">
        <v>6.2</v>
      </c>
      <c r="O7" s="76">
        <v>3.0</v>
      </c>
      <c r="P7" s="76"/>
      <c r="Q7" s="310"/>
      <c r="R7" s="77">
        <f>'29'!$Z$29</f>
        <v>1235</v>
      </c>
      <c r="S7" s="309">
        <f>'29'!$AB$29</f>
        <v>66.18275151</v>
      </c>
      <c r="T7" s="77">
        <f>'29'!$Y$29</f>
        <v>3447</v>
      </c>
      <c r="U7" s="73" t="str">
        <f>IF('30'!AA6=1,'30'!AR6,'30'!AR7)</f>
        <v>S.A.L</v>
      </c>
      <c r="V7" s="74" t="str">
        <f>ESCALA!$B$31</f>
        <v/>
      </c>
      <c r="W7" s="12"/>
      <c r="X7" s="54">
        <v>0.0833333333333333</v>
      </c>
      <c r="Y7" s="125">
        <v>3469.0</v>
      </c>
      <c r="Z7" s="392">
        <v>1235.0</v>
      </c>
      <c r="AA7" s="56">
        <v>1.0</v>
      </c>
      <c r="AB7" s="58">
        <f>IF('30'!AA7=1,(('30'!Z7*'30'!$AS$6*'30'!$AT$6)/('30'!Y7*0.0036)),IF('30'!AA7=2,(('30'!Z7*'30'!$AS$7*'30'!$AT$7)/('30'!Y7*0.0036))))</f>
        <v>65.76302809</v>
      </c>
      <c r="AC7" s="58"/>
      <c r="AD7" s="59">
        <f>(('30'!AC7*'30'!$Q$10*1000000))/('30'!Y7*3600)</f>
        <v>0</v>
      </c>
      <c r="AE7" s="60"/>
      <c r="AF7" s="61">
        <f>('30'!AE7/24)*0.454</f>
        <v>0</v>
      </c>
      <c r="AG7" s="60"/>
      <c r="AH7" s="61">
        <f>('30'!AG7/24)*0.454</f>
        <v>0</v>
      </c>
      <c r="AI7" s="392">
        <v>6000.0</v>
      </c>
      <c r="AJ7" s="61">
        <f>('30'!AI7/24)*0.454</f>
        <v>113.5</v>
      </c>
      <c r="AK7" s="62"/>
      <c r="AL7" s="63">
        <f>('30'!AK7/24)*0.454</f>
        <v>0</v>
      </c>
      <c r="AM7" s="62"/>
      <c r="AN7" s="63">
        <f>('30'!AM7/24)*0.454</f>
        <v>0</v>
      </c>
      <c r="AO7" s="62"/>
      <c r="AP7" s="63">
        <f>('30'!AO7/24)*0.454</f>
        <v>0</v>
      </c>
      <c r="AQ7" s="65">
        <v>2.0</v>
      </c>
      <c r="AR7" s="66" t="s">
        <v>49</v>
      </c>
      <c r="AS7" s="67">
        <v>1.377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110.0</v>
      </c>
      <c r="C8" s="76">
        <v>15.0</v>
      </c>
      <c r="D8" s="76">
        <v>13.0</v>
      </c>
      <c r="E8" s="76">
        <v>6.0</v>
      </c>
      <c r="F8" s="76">
        <v>17.0</v>
      </c>
      <c r="G8" s="76">
        <v>1.1</v>
      </c>
      <c r="H8" s="76">
        <v>1.4</v>
      </c>
      <c r="I8" s="76">
        <v>0.6</v>
      </c>
      <c r="J8" s="76">
        <v>0.5</v>
      </c>
      <c r="K8" s="76">
        <v>6.9</v>
      </c>
      <c r="L8" s="76">
        <v>6.5</v>
      </c>
      <c r="M8" s="76">
        <v>6.5</v>
      </c>
      <c r="N8" s="76">
        <v>6.2</v>
      </c>
      <c r="O8" s="76">
        <v>3.0</v>
      </c>
      <c r="P8" s="76"/>
      <c r="Q8" s="310"/>
      <c r="R8" s="75">
        <f>'30'!Z7</f>
        <v>1235</v>
      </c>
      <c r="S8" s="76">
        <f>'30'!AB7</f>
        <v>65.76302809</v>
      </c>
      <c r="T8" s="77">
        <f>'30'!Y7</f>
        <v>3469</v>
      </c>
      <c r="U8" s="73" t="str">
        <f>IF('30'!AA7=1,'30'!AR6,'30'!AR7)</f>
        <v>S.A.L</v>
      </c>
      <c r="V8" s="43"/>
      <c r="W8" s="27"/>
      <c r="X8" s="54">
        <v>0.125</v>
      </c>
      <c r="Y8" s="125">
        <v>3436.0</v>
      </c>
      <c r="Z8" s="392">
        <v>1235.0</v>
      </c>
      <c r="AA8" s="56">
        <v>1.0</v>
      </c>
      <c r="AB8" s="58">
        <f>IF('30'!AA8=1,(('30'!Z8*'30'!$AS$6*'30'!$AT$6)/('30'!Y8*0.0036)),IF('30'!AA8=2,(('30'!Z8*'30'!$AS$7*'30'!$AT$7)/('30'!Y8*0.0036))))</f>
        <v>66.39462877</v>
      </c>
      <c r="AC8" s="58"/>
      <c r="AD8" s="59">
        <f>(('30'!AC8*'30'!$Q$10*1000000))/('30'!Y8*3600)</f>
        <v>0</v>
      </c>
      <c r="AE8" s="60"/>
      <c r="AF8" s="61">
        <f>('30'!AE8/24)*0.454</f>
        <v>0</v>
      </c>
      <c r="AG8" s="60"/>
      <c r="AH8" s="61">
        <f>('30'!AG8/24)*0.454</f>
        <v>0</v>
      </c>
      <c r="AI8" s="392">
        <v>6000.0</v>
      </c>
      <c r="AJ8" s="61">
        <f>('30'!AI8/24)*0.454</f>
        <v>113.5</v>
      </c>
      <c r="AK8" s="62"/>
      <c r="AL8" s="63">
        <f>('30'!AK8/24)*0.454</f>
        <v>0</v>
      </c>
      <c r="AM8" s="62"/>
      <c r="AN8" s="63">
        <f>('30'!AM8/24)*0.454</f>
        <v>0</v>
      </c>
      <c r="AO8" s="62"/>
      <c r="AP8" s="63">
        <f>('30'!AO8/24)*0.454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107.0</v>
      </c>
      <c r="C9" s="76">
        <v>14.0</v>
      </c>
      <c r="D9" s="76">
        <v>13.0</v>
      </c>
      <c r="E9" s="76">
        <v>7.0</v>
      </c>
      <c r="F9" s="76">
        <v>17.0</v>
      </c>
      <c r="G9" s="76">
        <v>1.1</v>
      </c>
      <c r="H9" s="76">
        <v>1.3</v>
      </c>
      <c r="I9" s="76">
        <v>0.5</v>
      </c>
      <c r="J9" s="76">
        <v>0.5</v>
      </c>
      <c r="K9" s="76">
        <v>6.9</v>
      </c>
      <c r="L9" s="76">
        <v>6.5</v>
      </c>
      <c r="M9" s="76">
        <v>6.5</v>
      </c>
      <c r="N9" s="76">
        <v>6.2</v>
      </c>
      <c r="O9" s="76">
        <v>3.3</v>
      </c>
      <c r="P9" s="76"/>
      <c r="Q9" s="310"/>
      <c r="R9" s="77">
        <f>'30'!Z9</f>
        <v>1235</v>
      </c>
      <c r="S9" s="76">
        <f>'30'!AB9</f>
        <v>65.95314959</v>
      </c>
      <c r="T9" s="77">
        <f>'30'!Y9</f>
        <v>3459</v>
      </c>
      <c r="U9" s="73" t="str">
        <f>IF('30'!AA9=1,'30'!AR6,'30'!AR7)</f>
        <v>S.A.L</v>
      </c>
      <c r="V9" s="43"/>
      <c r="W9" s="27"/>
      <c r="X9" s="54">
        <v>0.166666666666667</v>
      </c>
      <c r="Y9" s="125">
        <v>3459.0</v>
      </c>
      <c r="Z9" s="392">
        <v>1235.0</v>
      </c>
      <c r="AA9" s="56">
        <v>1.0</v>
      </c>
      <c r="AB9" s="58">
        <f>IF('30'!AA9=1,(('30'!Z9*'30'!$AS$6*'30'!$AT$6)/('30'!Y9*0.0036)),IF('30'!AA9=2,(('30'!Z9*'30'!$AS$7*'30'!$AT$7)/('30'!Y9*0.0036))))</f>
        <v>65.95314959</v>
      </c>
      <c r="AC9" s="58"/>
      <c r="AD9" s="59">
        <f>(('30'!AC9*'30'!$Q$10*1000000))/('30'!Y9*3600)</f>
        <v>0</v>
      </c>
      <c r="AE9" s="60"/>
      <c r="AF9" s="61">
        <f>('30'!AE9/24)*0.454</f>
        <v>0</v>
      </c>
      <c r="AG9" s="60"/>
      <c r="AH9" s="61">
        <f>('30'!AG9/24)*0.454</f>
        <v>0</v>
      </c>
      <c r="AI9" s="392">
        <v>6000.0</v>
      </c>
      <c r="AJ9" s="61">
        <f>('30'!AI9/24)*0.454</f>
        <v>113.5</v>
      </c>
      <c r="AK9" s="62"/>
      <c r="AL9" s="63">
        <f>('30'!AK9/24)*0.454</f>
        <v>0</v>
      </c>
      <c r="AM9" s="62"/>
      <c r="AN9" s="63">
        <f>('30'!AM9/24)*0.454</f>
        <v>0</v>
      </c>
      <c r="AO9" s="62"/>
      <c r="AP9" s="63">
        <f>('30'!AO9/24)*0.454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105.0</v>
      </c>
      <c r="C10" s="76">
        <v>13.0</v>
      </c>
      <c r="D10" s="76">
        <v>14.0</v>
      </c>
      <c r="E10" s="76">
        <v>7.0</v>
      </c>
      <c r="F10" s="76">
        <v>16.0</v>
      </c>
      <c r="G10" s="76">
        <v>1.2</v>
      </c>
      <c r="H10" s="76">
        <v>1.3</v>
      </c>
      <c r="I10" s="76">
        <v>0.5</v>
      </c>
      <c r="J10" s="76">
        <v>0.4</v>
      </c>
      <c r="K10" s="76">
        <v>6.9</v>
      </c>
      <c r="L10" s="76">
        <v>6.5</v>
      </c>
      <c r="M10" s="76">
        <v>6.5</v>
      </c>
      <c r="N10" s="76">
        <v>6.2</v>
      </c>
      <c r="O10" s="76">
        <v>3.3</v>
      </c>
      <c r="P10" s="76"/>
      <c r="Q10" s="310"/>
      <c r="R10" s="77">
        <f>'30'!Z11</f>
        <v>1235</v>
      </c>
      <c r="S10" s="76">
        <f>'30'!AB11</f>
        <v>65.57399955</v>
      </c>
      <c r="T10" s="77">
        <f>'30'!Y11</f>
        <v>3479</v>
      </c>
      <c r="U10" s="73" t="str">
        <f>IF('30'!AA11=1,'30'!AR6,'30'!AR7)</f>
        <v>S.A.L</v>
      </c>
      <c r="V10" s="43"/>
      <c r="W10" s="27"/>
      <c r="X10" s="54">
        <v>0.208333333333333</v>
      </c>
      <c r="Y10" s="125">
        <v>3468.0</v>
      </c>
      <c r="Z10" s="392">
        <v>1235.0</v>
      </c>
      <c r="AA10" s="56">
        <v>1.0</v>
      </c>
      <c r="AB10" s="58">
        <f>IF('30'!AA10=1,(('30'!Z10*'30'!$AS$6*'30'!$AT$6)/('30'!Y10*0.0036)),IF('30'!AA10=2,(('30'!Z10*'30'!$AS$7*'30'!$AT$7)/('30'!Y10*0.0036))))</f>
        <v>65.7819909</v>
      </c>
      <c r="AC10" s="58"/>
      <c r="AD10" s="59">
        <f>(('30'!AC10*'30'!$Q$10*1000000))/('30'!Y10*3600)</f>
        <v>0</v>
      </c>
      <c r="AE10" s="60"/>
      <c r="AF10" s="61">
        <f>('30'!AE10/24)*0.454</f>
        <v>0</v>
      </c>
      <c r="AG10" s="60"/>
      <c r="AH10" s="61">
        <f>('30'!AG10/24)*0.454</f>
        <v>0</v>
      </c>
      <c r="AI10" s="392">
        <v>6000.0</v>
      </c>
      <c r="AJ10" s="61">
        <f>('30'!AI10/24)*0.454</f>
        <v>113.5</v>
      </c>
      <c r="AK10" s="62"/>
      <c r="AL10" s="63">
        <f>('30'!AK10/24)*0.454</f>
        <v>0</v>
      </c>
      <c r="AM10" s="62"/>
      <c r="AN10" s="63">
        <f>('30'!AM10/24)*0.454</f>
        <v>0</v>
      </c>
      <c r="AO10" s="62"/>
      <c r="AP10" s="63">
        <f>('30'!AO10/24)*0.454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99.0</v>
      </c>
      <c r="C11" s="76">
        <v>12.0</v>
      </c>
      <c r="D11" s="76">
        <v>13.0</v>
      </c>
      <c r="E11" s="76">
        <v>7.0</v>
      </c>
      <c r="F11" s="76">
        <v>17.0</v>
      </c>
      <c r="G11" s="76">
        <v>1.2</v>
      </c>
      <c r="H11" s="76">
        <v>1.6</v>
      </c>
      <c r="I11" s="76">
        <v>0.5</v>
      </c>
      <c r="J11" s="76">
        <v>0.4</v>
      </c>
      <c r="K11" s="76">
        <v>6.9</v>
      </c>
      <c r="L11" s="76">
        <v>6.5</v>
      </c>
      <c r="M11" s="76">
        <v>6.5</v>
      </c>
      <c r="N11" s="76">
        <v>6.2</v>
      </c>
      <c r="O11" s="76">
        <v>3.8</v>
      </c>
      <c r="P11" s="76"/>
      <c r="Q11" s="310"/>
      <c r="R11" s="77">
        <f>'30'!Z13</f>
        <v>1235</v>
      </c>
      <c r="S11" s="76">
        <f>'30'!AB13</f>
        <v>62.51903109</v>
      </c>
      <c r="T11" s="77">
        <f>'30'!Y13</f>
        <v>3649</v>
      </c>
      <c r="U11" s="73" t="str">
        <f>IF('30'!AA13=1,'30'!AR6,'30'!AR7)</f>
        <v>S.A.L</v>
      </c>
      <c r="V11" s="16"/>
      <c r="W11" s="18"/>
      <c r="X11" s="54">
        <v>0.25</v>
      </c>
      <c r="Y11" s="125">
        <v>3479.0</v>
      </c>
      <c r="Z11" s="392">
        <v>1235.0</v>
      </c>
      <c r="AA11" s="56">
        <v>1.0</v>
      </c>
      <c r="AB11" s="58">
        <f>IF('30'!AA11=1,(('30'!Z11*'30'!$AS$6*'30'!$AT$6)/('30'!Y11*0.0036)),IF('30'!AA11=2,(('30'!Z11*'30'!$AS$7*'30'!$AT$7)/('30'!Y11*0.0036))))</f>
        <v>65.57399955</v>
      </c>
      <c r="AC11" s="58"/>
      <c r="AD11" s="59">
        <f>(('30'!AC11*'30'!$Q$10*1000000))/('30'!Y11*3600)</f>
        <v>0</v>
      </c>
      <c r="AE11" s="60"/>
      <c r="AF11" s="61">
        <f>('30'!AE11/24)*0.454</f>
        <v>0</v>
      </c>
      <c r="AG11" s="60"/>
      <c r="AH11" s="61">
        <f>('30'!AG11/24)*0.454</f>
        <v>0</v>
      </c>
      <c r="AI11" s="392">
        <v>6000.0</v>
      </c>
      <c r="AJ11" s="61">
        <f>('30'!AI11/24)*0.454</f>
        <v>113.5</v>
      </c>
      <c r="AK11" s="62"/>
      <c r="AL11" s="63">
        <f>('30'!AK11/24)*0.454</f>
        <v>0</v>
      </c>
      <c r="AM11" s="62"/>
      <c r="AN11" s="63">
        <f>('30'!AM11/24)*0.454</f>
        <v>0</v>
      </c>
      <c r="AO11" s="62"/>
      <c r="AP11" s="63">
        <f>('30'!AO11/24)*0.454</f>
        <v>0</v>
      </c>
    </row>
    <row r="12" ht="18.75" customHeight="1">
      <c r="A12" s="69">
        <v>0.416666666666667</v>
      </c>
      <c r="B12" s="76">
        <v>101.0</v>
      </c>
      <c r="C12" s="76">
        <v>12.0</v>
      </c>
      <c r="D12" s="76">
        <v>13.0</v>
      </c>
      <c r="E12" s="76">
        <v>7.0</v>
      </c>
      <c r="F12" s="76">
        <v>17.0</v>
      </c>
      <c r="G12" s="76">
        <v>1.2</v>
      </c>
      <c r="H12" s="76">
        <v>1.5</v>
      </c>
      <c r="I12" s="76">
        <v>0.5</v>
      </c>
      <c r="J12" s="76">
        <v>0.4</v>
      </c>
      <c r="K12" s="76">
        <v>6.9</v>
      </c>
      <c r="L12" s="76">
        <v>6.5</v>
      </c>
      <c r="M12" s="76">
        <v>6.5</v>
      </c>
      <c r="N12" s="76">
        <v>6.2</v>
      </c>
      <c r="O12" s="76">
        <v>3.6</v>
      </c>
      <c r="P12" s="76"/>
      <c r="Q12" s="310"/>
      <c r="R12" s="77">
        <f>'30'!Z15</f>
        <v>1160</v>
      </c>
      <c r="S12" s="76">
        <f>'30'!AB15</f>
        <v>58.33862722</v>
      </c>
      <c r="T12" s="77">
        <f>'30'!Y15</f>
        <v>3673</v>
      </c>
      <c r="U12" s="73" t="str">
        <f>IF('30'!AA15=1,'30'!AR6,'30'!AR7)</f>
        <v>S.A.L</v>
      </c>
      <c r="V12" s="88" t="str">
        <f>ESCALA!$B$32</f>
        <v/>
      </c>
      <c r="W12" s="89"/>
      <c r="X12" s="54">
        <v>0.291666666666667</v>
      </c>
      <c r="Y12" s="125">
        <v>3674.0</v>
      </c>
      <c r="Z12" s="392">
        <v>1235.0</v>
      </c>
      <c r="AA12" s="56">
        <v>1.0</v>
      </c>
      <c r="AB12" s="58">
        <f>IF('30'!AA12=1,(('30'!Z12*'30'!$AS$6*'30'!$AT$6)/('30'!Y12*0.0036)),IF('30'!AA12=2,(('30'!Z12*'30'!$AS$7*'30'!$AT$7)/('30'!Y12*0.0036))))</f>
        <v>62.0936158</v>
      </c>
      <c r="AC12" s="58"/>
      <c r="AD12" s="59">
        <f>(('30'!AC12*'30'!$Q$10*1000000))/('30'!Y12*3600)</f>
        <v>0</v>
      </c>
      <c r="AE12" s="60"/>
      <c r="AF12" s="61">
        <f>('30'!AE12/24)*0.454</f>
        <v>0</v>
      </c>
      <c r="AG12" s="60"/>
      <c r="AH12" s="61">
        <f>('30'!AG12/24)*0.454</f>
        <v>0</v>
      </c>
      <c r="AI12" s="392">
        <v>6000.0</v>
      </c>
      <c r="AJ12" s="61">
        <f>('30'!AI12/24)*0.454</f>
        <v>113.5</v>
      </c>
      <c r="AK12" s="62"/>
      <c r="AL12" s="63">
        <f>('30'!AK12/24)*0.454</f>
        <v>0</v>
      </c>
      <c r="AM12" s="62"/>
      <c r="AN12" s="63">
        <f>('30'!AM12/24)*0.454</f>
        <v>0</v>
      </c>
      <c r="AO12" s="62"/>
      <c r="AP12" s="63">
        <f>('30'!AO12/24)*0.454</f>
        <v>0</v>
      </c>
    </row>
    <row r="13" ht="18.75" customHeight="1">
      <c r="A13" s="69">
        <v>0.5</v>
      </c>
      <c r="B13" s="76">
        <v>98.0</v>
      </c>
      <c r="C13" s="76">
        <v>13.0</v>
      </c>
      <c r="D13" s="76">
        <v>14.0</v>
      </c>
      <c r="E13" s="76">
        <v>7.0</v>
      </c>
      <c r="F13" s="76">
        <v>17.0</v>
      </c>
      <c r="G13" s="76">
        <v>1.2</v>
      </c>
      <c r="H13" s="76">
        <v>1.5</v>
      </c>
      <c r="I13" s="76">
        <v>0.5</v>
      </c>
      <c r="J13" s="76">
        <v>0.5</v>
      </c>
      <c r="K13" s="76">
        <v>6.9</v>
      </c>
      <c r="L13" s="76">
        <v>6.5</v>
      </c>
      <c r="M13" s="76">
        <v>6.5</v>
      </c>
      <c r="N13" s="76">
        <v>6.2</v>
      </c>
      <c r="O13" s="76">
        <v>3.2</v>
      </c>
      <c r="P13" s="76"/>
      <c r="Q13" s="310"/>
      <c r="R13" s="77">
        <f>'30'!Z17</f>
        <v>1160</v>
      </c>
      <c r="S13" s="76">
        <f>'30'!AB17</f>
        <v>58.35451465</v>
      </c>
      <c r="T13" s="77">
        <f>'30'!Y17</f>
        <v>3672</v>
      </c>
      <c r="U13" s="73" t="str">
        <f>IF('30'!AA17=1,'30'!AR6,'30'!AR7)</f>
        <v>S.A.L</v>
      </c>
      <c r="V13" s="43"/>
      <c r="W13" s="27"/>
      <c r="X13" s="54">
        <v>0.333333333333333</v>
      </c>
      <c r="Y13" s="439">
        <v>3649.0</v>
      </c>
      <c r="Z13" s="392">
        <v>1235.0</v>
      </c>
      <c r="AA13" s="56">
        <v>1.0</v>
      </c>
      <c r="AB13" s="58">
        <f>IF('30'!AA13=1,(('30'!Z13*'30'!$AS$6*'30'!$AT$6)/('30'!Y13*0.0036)),IF('30'!AA13=2,(('30'!Z13*'30'!$AS$7*'30'!$AT$7)/('30'!Y13*0.0036))))</f>
        <v>62.51903109</v>
      </c>
      <c r="AC13" s="58"/>
      <c r="AD13" s="59">
        <f>(('30'!AC13*'30'!$Q$10*1000000))/('30'!Y13*3600)</f>
        <v>0</v>
      </c>
      <c r="AE13" s="60"/>
      <c r="AF13" s="61">
        <f>('30'!AE13/24)*0.454</f>
        <v>0</v>
      </c>
      <c r="AG13" s="60"/>
      <c r="AH13" s="61">
        <f>('30'!AG13/24)*0.454</f>
        <v>0</v>
      </c>
      <c r="AI13" s="392">
        <v>6000.0</v>
      </c>
      <c r="AJ13" s="61">
        <f>('30'!AI13/24)*0.454</f>
        <v>113.5</v>
      </c>
      <c r="AK13" s="62"/>
      <c r="AL13" s="63">
        <f>('30'!AK13/24)*0.454</f>
        <v>0</v>
      </c>
      <c r="AM13" s="62"/>
      <c r="AN13" s="63">
        <f>('30'!AM13/24)*0.454</f>
        <v>0</v>
      </c>
      <c r="AO13" s="62"/>
      <c r="AP13" s="63">
        <f>('30'!AO13/24)*0.454</f>
        <v>0</v>
      </c>
    </row>
    <row r="14" ht="18.75" customHeight="1">
      <c r="A14" s="69">
        <v>0.583333333333333</v>
      </c>
      <c r="B14" s="76">
        <v>104.0</v>
      </c>
      <c r="C14" s="76">
        <v>13.0</v>
      </c>
      <c r="D14" s="76">
        <v>14.0</v>
      </c>
      <c r="E14" s="76">
        <v>7.0</v>
      </c>
      <c r="F14" s="76">
        <v>17.0</v>
      </c>
      <c r="G14" s="76">
        <v>1.4</v>
      </c>
      <c r="H14" s="76">
        <v>1.4</v>
      </c>
      <c r="I14" s="76">
        <v>0.5</v>
      </c>
      <c r="J14" s="76">
        <v>0.5</v>
      </c>
      <c r="K14" s="76">
        <v>6.9</v>
      </c>
      <c r="L14" s="76">
        <v>6.5</v>
      </c>
      <c r="M14" s="76">
        <v>6.5</v>
      </c>
      <c r="N14" s="76">
        <v>6.2</v>
      </c>
      <c r="O14" s="76">
        <v>3.2</v>
      </c>
      <c r="P14" s="76"/>
      <c r="Q14" s="310"/>
      <c r="R14" s="77">
        <f>'30'!Z19</f>
        <v>1160</v>
      </c>
      <c r="S14" s="76">
        <f>'30'!AB19</f>
        <v>58.43408175</v>
      </c>
      <c r="T14" s="77">
        <f>'30'!Y19</f>
        <v>3667</v>
      </c>
      <c r="U14" s="73" t="str">
        <f>IF('30'!AA19=1,'30'!AR6,'30'!AR7)</f>
        <v>S.A.L</v>
      </c>
      <c r="V14" s="43"/>
      <c r="W14" s="27"/>
      <c r="X14" s="54">
        <v>0.375</v>
      </c>
      <c r="Y14" s="125">
        <v>3693.0</v>
      </c>
      <c r="Z14" s="392">
        <v>1235.0</v>
      </c>
      <c r="AA14" s="56">
        <v>1.0</v>
      </c>
      <c r="AB14" s="58">
        <f>IF('30'!AA14=1,(('30'!Z14*'30'!$AS$6*'30'!$AT$6)/('30'!Y14*0.0036)),IF('30'!AA14=2,(('30'!Z14*'30'!$AS$7*'30'!$AT$7)/('30'!Y14*0.0036))))</f>
        <v>61.7741523</v>
      </c>
      <c r="AC14" s="58"/>
      <c r="AD14" s="59">
        <f>(('30'!AC14*'30'!$Q$10*1000000))/('30'!Y14*3600)</f>
        <v>0</v>
      </c>
      <c r="AE14" s="60"/>
      <c r="AF14" s="61">
        <f>('30'!AE14/24)*0.454</f>
        <v>0</v>
      </c>
      <c r="AG14" s="60"/>
      <c r="AH14" s="61">
        <f>('30'!AG14/24)*0.454</f>
        <v>0</v>
      </c>
      <c r="AI14" s="392">
        <v>5800.0</v>
      </c>
      <c r="AJ14" s="61">
        <f>('30'!AI14/24)*0.454</f>
        <v>109.7166667</v>
      </c>
      <c r="AK14" s="62"/>
      <c r="AL14" s="63">
        <f>('30'!AK14/24)*0.454</f>
        <v>0</v>
      </c>
      <c r="AM14" s="62"/>
      <c r="AN14" s="63">
        <f>('30'!AM14/24)*0.454</f>
        <v>0</v>
      </c>
      <c r="AO14" s="62"/>
      <c r="AP14" s="63">
        <f>('30'!AO14/24)*0.454</f>
        <v>0</v>
      </c>
    </row>
    <row r="15" ht="18.75" customHeight="1">
      <c r="A15" s="69">
        <v>0.666666666666667</v>
      </c>
      <c r="B15" s="76">
        <v>107.0</v>
      </c>
      <c r="C15" s="76">
        <v>14.0</v>
      </c>
      <c r="D15" s="76">
        <v>14.0</v>
      </c>
      <c r="E15" s="76">
        <v>7.0</v>
      </c>
      <c r="F15" s="76">
        <v>18.0</v>
      </c>
      <c r="G15" s="76">
        <v>1.3</v>
      </c>
      <c r="H15" s="76">
        <v>1.3</v>
      </c>
      <c r="I15" s="76">
        <v>0.5</v>
      </c>
      <c r="J15" s="76">
        <v>0.5</v>
      </c>
      <c r="K15" s="76">
        <v>6.9</v>
      </c>
      <c r="L15" s="76">
        <v>6.5</v>
      </c>
      <c r="M15" s="76">
        <v>6.5</v>
      </c>
      <c r="N15" s="76">
        <v>6.2</v>
      </c>
      <c r="O15" s="76">
        <v>3.2</v>
      </c>
      <c r="P15" s="76"/>
      <c r="Q15" s="310"/>
      <c r="R15" s="77">
        <f>'30'!Z21</f>
        <v>1160</v>
      </c>
      <c r="S15" s="76">
        <f>'30'!AB21</f>
        <v>58.48192625</v>
      </c>
      <c r="T15" s="77">
        <f>'30'!Y21</f>
        <v>3664</v>
      </c>
      <c r="U15" s="73" t="str">
        <f>IF('30'!AA21=1,'30'!AR6,'30'!AR7)</f>
        <v>S.A.L</v>
      </c>
      <c r="V15" s="43"/>
      <c r="W15" s="27"/>
      <c r="X15" s="54">
        <v>0.416666666666667</v>
      </c>
      <c r="Y15" s="125">
        <v>3673.0</v>
      </c>
      <c r="Z15" s="392">
        <v>1160.0</v>
      </c>
      <c r="AA15" s="56">
        <v>1.0</v>
      </c>
      <c r="AB15" s="58">
        <f>IF('30'!AA15=1,(('30'!Z15*'30'!$AS$6*'30'!$AT$6)/('30'!Y15*0.0036)),IF('30'!AA15=2,(('30'!Z15*'30'!$AS$7*'30'!$AT$7)/('30'!Y15*0.0036))))</f>
        <v>58.33862722</v>
      </c>
      <c r="AC15" s="58"/>
      <c r="AD15" s="59">
        <f>(('30'!AC15*'30'!$Q$10*1000000))/('30'!Y15*3600)</f>
        <v>0</v>
      </c>
      <c r="AE15" s="60"/>
      <c r="AF15" s="61">
        <f>('30'!AE15/24)*0.454</f>
        <v>0</v>
      </c>
      <c r="AG15" s="60"/>
      <c r="AH15" s="61">
        <f>('30'!AG15/24)*0.454</f>
        <v>0</v>
      </c>
      <c r="AI15" s="392">
        <v>5800.0</v>
      </c>
      <c r="AJ15" s="61">
        <f>('30'!AI15/24)*0.454</f>
        <v>109.7166667</v>
      </c>
      <c r="AK15" s="62"/>
      <c r="AL15" s="63">
        <f>('30'!AK15/24)*0.454</f>
        <v>0</v>
      </c>
      <c r="AM15" s="62"/>
      <c r="AN15" s="63">
        <f>('30'!AM15/24)*0.454</f>
        <v>0</v>
      </c>
      <c r="AO15" s="62"/>
      <c r="AP15" s="63">
        <f>('30'!AO15/24)*0.454</f>
        <v>0</v>
      </c>
    </row>
    <row r="16" ht="18.75" customHeight="1">
      <c r="A16" s="69">
        <v>0.75</v>
      </c>
      <c r="B16" s="76">
        <v>109.0</v>
      </c>
      <c r="C16" s="76">
        <v>14.0</v>
      </c>
      <c r="D16" s="76">
        <v>14.0</v>
      </c>
      <c r="E16" s="76">
        <v>7.0</v>
      </c>
      <c r="F16" s="76">
        <v>18.0</v>
      </c>
      <c r="G16" s="76">
        <v>1.1</v>
      </c>
      <c r="H16" s="76">
        <v>1.2</v>
      </c>
      <c r="I16" s="76">
        <v>0.4</v>
      </c>
      <c r="J16" s="76">
        <v>0.4</v>
      </c>
      <c r="K16" s="76">
        <v>6.9</v>
      </c>
      <c r="L16" s="76">
        <v>6.5</v>
      </c>
      <c r="M16" s="76">
        <v>6.5</v>
      </c>
      <c r="N16" s="76">
        <v>6.2</v>
      </c>
      <c r="O16" s="76">
        <v>3.2</v>
      </c>
      <c r="P16" s="76"/>
      <c r="Q16" s="310"/>
      <c r="R16" s="77">
        <f>'30'!Z23</f>
        <v>1160</v>
      </c>
      <c r="S16" s="76">
        <f>'30'!AB23</f>
        <v>62.85649099</v>
      </c>
      <c r="T16" s="77">
        <f>'30'!Y23</f>
        <v>3409</v>
      </c>
      <c r="U16" s="73" t="str">
        <f>IF('30'!AA23=1,'30'!AR6,'30'!AR7)</f>
        <v>S.A.L</v>
      </c>
      <c r="V16" s="43"/>
      <c r="W16" s="27"/>
      <c r="X16" s="54">
        <v>0.458333333333333</v>
      </c>
      <c r="Y16" s="125">
        <v>3679.0</v>
      </c>
      <c r="Z16" s="392">
        <v>1160.0</v>
      </c>
      <c r="AA16" s="56">
        <v>1.0</v>
      </c>
      <c r="AB16" s="58">
        <f>IF('30'!AA16=1,(('30'!Z16*'30'!$AS$6*'30'!$AT$6)/('30'!Y16*0.0036)),IF('30'!AA16=2,(('30'!Z16*'30'!$AS$7*'30'!$AT$7)/('30'!Y16*0.0036))))</f>
        <v>58.24348404</v>
      </c>
      <c r="AC16" s="58"/>
      <c r="AD16" s="59">
        <f>(('30'!AC16*'30'!$Q$10*1000000))/('30'!Y16*3600)</f>
        <v>0</v>
      </c>
      <c r="AE16" s="60"/>
      <c r="AF16" s="61">
        <f>('30'!AE16/24)*0.454</f>
        <v>0</v>
      </c>
      <c r="AG16" s="60"/>
      <c r="AH16" s="61">
        <f>('30'!AG16/24)*0.454</f>
        <v>0</v>
      </c>
      <c r="AI16" s="392">
        <v>5800.0</v>
      </c>
      <c r="AJ16" s="61">
        <f>('30'!AI16/24)*0.454</f>
        <v>109.7166667</v>
      </c>
      <c r="AK16" s="62"/>
      <c r="AL16" s="63">
        <f>('30'!AK16/24)*0.454</f>
        <v>0</v>
      </c>
      <c r="AM16" s="62"/>
      <c r="AN16" s="63">
        <f>('30'!AM16/24)*0.454</f>
        <v>0</v>
      </c>
      <c r="AO16" s="62"/>
      <c r="AP16" s="63">
        <f>('30'!AO16/24)*0.454</f>
        <v>0</v>
      </c>
    </row>
    <row r="17" ht="18.75" customHeight="1">
      <c r="A17" s="69">
        <v>0.833333333333333</v>
      </c>
      <c r="B17" s="76">
        <v>110.0</v>
      </c>
      <c r="C17" s="76">
        <v>15.0</v>
      </c>
      <c r="D17" s="76">
        <v>14.0</v>
      </c>
      <c r="E17" s="76">
        <v>7.0</v>
      </c>
      <c r="F17" s="76">
        <v>19.0</v>
      </c>
      <c r="G17" s="76">
        <v>1.1</v>
      </c>
      <c r="H17" s="76">
        <v>1.1</v>
      </c>
      <c r="I17" s="76">
        <v>0.4</v>
      </c>
      <c r="J17" s="76">
        <v>0.4</v>
      </c>
      <c r="K17" s="76">
        <v>6.9</v>
      </c>
      <c r="L17" s="76">
        <v>6.5</v>
      </c>
      <c r="M17" s="76">
        <v>6.5</v>
      </c>
      <c r="N17" s="76">
        <v>6.2</v>
      </c>
      <c r="O17" s="76">
        <v>3.5</v>
      </c>
      <c r="P17" s="76"/>
      <c r="Q17" s="310"/>
      <c r="R17" s="77">
        <f>'30'!Z25</f>
        <v>1120</v>
      </c>
      <c r="S17" s="76">
        <f>'30'!AB25</f>
        <v>60.19461417</v>
      </c>
      <c r="T17" s="77">
        <f>'30'!Y25</f>
        <v>3437</v>
      </c>
      <c r="U17" s="73" t="str">
        <f>IF('30'!AA25=1,'30'!AR6,'30'!AR7)</f>
        <v>S.A.L</v>
      </c>
      <c r="V17" s="43"/>
      <c r="W17" s="27"/>
      <c r="X17" s="54">
        <v>0.5</v>
      </c>
      <c r="Y17" s="125">
        <v>3672.0</v>
      </c>
      <c r="Z17" s="392">
        <v>1160.0</v>
      </c>
      <c r="AA17" s="56">
        <v>1.0</v>
      </c>
      <c r="AB17" s="58">
        <f>IF('30'!AA17=1,(('30'!Z17*'30'!$AS$6*'30'!$AT$6)/('30'!Y17*0.0036)),IF('30'!AA17=2,(('30'!Z17*'30'!$AS$7*'30'!$AT$7)/('30'!Y17*0.0036))))</f>
        <v>58.35451465</v>
      </c>
      <c r="AC17" s="58"/>
      <c r="AD17" s="59">
        <f>(('30'!AC17*'30'!$Q$10*1000000))/('30'!Y17*3600)</f>
        <v>0</v>
      </c>
      <c r="AE17" s="60"/>
      <c r="AF17" s="61">
        <f>('30'!AE17/24)*0.454</f>
        <v>0</v>
      </c>
      <c r="AG17" s="60"/>
      <c r="AH17" s="61">
        <f>('30'!AG17/24)*0.454</f>
        <v>0</v>
      </c>
      <c r="AI17" s="392">
        <v>5800.0</v>
      </c>
      <c r="AJ17" s="61">
        <f>('30'!AI17/24)*0.454</f>
        <v>109.7166667</v>
      </c>
      <c r="AK17" s="62"/>
      <c r="AL17" s="63">
        <f>('30'!AK17/24)*0.454</f>
        <v>0</v>
      </c>
      <c r="AM17" s="62"/>
      <c r="AN17" s="63">
        <f>('30'!AM17/24)*0.454</f>
        <v>0</v>
      </c>
      <c r="AO17" s="62"/>
      <c r="AP17" s="63">
        <f>('30'!AO17/24)*0.454</f>
        <v>0</v>
      </c>
    </row>
    <row r="18" ht="19.5" customHeight="1">
      <c r="A18" s="69">
        <v>0.916666666666667</v>
      </c>
      <c r="B18" s="76">
        <v>112.0</v>
      </c>
      <c r="C18" s="76">
        <v>15.0</v>
      </c>
      <c r="D18" s="76">
        <v>14.0</v>
      </c>
      <c r="E18" s="76">
        <v>7.0</v>
      </c>
      <c r="F18" s="76">
        <v>20.0</v>
      </c>
      <c r="G18" s="76">
        <v>1.0</v>
      </c>
      <c r="H18" s="76">
        <v>1.0</v>
      </c>
      <c r="I18" s="76">
        <v>0.4</v>
      </c>
      <c r="J18" s="76">
        <v>0.4</v>
      </c>
      <c r="K18" s="76">
        <v>6.9</v>
      </c>
      <c r="L18" s="76">
        <v>6.5</v>
      </c>
      <c r="M18" s="76">
        <v>6.5</v>
      </c>
      <c r="N18" s="76">
        <v>6.2</v>
      </c>
      <c r="O18" s="76">
        <v>3.5</v>
      </c>
      <c r="P18" s="76"/>
      <c r="Q18" s="310"/>
      <c r="R18" s="77">
        <f>'30'!Z27</f>
        <v>1120</v>
      </c>
      <c r="S18" s="76">
        <f>'30'!AB27</f>
        <v>60.29988018</v>
      </c>
      <c r="T18" s="77">
        <f>'30'!Y27</f>
        <v>3431</v>
      </c>
      <c r="U18" s="73" t="str">
        <f>IF('30'!AA27=1,'30'!AR6,'30'!AR7)</f>
        <v>S.A.L</v>
      </c>
      <c r="V18" s="16"/>
      <c r="W18" s="18"/>
      <c r="X18" s="54">
        <v>0.541666666666667</v>
      </c>
      <c r="Y18" s="125">
        <v>3666.0</v>
      </c>
      <c r="Z18" s="392">
        <v>1160.0</v>
      </c>
      <c r="AA18" s="56">
        <v>1.0</v>
      </c>
      <c r="AB18" s="58">
        <f>IF('30'!AA18=1,(('30'!Z18*'30'!$AS$6*'30'!$AT$6)/('30'!Y18*0.0036)),IF('30'!AA18=2,(('30'!Z18*'30'!$AS$7*'30'!$AT$7)/('30'!Y18*0.0036))))</f>
        <v>58.45002122</v>
      </c>
      <c r="AC18" s="58"/>
      <c r="AD18" s="59">
        <f>(('30'!AC18*'30'!$Q$10*1000000))/('30'!Y18*3600)</f>
        <v>0</v>
      </c>
      <c r="AE18" s="60"/>
      <c r="AF18" s="61">
        <f>('30'!AE18/24)*0.454</f>
        <v>0</v>
      </c>
      <c r="AG18" s="60"/>
      <c r="AH18" s="61">
        <f>('30'!AG18/24)*0.454</f>
        <v>0</v>
      </c>
      <c r="AI18" s="392">
        <v>5800.0</v>
      </c>
      <c r="AJ18" s="61">
        <f>('30'!AI18/24)*0.454</f>
        <v>109.7166667</v>
      </c>
      <c r="AK18" s="62"/>
      <c r="AL18" s="63">
        <f>('30'!AK18/24)*0.454</f>
        <v>0</v>
      </c>
      <c r="AM18" s="62"/>
      <c r="AN18" s="63">
        <f>('30'!AM18/24)*0.454</f>
        <v>0</v>
      </c>
      <c r="AO18" s="62"/>
      <c r="AP18" s="63">
        <f>('30'!AO18/24)*0.454</f>
        <v>0</v>
      </c>
    </row>
    <row r="19" ht="18.75" customHeight="1">
      <c r="A19" s="51" t="s">
        <v>52</v>
      </c>
      <c r="B19" s="91">
        <f>AVERAGE('30'!B7:B18)</f>
        <v>105.8333333</v>
      </c>
      <c r="C19" s="91">
        <f>AVERAGE('30'!C7:C18)</f>
        <v>13.75</v>
      </c>
      <c r="D19" s="92">
        <f>AVERAGE('30'!D7:D18)</f>
        <v>13.58333333</v>
      </c>
      <c r="E19" s="92">
        <f>AVERAGE('30'!E7:E18)</f>
        <v>6.833333333</v>
      </c>
      <c r="F19" s="92">
        <f t="shared" ref="F19:G19" si="1">AVERAGE(F7,F18)</f>
        <v>19.5</v>
      </c>
      <c r="G19" s="92">
        <f t="shared" si="1"/>
        <v>1</v>
      </c>
      <c r="H19" s="92">
        <f>AVERAGE('30'!H7:H18)</f>
        <v>1.341666667</v>
      </c>
      <c r="I19" s="92">
        <f>AVERAGE('30'!I7:I18)</f>
        <v>0.4916666667</v>
      </c>
      <c r="J19" s="92">
        <f>AVERAGE('30'!J7:J18)</f>
        <v>0.4416666667</v>
      </c>
      <c r="K19" s="92">
        <f>AVERAGE('30'!K7:K18)</f>
        <v>6.9</v>
      </c>
      <c r="L19" s="92">
        <f>AVERAGE('30'!L7:L18)</f>
        <v>6.5</v>
      </c>
      <c r="M19" s="92">
        <f>AVERAGE('30'!M7:M18)</f>
        <v>6.5</v>
      </c>
      <c r="N19" s="92">
        <f>AVERAGE('30'!N7:N18)</f>
        <v>6.2</v>
      </c>
      <c r="O19" s="92">
        <f>AVERAGE('30'!O7:O18)</f>
        <v>3.316666667</v>
      </c>
      <c r="P19" s="93" t="str">
        <f>AVERAGE('30'!P7:P18)</f>
        <v>#DIV/0!</v>
      </c>
      <c r="Q19" s="94" t="str">
        <f>AVERAGE('30'!Q7:Q18)</f>
        <v>#DIV/0!</v>
      </c>
      <c r="R19" s="94">
        <f>AVERAGE('30'!R7:R18)</f>
        <v>1184.583333</v>
      </c>
      <c r="S19" s="94">
        <f>AVERAGE('30'!S7:S18)</f>
        <v>61.91267459</v>
      </c>
      <c r="T19" s="95"/>
      <c r="U19" s="96"/>
      <c r="V19" s="97"/>
      <c r="W19" s="97"/>
      <c r="X19" s="54">
        <v>0.583333333333333</v>
      </c>
      <c r="Y19" s="125">
        <v>3667.0</v>
      </c>
      <c r="Z19" s="392">
        <v>1160.0</v>
      </c>
      <c r="AA19" s="56">
        <v>1.0</v>
      </c>
      <c r="AB19" s="58">
        <f>IF('30'!AA19=1,(('30'!Z19*'30'!$AS$6*'30'!$AT$6)/('30'!Y19*0.0036)),IF('30'!AA19=2,(('30'!Z19*'30'!$AS$7*'30'!$AT$7)/('30'!Y19*0.0036))))</f>
        <v>58.43408175</v>
      </c>
      <c r="AC19" s="58"/>
      <c r="AD19" s="59">
        <f>(('30'!AC19*'30'!$Q$10*1000000))/('30'!Y19*3600)</f>
        <v>0</v>
      </c>
      <c r="AE19" s="60"/>
      <c r="AF19" s="61">
        <f>('30'!AE19/24)*0.454</f>
        <v>0</v>
      </c>
      <c r="AG19" s="60"/>
      <c r="AH19" s="61">
        <f>('30'!AG19/24)*0.454</f>
        <v>0</v>
      </c>
      <c r="AI19" s="392">
        <v>5800.0</v>
      </c>
      <c r="AJ19" s="61">
        <f>('30'!AI19/24)*0.454</f>
        <v>109.7166667</v>
      </c>
      <c r="AK19" s="62"/>
      <c r="AL19" s="63">
        <f>('30'!AK19/24)*0.454</f>
        <v>0</v>
      </c>
      <c r="AM19" s="62"/>
      <c r="AN19" s="63">
        <f>('30'!AM19/24)*0.454</f>
        <v>0</v>
      </c>
      <c r="AO19" s="62"/>
      <c r="AP19" s="63">
        <f>('30'!AO19/24)*0.454</f>
        <v>0</v>
      </c>
    </row>
    <row r="20" ht="18.75" customHeight="1">
      <c r="A20" s="51" t="s">
        <v>53</v>
      </c>
      <c r="B20" s="91">
        <f>MAX('30'!B7:B18)</f>
        <v>112</v>
      </c>
      <c r="C20" s="92">
        <f>MAX('30'!C7:C18)</f>
        <v>15</v>
      </c>
      <c r="D20" s="92">
        <f>MAX('30'!D7:D18)</f>
        <v>14</v>
      </c>
      <c r="E20" s="92">
        <f>MAX('30'!E7:E18)</f>
        <v>7</v>
      </c>
      <c r="F20" s="92">
        <f>MAX('30'!F7:F18)</f>
        <v>20</v>
      </c>
      <c r="G20" s="92">
        <f>MAX('30'!G7:G18)</f>
        <v>1.4</v>
      </c>
      <c r="H20" s="92">
        <f>MAX('30'!H7:H18)</f>
        <v>1.6</v>
      </c>
      <c r="I20" s="92">
        <f>MAX('30'!I7:I18)</f>
        <v>0.6</v>
      </c>
      <c r="J20" s="92">
        <f>MAX('30'!J7:J18)</f>
        <v>0.5</v>
      </c>
      <c r="K20" s="92">
        <f>MAX('30'!K7:K18)</f>
        <v>6.9</v>
      </c>
      <c r="L20" s="92">
        <f>MAX('30'!L7:L18)</f>
        <v>6.5</v>
      </c>
      <c r="M20" s="92">
        <f>MAX('30'!M7:M18)</f>
        <v>6.5</v>
      </c>
      <c r="N20" s="92">
        <f>MAX('30'!N7:N18)</f>
        <v>6.2</v>
      </c>
      <c r="O20" s="98">
        <f>MAX('30'!O7:O18)</f>
        <v>3.8</v>
      </c>
      <c r="P20" s="98">
        <f>MAX('30'!P7:P18)</f>
        <v>0</v>
      </c>
      <c r="Q20" s="98">
        <f>MAX('30'!Q7:Q18)</f>
        <v>0</v>
      </c>
      <c r="R20" s="98">
        <f>MAX('30'!R7:R18)</f>
        <v>1235</v>
      </c>
      <c r="S20" s="98">
        <f>MAX('30'!S7:S18)</f>
        <v>66.18275151</v>
      </c>
      <c r="T20" s="99"/>
      <c r="U20" s="21"/>
      <c r="X20" s="54">
        <v>0.625</v>
      </c>
      <c r="Y20" s="125">
        <v>3708.0</v>
      </c>
      <c r="Z20" s="392">
        <v>1160.0</v>
      </c>
      <c r="AA20" s="56">
        <v>1.0</v>
      </c>
      <c r="AB20" s="58">
        <f>IF('30'!AA20=1,(('30'!Z20*'30'!$AS$6*'30'!$AT$6)/('30'!Y20*0.0036)),IF('30'!AA20=2,(('30'!Z20*'30'!$AS$7*'30'!$AT$7)/('30'!Y20*0.0036))))</f>
        <v>57.78796596</v>
      </c>
      <c r="AC20" s="58"/>
      <c r="AD20" s="59">
        <f>(('30'!AC20*'30'!$Q$10*1000000))/('30'!Y20*3600)</f>
        <v>0</v>
      </c>
      <c r="AE20" s="60"/>
      <c r="AF20" s="61">
        <f>('30'!AE20/24)*0.454</f>
        <v>0</v>
      </c>
      <c r="AG20" s="60"/>
      <c r="AH20" s="61">
        <f>('30'!AG20/24)*0.454</f>
        <v>0</v>
      </c>
      <c r="AI20" s="392">
        <v>5800.0</v>
      </c>
      <c r="AJ20" s="61">
        <f>('30'!AI20/24)*0.454</f>
        <v>109.7166667</v>
      </c>
      <c r="AK20" s="62"/>
      <c r="AL20" s="63">
        <f>('30'!AK20/24)*0.454</f>
        <v>0</v>
      </c>
      <c r="AM20" s="62"/>
      <c r="AN20" s="63">
        <f>('30'!AM20/24)*0.454</f>
        <v>0</v>
      </c>
      <c r="AO20" s="62"/>
      <c r="AP20" s="63">
        <f>('30'!AO20/24)*0.454</f>
        <v>0</v>
      </c>
    </row>
    <row r="21" ht="19.5" customHeight="1">
      <c r="A21" s="51" t="s">
        <v>54</v>
      </c>
      <c r="B21" s="91">
        <f>MIN('30'!B7:B18)</f>
        <v>98</v>
      </c>
      <c r="C21" s="92">
        <f>MIN('30'!C7:C18)</f>
        <v>12</v>
      </c>
      <c r="D21" s="92">
        <f>MIN('30'!D7:D18)</f>
        <v>13</v>
      </c>
      <c r="E21" s="92">
        <f>MIN('30'!E7:E18)</f>
        <v>6</v>
      </c>
      <c r="F21" s="92">
        <f>MIN('30'!F7:F18)</f>
        <v>16</v>
      </c>
      <c r="G21" s="92">
        <f>MIN('30'!G7:G18)</f>
        <v>1</v>
      </c>
      <c r="H21" s="100">
        <f>MIN('30'!H7:H18)</f>
        <v>1</v>
      </c>
      <c r="I21" s="100">
        <f>MIN('30'!I7:I18)</f>
        <v>0.4</v>
      </c>
      <c r="J21" s="100">
        <f>MIN('30'!J7:J18)</f>
        <v>0.4</v>
      </c>
      <c r="K21" s="100">
        <f>MIN('30'!K7:K18)</f>
        <v>6.9</v>
      </c>
      <c r="L21" s="100">
        <f>MIN('30'!L7:L18)</f>
        <v>6.5</v>
      </c>
      <c r="M21" s="100">
        <f>MIN('30'!M7:M18)</f>
        <v>6.5</v>
      </c>
      <c r="N21" s="100">
        <f>MIN('30'!N7:N18)</f>
        <v>6.2</v>
      </c>
      <c r="O21" s="101">
        <f>MIN('30'!O7:O18)</f>
        <v>3</v>
      </c>
      <c r="P21" s="101">
        <f>MIN('30'!P7:P18)</f>
        <v>0</v>
      </c>
      <c r="Q21" s="101">
        <f>MIN('30'!Q7:Q18)</f>
        <v>0</v>
      </c>
      <c r="R21" s="101">
        <f>MIN('30'!R7:R18)</f>
        <v>1120</v>
      </c>
      <c r="S21" s="101">
        <f>MIN('30'!S7:S18)</f>
        <v>58.33862722</v>
      </c>
      <c r="T21" s="99"/>
      <c r="U21" s="21"/>
      <c r="X21" s="54">
        <v>0.666666666666667</v>
      </c>
      <c r="Y21" s="125">
        <v>3664.0</v>
      </c>
      <c r="Z21" s="392">
        <v>1160.0</v>
      </c>
      <c r="AA21" s="56">
        <v>1.0</v>
      </c>
      <c r="AB21" s="58">
        <f>IF('30'!AA21=1,(('30'!Z21*'30'!$AS$6*'30'!$AT$6)/('30'!Y21*0.0036)),IF('30'!AA21=2,(('30'!Z21*'30'!$AS$7*'30'!$AT$7)/('30'!Y21*0.0036))))</f>
        <v>58.48192625</v>
      </c>
      <c r="AC21" s="58"/>
      <c r="AD21" s="59">
        <f>(('30'!AC21*'30'!$Q$10*1000000))/('30'!Y21*3600)</f>
        <v>0</v>
      </c>
      <c r="AE21" s="60"/>
      <c r="AF21" s="61">
        <f>('30'!AE21/24)*0.454</f>
        <v>0</v>
      </c>
      <c r="AG21" s="60"/>
      <c r="AH21" s="61">
        <f>('30'!AG21/24)*0.454</f>
        <v>0</v>
      </c>
      <c r="AI21" s="392">
        <v>5800.0</v>
      </c>
      <c r="AJ21" s="61">
        <f>('30'!AI21/24)*0.454</f>
        <v>109.7166667</v>
      </c>
      <c r="AK21" s="62"/>
      <c r="AL21" s="63">
        <f>('30'!AK21/24)*0.454</f>
        <v>0</v>
      </c>
      <c r="AM21" s="62"/>
      <c r="AN21" s="63">
        <f>('30'!AM21/24)*0.454</f>
        <v>0</v>
      </c>
      <c r="AO21" s="62"/>
      <c r="AP21" s="63">
        <f>('30'!AO21/24)*0.454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3366.0</v>
      </c>
      <c r="Z22" s="392">
        <v>1160.0</v>
      </c>
      <c r="AA22" s="56">
        <v>1.0</v>
      </c>
      <c r="AB22" s="58">
        <f>IF('30'!AA22=1,(('30'!Z22*'30'!$AS$6*'30'!$AT$6)/('30'!Y22*0.0036)),IF('30'!AA22=2,(('30'!Z22*'30'!$AS$7*'30'!$AT$7)/('30'!Y22*0.0036))))</f>
        <v>63.65947052</v>
      </c>
      <c r="AC22" s="58"/>
      <c r="AD22" s="59">
        <f>(('30'!AC22*'30'!$Q$10*1000000))/('30'!Y22*3600)</f>
        <v>0</v>
      </c>
      <c r="AE22" s="60"/>
      <c r="AF22" s="61">
        <f>('30'!AE22/24)*0.454</f>
        <v>0</v>
      </c>
      <c r="AG22" s="60"/>
      <c r="AH22" s="61">
        <f>('30'!AG22/24)*0.454</f>
        <v>0</v>
      </c>
      <c r="AI22" s="392">
        <v>5800.0</v>
      </c>
      <c r="AJ22" s="61">
        <f>('30'!AI22/24)*0.454</f>
        <v>109.7166667</v>
      </c>
      <c r="AK22" s="62"/>
      <c r="AL22" s="63">
        <f>('30'!AK22/24)*0.454</f>
        <v>0</v>
      </c>
      <c r="AM22" s="62"/>
      <c r="AN22" s="63">
        <f>('30'!AM22/24)*0.454</f>
        <v>0</v>
      </c>
      <c r="AO22" s="62"/>
      <c r="AP22" s="63">
        <f>('30'!AO22/24)*0.454</f>
        <v>0</v>
      </c>
    </row>
    <row r="23" ht="18.75" customHeight="1">
      <c r="A23" s="52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3409.0</v>
      </c>
      <c r="Z23" s="392">
        <v>1160.0</v>
      </c>
      <c r="AA23" s="56">
        <v>1.0</v>
      </c>
      <c r="AB23" s="58">
        <f>IF('30'!AA23=1,(('30'!Z23*'30'!$AS$6*'30'!$AT$6)/('30'!Y23*0.0036)),IF('30'!AA23=2,(('30'!Z23*'30'!$AS$7*'30'!$AT$7)/('30'!Y23*0.0036))))</f>
        <v>62.85649099</v>
      </c>
      <c r="AC23" s="58"/>
      <c r="AD23" s="59">
        <f>(('30'!AC23*'30'!$Q$10*1000000))/('30'!Y23*3600)</f>
        <v>0</v>
      </c>
      <c r="AE23" s="60"/>
      <c r="AF23" s="61">
        <f>('30'!AE23/24)*0.454</f>
        <v>0</v>
      </c>
      <c r="AG23" s="60"/>
      <c r="AH23" s="61">
        <f>('30'!AG23/24)*0.454</f>
        <v>0</v>
      </c>
      <c r="AI23" s="392">
        <v>5800.0</v>
      </c>
      <c r="AJ23" s="61">
        <f>('30'!AI23/24)*0.454</f>
        <v>109.7166667</v>
      </c>
      <c r="AK23" s="62"/>
      <c r="AL23" s="63">
        <f>('30'!AK23/24)*0.454</f>
        <v>0</v>
      </c>
      <c r="AM23" s="62"/>
      <c r="AN23" s="63">
        <f>('30'!AM23/24)*0.454</f>
        <v>0</v>
      </c>
      <c r="AO23" s="62"/>
      <c r="AP23" s="63">
        <f>('30'!AO23/24)*0.454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3447.0</v>
      </c>
      <c r="Z24" s="392">
        <v>1120.0</v>
      </c>
      <c r="AA24" s="56">
        <v>1.0</v>
      </c>
      <c r="AB24" s="57">
        <f>IF('30'!AA24=1,(('30'!Z24*'30'!$AS$6*'30'!$AT$6)/('30'!Y24*0.0036)),IF('30'!AA24=2,(('30'!Z24*'30'!$AS$7*'30'!$AT$7)/('30'!Y24*0.0036))))</f>
        <v>60.01998517</v>
      </c>
      <c r="AC24" s="58"/>
      <c r="AD24" s="59">
        <f>(('30'!AC24*'30'!$Q$10*1000000))/('30'!Y24*3600)</f>
        <v>0</v>
      </c>
      <c r="AE24" s="60"/>
      <c r="AF24" s="311">
        <f>('30'!AE24/24)*0.454</f>
        <v>0</v>
      </c>
      <c r="AG24" s="125"/>
      <c r="AH24" s="311">
        <f>('30'!AG24/24)*0.454</f>
        <v>0</v>
      </c>
      <c r="AI24" s="392">
        <v>5800.0</v>
      </c>
      <c r="AJ24" s="311">
        <f>('30'!AI24/24)*0.454</f>
        <v>109.7166667</v>
      </c>
      <c r="AK24" s="62"/>
      <c r="AL24" s="110">
        <f>('30'!AK24/24)*0.454</f>
        <v>0</v>
      </c>
      <c r="AM24" s="62"/>
      <c r="AN24" s="110">
        <f>('30'!AM24/24)*0.454</f>
        <v>0</v>
      </c>
      <c r="AO24" s="62"/>
      <c r="AP24" s="110">
        <f>('30'!AO24/24)*0.454</f>
        <v>0</v>
      </c>
    </row>
    <row r="25" ht="19.5" customHeight="1">
      <c r="A25" s="111">
        <v>0.416666666666667</v>
      </c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112" t="str">
        <f t="shared" ref="R25:R26" si="2">#DIV/0!</f>
        <v>#DIV/0!</v>
      </c>
      <c r="S25" s="113"/>
      <c r="T25" s="397" t="s">
        <v>0</v>
      </c>
      <c r="U25" s="370">
        <f>ESCALA!$A$32</f>
        <v>43951</v>
      </c>
      <c r="X25" s="54">
        <v>0.833333333333333</v>
      </c>
      <c r="Y25" s="125">
        <v>3437.0</v>
      </c>
      <c r="Z25" s="392">
        <v>1120.0</v>
      </c>
      <c r="AA25" s="56">
        <v>1.0</v>
      </c>
      <c r="AB25" s="58">
        <f>IF('30'!AA25=1,(('30'!Z25*'30'!$AS$6*'30'!$AT$6)/('30'!Y25*0.0036)),IF('30'!AA25=2,(('30'!Z25*'30'!$AS$7*'30'!$AT$7)/('30'!Y25*0.0036))))</f>
        <v>60.19461417</v>
      </c>
      <c r="AC25" s="58"/>
      <c r="AD25" s="59">
        <f>(('30'!AC25*'30'!$Q$10*1000000))/('30'!Y25*3600)</f>
        <v>0</v>
      </c>
      <c r="AE25" s="60"/>
      <c r="AF25" s="61">
        <f>('30'!AE25/24)*0.454</f>
        <v>0</v>
      </c>
      <c r="AG25" s="60"/>
      <c r="AH25" s="61">
        <f>('30'!AG25/24)*0.454</f>
        <v>0</v>
      </c>
      <c r="AI25" s="392">
        <v>5800.0</v>
      </c>
      <c r="AJ25" s="61">
        <f>('30'!AI25/24)*0.454</f>
        <v>109.7166667</v>
      </c>
      <c r="AK25" s="62"/>
      <c r="AL25" s="63">
        <f>('30'!AK25/24)*0.454</f>
        <v>0</v>
      </c>
      <c r="AM25" s="62"/>
      <c r="AN25" s="63">
        <f>('30'!AM25/24)*0.454</f>
        <v>0</v>
      </c>
      <c r="AO25" s="62"/>
      <c r="AP25" s="63">
        <f>('30'!AO25/24)*0.454</f>
        <v>0</v>
      </c>
    </row>
    <row r="26" ht="19.5" customHeight="1">
      <c r="A26" s="111">
        <v>0.666666666666667</v>
      </c>
      <c r="B26" s="313">
        <v>0.48</v>
      </c>
      <c r="C26" s="313">
        <v>0.54</v>
      </c>
      <c r="D26" s="313">
        <v>0.49</v>
      </c>
      <c r="E26" s="315">
        <v>0.53</v>
      </c>
      <c r="F26" s="315">
        <v>0.47</v>
      </c>
      <c r="G26" s="315"/>
      <c r="H26" s="315">
        <v>0.54</v>
      </c>
      <c r="I26" s="315">
        <v>0.56</v>
      </c>
      <c r="J26" s="315"/>
      <c r="K26" s="315">
        <v>0.44</v>
      </c>
      <c r="L26" s="315">
        <v>0.48</v>
      </c>
      <c r="M26" s="315">
        <v>0.41</v>
      </c>
      <c r="N26" s="315">
        <v>0.39</v>
      </c>
      <c r="O26" s="315">
        <v>0.44</v>
      </c>
      <c r="P26" s="315">
        <v>0.46</v>
      </c>
      <c r="Q26" s="315"/>
      <c r="R26" s="112" t="str">
        <f t="shared" si="2"/>
        <v>#DIV/0!</v>
      </c>
      <c r="S26" s="116"/>
      <c r="T26" s="117"/>
      <c r="U26" s="118"/>
      <c r="X26" s="54">
        <v>0.875</v>
      </c>
      <c r="Y26" s="125">
        <v>3406.0</v>
      </c>
      <c r="Z26" s="392">
        <v>1120.0</v>
      </c>
      <c r="AA26" s="56">
        <v>1.0</v>
      </c>
      <c r="AB26" s="58">
        <f>IF('30'!AA26=1,(('30'!Z26*'30'!$AS$6*'30'!$AT$6)/('30'!Y26*0.0036)),IF('30'!AA26=2,(('30'!Z26*'30'!$AS$7*'30'!$AT$7)/('30'!Y26*0.0036))))</f>
        <v>60.74248059</v>
      </c>
      <c r="AC26" s="58"/>
      <c r="AD26" s="59">
        <f>(('30'!AC26*'30'!$Q$10*1000000))/('30'!Y26*3600)</f>
        <v>0</v>
      </c>
      <c r="AE26" s="60"/>
      <c r="AF26" s="61">
        <f>('30'!AE26/24)*0.454</f>
        <v>0</v>
      </c>
      <c r="AG26" s="60"/>
      <c r="AH26" s="61">
        <f>('30'!AG26/24)*0.454</f>
        <v>0</v>
      </c>
      <c r="AI26" s="392">
        <v>5800.0</v>
      </c>
      <c r="AJ26" s="61">
        <f>('30'!AI26/24)*0.454</f>
        <v>109.7166667</v>
      </c>
      <c r="AK26" s="62"/>
      <c r="AL26" s="63">
        <f>('30'!AK26/24)*0.454</f>
        <v>0</v>
      </c>
      <c r="AM26" s="62"/>
      <c r="AN26" s="63">
        <f>('30'!AM26/24)*0.454</f>
        <v>0</v>
      </c>
      <c r="AO26" s="62"/>
      <c r="AP26" s="63">
        <f>('30'!AO26/24)*0.454</f>
        <v>0</v>
      </c>
    </row>
    <row r="27" ht="19.5" customHeight="1">
      <c r="A27" s="119" t="s">
        <v>52</v>
      </c>
      <c r="B27" s="120" t="str">
        <f t="shared" ref="B27:Q27" si="3">#DIV/0!</f>
        <v>#DIV/0!</v>
      </c>
      <c r="C27" s="120" t="str">
        <f t="shared" si="3"/>
        <v>#DIV/0!</v>
      </c>
      <c r="D27" s="120" t="str">
        <f t="shared" si="3"/>
        <v>#DIV/0!</v>
      </c>
      <c r="E27" s="92" t="str">
        <f t="shared" si="3"/>
        <v>#DIV/0!</v>
      </c>
      <c r="F27" s="92" t="str">
        <f t="shared" si="3"/>
        <v>#DIV/0!</v>
      </c>
      <c r="G27" s="92" t="str">
        <f t="shared" si="3"/>
        <v>#DIV/0!</v>
      </c>
      <c r="H27" s="92" t="str">
        <f t="shared" si="3"/>
        <v>#DIV/0!</v>
      </c>
      <c r="I27" s="92" t="str">
        <f t="shared" si="3"/>
        <v>#DIV/0!</v>
      </c>
      <c r="J27" s="92" t="str">
        <f t="shared" si="3"/>
        <v>#DIV/0!</v>
      </c>
      <c r="K27" s="92" t="str">
        <f t="shared" si="3"/>
        <v>#DIV/0!</v>
      </c>
      <c r="L27" s="92" t="str">
        <f t="shared" si="3"/>
        <v>#DIV/0!</v>
      </c>
      <c r="M27" s="92" t="str">
        <f t="shared" si="3"/>
        <v>#DIV/0!</v>
      </c>
      <c r="N27" s="92" t="str">
        <f t="shared" si="3"/>
        <v>#DIV/0!</v>
      </c>
      <c r="O27" s="92" t="str">
        <f t="shared" si="3"/>
        <v>#DIV/0!</v>
      </c>
      <c r="P27" s="92" t="str">
        <f t="shared" si="3"/>
        <v>#DIV/0!</v>
      </c>
      <c r="Q27" s="98" t="str">
        <f t="shared" si="3"/>
        <v>#DIV/0!</v>
      </c>
      <c r="R27" s="316"/>
      <c r="S27" s="127"/>
      <c r="T27" s="128"/>
      <c r="U27" s="124"/>
      <c r="X27" s="54">
        <v>0.916666666666667</v>
      </c>
      <c r="Y27" s="125">
        <v>3431.0</v>
      </c>
      <c r="Z27" s="392">
        <v>1120.0</v>
      </c>
      <c r="AA27" s="56">
        <v>1.0</v>
      </c>
      <c r="AB27" s="58">
        <f>IF('30'!AA27=1,(('30'!Z27*'30'!$AS$6*'30'!$AT$6)/('30'!Y27*0.0036)),IF('30'!AA27=2,(('30'!Z27*'30'!$AS$7*'30'!$AT$7)/('30'!Y27*0.0036))))</f>
        <v>60.29988018</v>
      </c>
      <c r="AC27" s="58"/>
      <c r="AD27" s="59">
        <f>(('30'!AC27*'30'!$Q$10*1000000))/('30'!Y27*3600)</f>
        <v>0</v>
      </c>
      <c r="AE27" s="60"/>
      <c r="AF27" s="61">
        <f>('30'!AE27/24)*0.454</f>
        <v>0</v>
      </c>
      <c r="AG27" s="60"/>
      <c r="AH27" s="61">
        <f>('30'!AG27/24)*0.454</f>
        <v>0</v>
      </c>
      <c r="AI27" s="392">
        <v>5800.0</v>
      </c>
      <c r="AJ27" s="61">
        <f>('30'!AI27/24)*0.454</f>
        <v>109.7166667</v>
      </c>
      <c r="AK27" s="62"/>
      <c r="AL27" s="63">
        <f>('30'!AK27/24)*0.454</f>
        <v>0</v>
      </c>
      <c r="AM27" s="62"/>
      <c r="AN27" s="63">
        <f>('30'!AM27/24)*0.454</f>
        <v>0</v>
      </c>
      <c r="AO27" s="62"/>
      <c r="AP27" s="63">
        <f>('30'!AO27/24)*0.454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3402.0</v>
      </c>
      <c r="Z28" s="392">
        <v>1120.0</v>
      </c>
      <c r="AA28" s="56">
        <v>1.0</v>
      </c>
      <c r="AB28" s="58">
        <f>IF('30'!AA28=1,(('30'!Z28*'30'!$AS$6*'30'!$AT$6)/('30'!Y28*0.0036)),IF('30'!AA28=2,(('30'!Z28*'30'!$AS$7*'30'!$AT$7)/('30'!Y28*0.0036))))</f>
        <v>60.81390032</v>
      </c>
      <c r="AC28" s="58"/>
      <c r="AD28" s="59">
        <f>(('30'!AC28*'30'!$Q$10*1000000))/('30'!Y28*3600)</f>
        <v>0</v>
      </c>
      <c r="AE28" s="60"/>
      <c r="AF28" s="61">
        <f>('30'!AE28/24)*0.454</f>
        <v>0</v>
      </c>
      <c r="AG28" s="60"/>
      <c r="AH28" s="61">
        <f>('30'!AG28/24)*0.454</f>
        <v>0</v>
      </c>
      <c r="AI28" s="392">
        <v>5800.0</v>
      </c>
      <c r="AJ28" s="61">
        <f>('30'!AI28/24)*0.454</f>
        <v>109.7166667</v>
      </c>
      <c r="AK28" s="62"/>
      <c r="AL28" s="63">
        <f>('30'!AK28/24)*0.454</f>
        <v>0</v>
      </c>
      <c r="AM28" s="62"/>
      <c r="AN28" s="63">
        <f>('30'!AM28/24)*0.454</f>
        <v>0</v>
      </c>
      <c r="AO28" s="62"/>
      <c r="AP28" s="63">
        <f>('30'!AO28/24)*0.454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3389.0</v>
      </c>
      <c r="Z29" s="392">
        <v>1120.0</v>
      </c>
      <c r="AA29" s="56">
        <v>1.0</v>
      </c>
      <c r="AB29" s="58">
        <f>IF('30'!AA29=1,(('30'!Z29*'30'!$AS$6*'30'!$AT$6)/('30'!Y29*0.0036)),IF('30'!AA29=2,(('30'!Z29*'30'!$AS$7*'30'!$AT$7)/('30'!Y29*0.0036))))</f>
        <v>61.04717878</v>
      </c>
      <c r="AC29" s="58"/>
      <c r="AD29" s="59">
        <f>(('30'!AC29*'30'!$Q$10*1000000))/('30'!Y29*3600)</f>
        <v>0</v>
      </c>
      <c r="AE29" s="60"/>
      <c r="AF29" s="61">
        <f>('30'!AE29/24)*0.454</f>
        <v>0</v>
      </c>
      <c r="AG29" s="60"/>
      <c r="AH29" s="61">
        <f>('30'!AG29/24)*0.454</f>
        <v>0</v>
      </c>
      <c r="AI29" s="392">
        <v>5800.0</v>
      </c>
      <c r="AJ29" s="61">
        <f>('30'!AI29/24)*0.454</f>
        <v>109.7166667</v>
      </c>
      <c r="AK29" s="62"/>
      <c r="AL29" s="63">
        <f>('30'!AK29/24)*0.454</f>
        <v>0</v>
      </c>
      <c r="AM29" s="62"/>
      <c r="AN29" s="63">
        <f>('30'!AM29/24)*0.454</f>
        <v>0</v>
      </c>
      <c r="AO29" s="62"/>
      <c r="AP29" s="63">
        <f>('30'!AO29/24)*0.454</f>
        <v>0</v>
      </c>
    </row>
    <row r="30" ht="18.75" customHeight="1">
      <c r="A30" s="43"/>
      <c r="U30" s="27"/>
      <c r="X30" s="130" t="s">
        <v>55</v>
      </c>
      <c r="Y30" s="362">
        <f>SUM('30'!Y6:Y29)*3.6</f>
        <v>305164.8</v>
      </c>
      <c r="Z30" s="132">
        <f>SUM('30'!Z6:Z29)</f>
        <v>28275</v>
      </c>
      <c r="AA30" s="133"/>
      <c r="AB30" s="132"/>
      <c r="AC30" s="133"/>
      <c r="AD30" s="132"/>
      <c r="AE30" s="60"/>
      <c r="AF30" s="61">
        <f>SUM('30'!AF6:AF29)</f>
        <v>0</v>
      </c>
      <c r="AG30" s="60"/>
      <c r="AH30" s="61">
        <f>SUM('30'!AH6:AH29)</f>
        <v>0</v>
      </c>
      <c r="AI30" s="60"/>
      <c r="AJ30" s="61">
        <f>SUM('30'!AJ6:AJ29)</f>
        <v>2663.466667</v>
      </c>
      <c r="AK30" s="62"/>
      <c r="AL30" s="63">
        <f>SUM('30'!AL6:AL29)</f>
        <v>0</v>
      </c>
      <c r="AM30" s="62"/>
      <c r="AN30" s="63">
        <f>SUM('30'!AN6:AN29)</f>
        <v>0</v>
      </c>
      <c r="AO30" s="62"/>
      <c r="AP30" s="63">
        <f>SUM('30'!AP6:AP29)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SUMIF('30'!AA6:AA29,"=1",'30'!Z6:Z29)</f>
        <v>28275</v>
      </c>
      <c r="AA32" s="132">
        <f>'30'!Z32*'30'!AS6</f>
        <v>37605.75</v>
      </c>
      <c r="AB32" s="139">
        <f>SUMIF('30'!$AA$6:$AA$29,"=1",'30'!$AB$6:$AB$29)/COUNTIF('30'!$AA$6:$AA$29,"=1")</f>
        <v>61.6744202</v>
      </c>
      <c r="AC32" s="140">
        <f>SUMIF('30'!AA6:AA29,"=1",'30'!AC6:AC29)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SUMIF('30'!AA6:AA29,"=2",'30'!Z6:Z29)</f>
        <v>0</v>
      </c>
      <c r="AA33" s="132">
        <f>'30'!Z33*'30'!AS7</f>
        <v>0</v>
      </c>
      <c r="AB33" s="139" t="str">
        <f>SUMIF('30'!$AA$6:$AA$29,"=2",'30'!$AB$6:$AB$29)/COUNTIF('30'!$AA$6:$AA$29,"=2")</f>
        <v>#DIV/0!</v>
      </c>
      <c r="AC33" s="145">
        <f>SUMIF('30'!AA6:AA29,"=2",'30'!AC6:AC29)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AVERAGE('30'!Y6:Y29)</f>
        <v>3532</v>
      </c>
      <c r="Z34" s="56">
        <f>AVERAGE('30'!Z6:Z29)</f>
        <v>1178.125</v>
      </c>
      <c r="AA34" s="152"/>
      <c r="AB34" s="152"/>
      <c r="AC34" s="153" t="str">
        <f>SUM('30'!AC6:AC29)/COUNTIF('30'!AC6:AC29,"&lt;&gt;0")</f>
        <v>#DIV/0!</v>
      </c>
      <c r="AD34" s="154" t="str">
        <f>SUM('30'!AD6:AD29)/COUNTIF('30'!AD6:AD29,"&lt;&gt;0")</f>
        <v>#DIV/0!</v>
      </c>
      <c r="AE34" s="133"/>
      <c r="AF34" s="153">
        <f>AVERAGE('30'!AF6:AF29)</f>
        <v>0</v>
      </c>
      <c r="AG34" s="153"/>
      <c r="AH34" s="153">
        <f>AVERAGE('30'!AH6:AH29)</f>
        <v>0</v>
      </c>
      <c r="AI34" s="153"/>
      <c r="AJ34" s="153">
        <f>'30'!AJ30/24</f>
        <v>110.9777778</v>
      </c>
      <c r="AK34" s="153"/>
      <c r="AL34" s="153">
        <f>AVERAGE('30'!AL6:AL29)</f>
        <v>0</v>
      </c>
      <c r="AM34" s="153"/>
      <c r="AN34" s="153">
        <f>AVERAGE('30'!AN6:AN29)</f>
        <v>0</v>
      </c>
      <c r="AO34" s="153"/>
      <c r="AP34" s="153">
        <f>AVERAGE('30'!AP6:AP29)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456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/>
      <c r="Z36" s="164"/>
      <c r="AA36" s="165" t="s">
        <v>74</v>
      </c>
      <c r="AB36" s="163"/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60.2</v>
      </c>
      <c r="D37" s="76">
        <v>35.1</v>
      </c>
      <c r="E37" s="76">
        <v>28.1</v>
      </c>
      <c r="F37" s="76">
        <v>1.0</v>
      </c>
      <c r="G37" s="60">
        <v>0.2</v>
      </c>
      <c r="H37" s="60">
        <v>0.1</v>
      </c>
      <c r="I37" s="60">
        <v>0.15</v>
      </c>
      <c r="J37" s="60">
        <v>0.06</v>
      </c>
      <c r="K37" s="60">
        <v>0.03</v>
      </c>
      <c r="L37" s="52">
        <v>0.1</v>
      </c>
      <c r="M37" s="106"/>
      <c r="N37" s="157"/>
      <c r="O37" s="51"/>
      <c r="P37" s="51"/>
      <c r="Q37" s="51"/>
      <c r="R37" s="51"/>
      <c r="S37" s="51"/>
      <c r="T37" s="51"/>
      <c r="U37" s="437" t="str">
        <f>'30'!V12</f>
        <v/>
      </c>
      <c r="X37" s="169" t="s">
        <v>75</v>
      </c>
      <c r="Y37" s="128"/>
      <c r="Z37" s="170">
        <f>COUNTA('30'!Z6:Z29)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SUM('30'!AF30+'30'!AH30)</f>
        <v>0</v>
      </c>
      <c r="AL38" s="178" t="s">
        <v>78</v>
      </c>
      <c r="AM38" s="179">
        <f>SUM('30'!AL30+'30'!AN30)</f>
        <v>0</v>
      </c>
      <c r="AO38" s="178" t="s">
        <v>78</v>
      </c>
      <c r="AP38" s="180">
        <f>'30'!AJ30</f>
        <v>2663.466667</v>
      </c>
      <c r="AQ38" s="178" t="s">
        <v>78</v>
      </c>
      <c r="AR38" s="179">
        <f>'30'!AP30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('30'!AK38/'30'!Y30)*1000</f>
        <v>0</v>
      </c>
      <c r="AL39" s="327" t="s">
        <v>86</v>
      </c>
      <c r="AM39" s="328">
        <f>('30'!AM38/'30'!Y30)*1000</f>
        <v>0</v>
      </c>
      <c r="AO39" s="325" t="s">
        <v>86</v>
      </c>
      <c r="AP39" s="326">
        <f>('30'!AP38/'30'!Y30)*1000</f>
        <v>8.727961635</v>
      </c>
      <c r="AQ39" s="327" t="s">
        <v>86</v>
      </c>
      <c r="AR39" s="328">
        <f>('30'!AR38/'30'!Y30)*1000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SUM('30'!AK38,'30'!AM38)</f>
        <v>0</v>
      </c>
      <c r="AM40" s="128"/>
      <c r="AO40" s="210" t="s">
        <v>90</v>
      </c>
      <c r="AP40" s="128"/>
      <c r="AQ40" s="211">
        <f>SUM('30'!AP38,'30'!AR38)</f>
        <v>2663.466667</v>
      </c>
      <c r="AR40" s="128"/>
      <c r="AT40" s="506"/>
    </row>
    <row r="41" ht="16.5" customHeight="1">
      <c r="A41" s="212">
        <f>COUNTA('30'!E7:E18)</f>
        <v>12</v>
      </c>
      <c r="B41" s="213">
        <f>COUNTA('30'!I7:I18)</f>
        <v>12</v>
      </c>
      <c r="C41" s="214">
        <f>COUNTA('30'!J7:J18)</f>
        <v>12</v>
      </c>
      <c r="D41" s="80"/>
      <c r="E41" s="214">
        <f>COUNTIF('30'!E7:E18,"&gt;15")</f>
        <v>0</v>
      </c>
      <c r="F41" s="80"/>
      <c r="G41" s="214">
        <f>COUNTIF('30'!J7:J18,"&gt;1")</f>
        <v>0</v>
      </c>
      <c r="H41" s="80"/>
      <c r="I41" s="215"/>
      <c r="J41" s="214">
        <f>'30'!A41-'30'!E41</f>
        <v>12</v>
      </c>
      <c r="K41" s="80"/>
      <c r="L41" s="214">
        <f>'30'!C41-'30'!G41</f>
        <v>12</v>
      </c>
      <c r="M41" s="80"/>
      <c r="N41" s="215"/>
      <c r="O41" s="216">
        <f>COUNTIF('30'!J7:J18,"&lt;=0,5")</f>
        <v>12</v>
      </c>
      <c r="P41" s="217"/>
      <c r="Q41" s="218"/>
      <c r="R41" s="219"/>
      <c r="S41" s="220">
        <f>COUNTIF('30'!J7:J18,"&lt;=1,0")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507" t="s">
        <v>162</v>
      </c>
      <c r="AK41" s="12"/>
      <c r="AL41" s="508">
        <f>SUM(('30'!AK38+'30'!AM38)/'30'!Y30)*1000</f>
        <v>0</v>
      </c>
      <c r="AM41" s="12"/>
      <c r="AO41" s="507" t="s">
        <v>162</v>
      </c>
      <c r="AP41" s="12"/>
      <c r="AQ41" s="509">
        <f>SUM(('30'!AP38+'30'!AR38)/'30'!Y30)*1000</f>
        <v>8.727961635</v>
      </c>
      <c r="AR41" s="12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  <c r="AJ42" s="16"/>
      <c r="AK42" s="18"/>
      <c r="AL42" s="16"/>
      <c r="AM42" s="18"/>
      <c r="AO42" s="16"/>
      <c r="AP42" s="18"/>
      <c r="AQ42" s="16"/>
      <c r="AR42" s="1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/>
      <c r="Z44" s="68" t="s">
        <v>101</v>
      </c>
      <c r="AA44" s="241"/>
      <c r="AB44" s="68" t="s">
        <v>101</v>
      </c>
      <c r="AC44" s="241"/>
      <c r="AD44" s="242"/>
      <c r="AE44" s="243"/>
      <c r="AF44" s="244" t="s">
        <v>102</v>
      </c>
      <c r="AG44" s="245">
        <f>SUM('30'!Y45,'30'!AA45,'30'!AC45,'30'!AE45)</f>
        <v>0</v>
      </c>
    </row>
    <row r="45" ht="15.0" customHeight="1">
      <c r="H45" s="247">
        <f>COUNTIF('30'!I7:I18,"&lt;=5,0")</f>
        <v>12</v>
      </c>
      <c r="I45" s="127"/>
      <c r="J45" s="128"/>
      <c r="K45" s="215"/>
      <c r="L45" s="208">
        <f>COUNTA('30'!L37)</f>
        <v>1</v>
      </c>
      <c r="M45" s="128"/>
      <c r="O45" s="248"/>
      <c r="P45" s="249"/>
      <c r="Q45" s="250">
        <f>'30'!S41-'30'!O41</f>
        <v>0</v>
      </c>
      <c r="R45" s="251"/>
      <c r="S45" s="252"/>
      <c r="T45" s="253"/>
      <c r="X45" s="133" t="s">
        <v>104</v>
      </c>
      <c r="Y45" s="254">
        <f>'30'!Y44*275.3</f>
        <v>0</v>
      </c>
      <c r="Z45" s="133" t="s">
        <v>104</v>
      </c>
      <c r="AA45" s="254">
        <f>262.4*'30'!AA44</f>
        <v>0</v>
      </c>
      <c r="AB45" s="133" t="s">
        <v>104</v>
      </c>
      <c r="AC45" s="254">
        <f>'30'!AC44*277.7</f>
        <v>0</v>
      </c>
      <c r="AD45" s="133" t="s">
        <v>104</v>
      </c>
      <c r="AE45" s="255"/>
      <c r="AF45" s="46"/>
      <c r="AG45" s="46"/>
      <c r="AI45" s="246" t="s">
        <v>103</v>
      </c>
      <c r="AJ45" s="127"/>
      <c r="AK45" s="127"/>
      <c r="AL45" s="127"/>
      <c r="AM45" s="127"/>
      <c r="AN45" s="127"/>
      <c r="AO45" s="127"/>
      <c r="AP45" s="127"/>
      <c r="AQ45" s="127"/>
      <c r="AR45" s="128"/>
    </row>
    <row r="46" ht="15.75" customHeight="1">
      <c r="F46" s="257"/>
      <c r="X46" s="196" t="s">
        <v>105</v>
      </c>
      <c r="Y46" s="258">
        <f>'30'!AS6</f>
        <v>1.33</v>
      </c>
      <c r="Z46" s="196" t="s">
        <v>105</v>
      </c>
      <c r="AA46" s="258">
        <f>'30'!Y46</f>
        <v>1.33</v>
      </c>
      <c r="AB46" s="196" t="s">
        <v>105</v>
      </c>
      <c r="AC46" s="258">
        <f>'30'!Y46</f>
        <v>1.33</v>
      </c>
      <c r="AD46" s="196" t="s">
        <v>105</v>
      </c>
      <c r="AE46" s="259">
        <f>'30'!Y46</f>
        <v>1.33</v>
      </c>
      <c r="AF46" s="260" t="s">
        <v>106</v>
      </c>
      <c r="AG46" s="261">
        <f>SUM('30'!Y47,'30'!AA47,'30'!AC47,'30'!AE47)</f>
        <v>0</v>
      </c>
      <c r="AI46" s="236" t="s">
        <v>97</v>
      </c>
      <c r="AJ46" s="18"/>
      <c r="AK46" s="236" t="s">
        <v>98</v>
      </c>
      <c r="AL46" s="18"/>
      <c r="AM46" s="236" t="s">
        <v>99</v>
      </c>
      <c r="AN46" s="18"/>
      <c r="AO46" s="422"/>
      <c r="AP46" s="89"/>
      <c r="AQ46" s="237"/>
      <c r="AR46" s="238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'30'!Y45*'30'!Y46</f>
        <v>0</v>
      </c>
      <c r="Z47" s="133" t="s">
        <v>108</v>
      </c>
      <c r="AA47" s="254">
        <f>'30'!AA45*'30'!AA46</f>
        <v>0</v>
      </c>
      <c r="AB47" s="133" t="s">
        <v>108</v>
      </c>
      <c r="AC47" s="254">
        <f>'30'!AC45*'30'!AC46</f>
        <v>0</v>
      </c>
      <c r="AD47" s="133" t="s">
        <v>108</v>
      </c>
      <c r="AE47" s="254">
        <f>'30'!AE45*'30'!AE46</f>
        <v>0</v>
      </c>
      <c r="AF47" s="46"/>
      <c r="AG47" s="46"/>
      <c r="AI47" s="68" t="s">
        <v>101</v>
      </c>
      <c r="AJ47" s="241"/>
      <c r="AK47" s="68" t="s">
        <v>101</v>
      </c>
      <c r="AL47" s="241"/>
      <c r="AM47" s="68" t="s">
        <v>101</v>
      </c>
      <c r="AN47" s="241"/>
      <c r="AO47" s="43"/>
      <c r="AP47" s="27"/>
      <c r="AQ47" s="244" t="s">
        <v>102</v>
      </c>
      <c r="AR47" s="245">
        <f>SUM('10'!AJ48,'10'!AL48,'10'!AN48,'10'!AP48)</f>
        <v>3.99</v>
      </c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33" t="s">
        <v>104</v>
      </c>
      <c r="AJ48" s="254">
        <f>AJ47*275.3</f>
        <v>0</v>
      </c>
      <c r="AK48" s="133" t="s">
        <v>104</v>
      </c>
      <c r="AL48" s="254">
        <f>262.4*'10'!AL47</f>
        <v>0</v>
      </c>
      <c r="AM48" s="133" t="s">
        <v>104</v>
      </c>
      <c r="AN48" s="254">
        <f>AN47*277.7</f>
        <v>0</v>
      </c>
      <c r="AO48" s="43"/>
      <c r="AP48" s="27"/>
      <c r="AQ48" s="46"/>
      <c r="AR48" s="46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96" t="s">
        <v>105</v>
      </c>
      <c r="AJ49" s="258">
        <v>1.33</v>
      </c>
      <c r="AK49" s="265" t="s">
        <v>105</v>
      </c>
      <c r="AL49" s="258">
        <f>'10'!AJ49</f>
        <v>0</v>
      </c>
      <c r="AM49" s="265" t="s">
        <v>105</v>
      </c>
      <c r="AN49" s="258">
        <v>1.33</v>
      </c>
      <c r="AO49" s="43"/>
      <c r="AP49" s="27"/>
      <c r="AQ49" s="260" t="s">
        <v>106</v>
      </c>
      <c r="AR49" s="261">
        <f>SUM('10'!AJ50,'10'!AL50,'10'!AN50,'10'!AP50)</f>
        <v>0</v>
      </c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  <c r="AI50" s="133" t="s">
        <v>108</v>
      </c>
      <c r="AJ50" s="254">
        <f>AJ48*AJ49</f>
        <v>0</v>
      </c>
      <c r="AK50" s="133" t="s">
        <v>108</v>
      </c>
      <c r="AL50" s="254">
        <f>'10'!AL48*'10'!AL49</f>
        <v>0</v>
      </c>
      <c r="AM50" s="133" t="s">
        <v>108</v>
      </c>
      <c r="AN50" s="254">
        <f>AN48*AN49</f>
        <v>0</v>
      </c>
      <c r="AO50" s="16"/>
      <c r="AP50" s="18"/>
      <c r="AQ50" s="46"/>
      <c r="AR50" s="46"/>
    </row>
    <row r="51" ht="16.5" customHeight="1">
      <c r="O51" s="208">
        <f>COUNTA('30'!O7:O18)</f>
        <v>12</v>
      </c>
      <c r="P51" s="128"/>
      <c r="R51" s="247">
        <f>COUNTIF('30'!O7:O18,"&gt;=0,5")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SUM('30'!Y53,'30'!AA53,'30'!AC53,'30'!AE53)</f>
        <v>0</v>
      </c>
      <c r="AI52" s="269" t="s">
        <v>112</v>
      </c>
      <c r="AJ52" s="127"/>
      <c r="AK52" s="127"/>
      <c r="AL52" s="127"/>
      <c r="AM52" s="127"/>
      <c r="AN52" s="127"/>
      <c r="AO52" s="127"/>
      <c r="AP52" s="127"/>
      <c r="AQ52" s="127"/>
      <c r="AR52" s="128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'30'!Y52*275.3</f>
        <v>0</v>
      </c>
      <c r="Z53" s="133" t="s">
        <v>104</v>
      </c>
      <c r="AA53" s="254">
        <f>262.4*'30'!AA52</f>
        <v>0</v>
      </c>
      <c r="AB53" s="133" t="s">
        <v>104</v>
      </c>
      <c r="AC53" s="276">
        <f>'30'!AC52*277.7</f>
        <v>0</v>
      </c>
      <c r="AD53" s="133" t="s">
        <v>104</v>
      </c>
      <c r="AE53" s="352">
        <v>0.0</v>
      </c>
      <c r="AF53" s="46"/>
      <c r="AG53" s="46"/>
      <c r="AI53" s="236" t="s">
        <v>97</v>
      </c>
      <c r="AJ53" s="18"/>
      <c r="AK53" s="236" t="s">
        <v>98</v>
      </c>
      <c r="AL53" s="18"/>
      <c r="AM53" s="236" t="s">
        <v>99</v>
      </c>
      <c r="AN53" s="18"/>
      <c r="AO53" s="422"/>
      <c r="AP53" s="89"/>
      <c r="AQ53" s="270"/>
      <c r="AR53" s="271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'30'!AS7</f>
        <v>1.377</v>
      </c>
      <c r="Z54" s="196" t="s">
        <v>105</v>
      </c>
      <c r="AA54" s="258">
        <f>'30'!Y54</f>
        <v>1.377</v>
      </c>
      <c r="AB54" s="196" t="s">
        <v>105</v>
      </c>
      <c r="AC54" s="258">
        <f>'30'!Y54</f>
        <v>1.377</v>
      </c>
      <c r="AD54" s="196" t="s">
        <v>105</v>
      </c>
      <c r="AE54" s="259">
        <f>'30'!Y54</f>
        <v>1.377</v>
      </c>
      <c r="AF54" s="260" t="s">
        <v>106</v>
      </c>
      <c r="AG54" s="261">
        <f>SUM('30'!Y55,'30'!AA55,'30'!AC55,'30'!AE55)</f>
        <v>0</v>
      </c>
      <c r="AI54" s="68" t="s">
        <v>101</v>
      </c>
      <c r="AJ54" s="275"/>
      <c r="AK54" s="68" t="s">
        <v>101</v>
      </c>
      <c r="AL54" s="272"/>
      <c r="AM54" s="68" t="s">
        <v>101</v>
      </c>
      <c r="AN54" s="272"/>
      <c r="AO54" s="43"/>
      <c r="AP54" s="27"/>
      <c r="AQ54" s="244" t="s">
        <v>102</v>
      </c>
      <c r="AR54" s="510">
        <f>'10'!AJ55+'10'!AL55+'10'!AN55+'10'!AP55</f>
        <v>0</v>
      </c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'30'!Y53*'30'!Y54</f>
        <v>0</v>
      </c>
      <c r="Z55" s="133" t="s">
        <v>108</v>
      </c>
      <c r="AA55" s="254">
        <f>'30'!AA53*'30'!AA54</f>
        <v>0</v>
      </c>
      <c r="AB55" s="133" t="s">
        <v>108</v>
      </c>
      <c r="AC55" s="254">
        <f>'30'!AC53*'30'!AC54</f>
        <v>0</v>
      </c>
      <c r="AD55" s="133" t="s">
        <v>108</v>
      </c>
      <c r="AE55" s="254">
        <f>'30'!AE53*'30'!AE54</f>
        <v>0</v>
      </c>
      <c r="AF55" s="46"/>
      <c r="AG55" s="46"/>
      <c r="AI55" s="133" t="s">
        <v>104</v>
      </c>
      <c r="AJ55" s="254">
        <f>AJ54*275.3</f>
        <v>0</v>
      </c>
      <c r="AK55" s="133" t="s">
        <v>104</v>
      </c>
      <c r="AL55" s="254">
        <f>262.4*AL54</f>
        <v>0</v>
      </c>
      <c r="AM55" s="133" t="s">
        <v>104</v>
      </c>
      <c r="AN55" s="276">
        <f>AN54*277.7</f>
        <v>0</v>
      </c>
      <c r="AO55" s="43"/>
      <c r="AP55" s="27"/>
      <c r="AQ55" s="46"/>
      <c r="AR55" s="46"/>
    </row>
    <row r="56" ht="13.5" customHeight="1">
      <c r="O56" s="16"/>
      <c r="P56" s="18"/>
      <c r="R56" s="16"/>
      <c r="S56" s="17"/>
      <c r="T56" s="18"/>
      <c r="AI56" s="196" t="s">
        <v>105</v>
      </c>
      <c r="AJ56" s="258">
        <f>Y54</f>
        <v>1.377</v>
      </c>
      <c r="AK56" s="196" t="s">
        <v>105</v>
      </c>
      <c r="AL56" s="258">
        <f>AJ56</f>
        <v>1.377</v>
      </c>
      <c r="AM56" s="196" t="s">
        <v>105</v>
      </c>
      <c r="AN56" s="258">
        <f>AJ56</f>
        <v>1.377</v>
      </c>
      <c r="AO56" s="43"/>
      <c r="AP56" s="27"/>
      <c r="AQ56" s="260" t="s">
        <v>106</v>
      </c>
      <c r="AR56" s="261">
        <f>SUM('10'!AJ57,'10'!AL57,'10'!AN57,'10'!AP57)</f>
        <v>0</v>
      </c>
    </row>
    <row r="57" ht="15.75" customHeight="1">
      <c r="O57" s="169">
        <f>COUNTA('30'!N7:N18)</f>
        <v>12</v>
      </c>
      <c r="P57" s="128"/>
      <c r="R57" s="277">
        <f>COUNTIF('30'!N7:N18,"&gt;=6")</f>
        <v>12</v>
      </c>
      <c r="S57" s="127"/>
      <c r="T57" s="128"/>
      <c r="AI57" s="133" t="s">
        <v>108</v>
      </c>
      <c r="AJ57" s="254">
        <f>AJ55*AJ56</f>
        <v>0</v>
      </c>
      <c r="AK57" s="133" t="s">
        <v>108</v>
      </c>
      <c r="AL57" s="254">
        <f>AL55*AL56</f>
        <v>0</v>
      </c>
      <c r="AM57" s="133" t="s">
        <v>108</v>
      </c>
      <c r="AN57" s="254">
        <f>AN55*AN56</f>
        <v>0</v>
      </c>
      <c r="AO57" s="16"/>
      <c r="AP57" s="18"/>
      <c r="AQ57" s="46"/>
      <c r="AR57" s="46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9" t="s">
        <v>117</v>
      </c>
      <c r="AJ60" s="127"/>
      <c r="AK60" s="127"/>
      <c r="AL60" s="127"/>
      <c r="AM60" s="127"/>
      <c r="AN60" s="127"/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77" t="s">
        <v>120</v>
      </c>
      <c r="AJ61" s="127"/>
      <c r="AK61" s="127"/>
      <c r="AL61" s="127"/>
      <c r="AM61" s="128"/>
      <c r="AN61" s="277" t="s">
        <v>93</v>
      </c>
      <c r="AO61" s="127"/>
      <c r="AP61" s="127"/>
      <c r="AQ61" s="127"/>
      <c r="AR61" s="128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121</v>
      </c>
      <c r="AJ62" s="79"/>
      <c r="AK62" s="80"/>
      <c r="AL62" s="287">
        <f>AJ57+AL57+AN57</f>
        <v>0</v>
      </c>
      <c r="AM62" s="80"/>
      <c r="AN62" s="286" t="s">
        <v>121</v>
      </c>
      <c r="AO62" s="79"/>
      <c r="AP62" s="80"/>
      <c r="AQ62" s="287">
        <f>AJ50+AL50+AN50</f>
        <v>0</v>
      </c>
      <c r="AR62" s="80"/>
    </row>
    <row r="63" ht="15.0" customHeight="1">
      <c r="X63" s="294" t="s">
        <v>124</v>
      </c>
      <c r="Y63" s="295"/>
      <c r="Z63" s="43"/>
      <c r="AA63" s="27"/>
      <c r="AB63" s="296" t="s">
        <v>163</v>
      </c>
      <c r="AC63" s="125">
        <v>0.0</v>
      </c>
      <c r="AI63" s="286" t="s">
        <v>123</v>
      </c>
      <c r="AJ63" s="79"/>
      <c r="AK63" s="80"/>
      <c r="AL63" s="292">
        <f>AA33</f>
        <v>0</v>
      </c>
      <c r="AM63" s="80"/>
      <c r="AN63" s="286" t="s">
        <v>123</v>
      </c>
      <c r="AO63" s="79"/>
      <c r="AP63" s="80"/>
      <c r="AQ63" s="293">
        <f>AA32</f>
        <v>37605.75</v>
      </c>
      <c r="AR63" s="80"/>
    </row>
    <row r="64" ht="15.0" customHeight="1">
      <c r="X64" s="294"/>
      <c r="Y64" s="295"/>
      <c r="Z64" s="43"/>
      <c r="AA64" s="27"/>
      <c r="AB64" s="296" t="s">
        <v>164</v>
      </c>
      <c r="AC64" s="125">
        <v>0.0</v>
      </c>
      <c r="AI64" s="286" t="s">
        <v>125</v>
      </c>
      <c r="AJ64" s="79"/>
      <c r="AK64" s="80"/>
      <c r="AL64" s="287">
        <f>AL62-AL63</f>
        <v>0</v>
      </c>
      <c r="AM64" s="80"/>
      <c r="AN64" s="286" t="s">
        <v>125</v>
      </c>
      <c r="AO64" s="79"/>
      <c r="AP64" s="80"/>
      <c r="AQ64" s="287">
        <f>AQ62-AQ63</f>
        <v>-37605.75</v>
      </c>
      <c r="AR64" s="80"/>
    </row>
    <row r="65" ht="39.0" customHeight="1">
      <c r="X65" s="297" t="s">
        <v>126</v>
      </c>
      <c r="Y65" s="298">
        <f>'29'!$Y$68</f>
        <v>-4672.416667</v>
      </c>
      <c r="Z65" s="43"/>
      <c r="AA65" s="27"/>
      <c r="AB65" s="299" t="s">
        <v>126</v>
      </c>
      <c r="AC65" s="330">
        <f>'29'!$AC$68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SUM('30'!AK38,'30'!AP38)</f>
        <v>2663.466667</v>
      </c>
      <c r="Z67" s="43"/>
      <c r="AA67" s="27"/>
      <c r="AB67" s="296" t="s">
        <v>124</v>
      </c>
      <c r="AC67" s="254">
        <f>SUM('30'!AM38,'30'!AR38)</f>
        <v>0</v>
      </c>
    </row>
    <row r="68" ht="15.75" customHeight="1">
      <c r="X68" s="294" t="s">
        <v>128</v>
      </c>
      <c r="Y68" s="301">
        <f>SUM('30'!Y63,'30'!Y65)-'30'!Y67</f>
        <v>-7335.883333</v>
      </c>
      <c r="Z68" s="16"/>
      <c r="AA68" s="18"/>
      <c r="AB68" s="296" t="s">
        <v>128</v>
      </c>
      <c r="AC68" s="302">
        <f>'30'!AC65</f>
        <v>0</v>
      </c>
    </row>
    <row r="69" ht="13.5" customHeight="1"/>
    <row r="70" ht="15.75" customHeight="1">
      <c r="Z70" s="504" t="s">
        <v>161</v>
      </c>
      <c r="AA70" s="505">
        <f>'30'!AC68+'30'!Y68</f>
        <v>-7335.883333</v>
      </c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8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J41:AK42"/>
    <mergeCell ref="AL41:AM42"/>
    <mergeCell ref="AO37:AP37"/>
    <mergeCell ref="AQ37:AR37"/>
    <mergeCell ref="AO41:AP42"/>
    <mergeCell ref="AQ41:AR42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X41:AG41"/>
    <mergeCell ref="O42:T42"/>
    <mergeCell ref="X42:AG42"/>
    <mergeCell ref="E40:F40"/>
    <mergeCell ref="G40:H40"/>
    <mergeCell ref="X40:AG40"/>
    <mergeCell ref="AJ40:AK40"/>
    <mergeCell ref="AL40:AM40"/>
    <mergeCell ref="AO40:AP40"/>
    <mergeCell ref="AQ40:AR40"/>
    <mergeCell ref="AD44:AE44"/>
    <mergeCell ref="AF44:AF45"/>
    <mergeCell ref="AG44:AG45"/>
    <mergeCell ref="AI45:AR45"/>
    <mergeCell ref="AF46:AF47"/>
    <mergeCell ref="AG46:AG47"/>
    <mergeCell ref="AI46:AJ46"/>
    <mergeCell ref="AF54:AF55"/>
    <mergeCell ref="AG54:AG55"/>
    <mergeCell ref="AD52:AE52"/>
    <mergeCell ref="AF52:AF53"/>
    <mergeCell ref="AG52:AG53"/>
    <mergeCell ref="AI52:AR52"/>
    <mergeCell ref="AI53:AJ53"/>
    <mergeCell ref="AK53:AL53"/>
    <mergeCell ref="AM53:AN53"/>
    <mergeCell ref="AK46:AL46"/>
    <mergeCell ref="AM46:AN46"/>
    <mergeCell ref="AO46:AP50"/>
    <mergeCell ref="AQ47:AQ48"/>
    <mergeCell ref="AR47:AR48"/>
    <mergeCell ref="AQ49:AQ50"/>
    <mergeCell ref="AR49:AR50"/>
    <mergeCell ref="AO53:AP57"/>
    <mergeCell ref="AQ54:AQ55"/>
    <mergeCell ref="AR54:AR55"/>
    <mergeCell ref="AQ56:AQ57"/>
    <mergeCell ref="AR56:AR57"/>
    <mergeCell ref="AI60:AR60"/>
    <mergeCell ref="AN61:AR61"/>
    <mergeCell ref="AN63:AP63"/>
    <mergeCell ref="AQ63:AR63"/>
    <mergeCell ref="AI64:AK64"/>
    <mergeCell ref="AL64:AM64"/>
    <mergeCell ref="AN64:AP64"/>
    <mergeCell ref="AQ64:AR64"/>
    <mergeCell ref="AI61:AM61"/>
    <mergeCell ref="AI62:AK62"/>
    <mergeCell ref="AL62:AM62"/>
    <mergeCell ref="AN62:AP62"/>
    <mergeCell ref="AQ62:AR62"/>
    <mergeCell ref="AI63:AK63"/>
    <mergeCell ref="AL63:AM63"/>
    <mergeCell ref="Z60:AA60"/>
    <mergeCell ref="AB60:AC60"/>
    <mergeCell ref="X61:AC61"/>
    <mergeCell ref="X62:Y62"/>
    <mergeCell ref="Z62:AA68"/>
    <mergeCell ref="AB62:AC62"/>
    <mergeCell ref="X66:Y66"/>
    <mergeCell ref="AB66:AC66"/>
    <mergeCell ref="O55:P56"/>
    <mergeCell ref="R55:T56"/>
    <mergeCell ref="O57:P57"/>
    <mergeCell ref="R57:T57"/>
    <mergeCell ref="X58:AC58"/>
    <mergeCell ref="X59:AC59"/>
    <mergeCell ref="X60:Y60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O39:Q40"/>
    <mergeCell ref="O41:Q41"/>
    <mergeCell ref="Q43:S44"/>
    <mergeCell ref="X43:Y43"/>
    <mergeCell ref="Z43:AA43"/>
    <mergeCell ref="AB43:AC43"/>
    <mergeCell ref="AD43:AE43"/>
    <mergeCell ref="X50:AG50"/>
    <mergeCell ref="X51:Y51"/>
    <mergeCell ref="Z51:AA51"/>
    <mergeCell ref="AB51:AC51"/>
    <mergeCell ref="AD51:AE51"/>
    <mergeCell ref="Q45:S45"/>
    <mergeCell ref="O47:T48"/>
    <mergeCell ref="O49:P50"/>
    <mergeCell ref="R49:T50"/>
    <mergeCell ref="O51:P51"/>
    <mergeCell ref="R51:T51"/>
    <mergeCell ref="O53:T54"/>
  </mergeCells>
  <conditionalFormatting sqref="O20">
    <cfRule type="cellIs" dxfId="0" priority="1" operator="greaterThan">
      <formula>3</formula>
    </cfRule>
  </conditionalFormatting>
  <conditionalFormatting sqref="O21">
    <cfRule type="cellIs" dxfId="0" priority="2" operator="lessThan">
      <formula>2.5</formula>
    </cfRule>
  </conditionalFormatting>
  <conditionalFormatting sqref="O19">
    <cfRule type="cellIs" dxfId="0" priority="3" operator="greaterThan">
      <formula>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5" width="8.57"/>
    <col customWidth="1" min="26" max="26" width="8.14"/>
    <col customWidth="1" min="27" max="47" width="8.57"/>
  </cols>
  <sheetData>
    <row r="1" ht="15.75" customHeight="1"/>
    <row r="2" ht="15.0" customHeight="1">
      <c r="A2" s="10"/>
      <c r="B2" s="11"/>
      <c r="C2" s="12"/>
      <c r="D2" s="353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4"/>
      <c r="W2" s="12"/>
      <c r="X2" s="10"/>
      <c r="Y2" s="11"/>
      <c r="Z2" s="11"/>
      <c r="AA2" s="12"/>
      <c r="AB2" s="15" t="s">
        <v>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r="3" ht="15.75" customHeight="1">
      <c r="A3" s="16"/>
      <c r="B3" s="17"/>
      <c r="C3" s="18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6"/>
      <c r="W3" s="18"/>
      <c r="X3" s="16"/>
      <c r="Y3" s="17"/>
      <c r="Z3" s="17"/>
      <c r="AA3" s="18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</row>
    <row r="4" ht="18.0" customHeight="1">
      <c r="A4" s="19" t="s">
        <v>7</v>
      </c>
      <c r="B4" s="20" t="s">
        <v>8</v>
      </c>
      <c r="E4" s="21"/>
      <c r="F4" s="20" t="s">
        <v>9</v>
      </c>
      <c r="J4" s="21"/>
      <c r="K4" s="20" t="s">
        <v>10</v>
      </c>
      <c r="N4" s="21"/>
      <c r="O4" s="20" t="s">
        <v>11</v>
      </c>
      <c r="Q4" s="21"/>
      <c r="R4" s="22" t="s">
        <v>12</v>
      </c>
      <c r="S4" s="23"/>
      <c r="T4" s="476" t="s">
        <v>13</v>
      </c>
      <c r="U4" s="307" t="s">
        <v>130</v>
      </c>
      <c r="V4" s="26" t="s">
        <v>15</v>
      </c>
      <c r="W4" s="27"/>
      <c r="X4" s="28" t="s">
        <v>16</v>
      </c>
      <c r="Y4" s="29" t="s">
        <v>17</v>
      </c>
      <c r="Z4" s="30" t="s">
        <v>18</v>
      </c>
      <c r="AA4" s="31" t="s">
        <v>19</v>
      </c>
      <c r="AB4" s="31" t="s">
        <v>20</v>
      </c>
      <c r="AC4" s="32" t="s">
        <v>21</v>
      </c>
      <c r="AD4" s="32" t="s">
        <v>20</v>
      </c>
      <c r="AE4" s="32" t="s">
        <v>152</v>
      </c>
      <c r="AF4" s="32" t="s">
        <v>153</v>
      </c>
      <c r="AG4" s="32" t="s">
        <v>154</v>
      </c>
      <c r="AH4" s="32" t="s">
        <v>155</v>
      </c>
      <c r="AI4" s="32" t="s">
        <v>156</v>
      </c>
      <c r="AJ4" s="32" t="s">
        <v>157</v>
      </c>
      <c r="AK4" s="33" t="s">
        <v>28</v>
      </c>
      <c r="AL4" s="33" t="s">
        <v>29</v>
      </c>
      <c r="AM4" s="33" t="s">
        <v>30</v>
      </c>
      <c r="AN4" s="33" t="s">
        <v>31</v>
      </c>
      <c r="AO4" s="33" t="s">
        <v>32</v>
      </c>
      <c r="AP4" s="33" t="s">
        <v>33</v>
      </c>
      <c r="AQ4" s="34" t="s">
        <v>34</v>
      </c>
      <c r="AR4" s="35"/>
      <c r="AS4" s="35"/>
      <c r="AT4" s="36"/>
      <c r="AU4" s="37" t="s">
        <v>35</v>
      </c>
    </row>
    <row r="5" ht="18.0" customHeight="1">
      <c r="A5" s="38"/>
      <c r="B5" s="39"/>
      <c r="C5" s="40"/>
      <c r="D5" s="40"/>
      <c r="E5" s="41"/>
      <c r="F5" s="39"/>
      <c r="G5" s="40"/>
      <c r="H5" s="40"/>
      <c r="I5" s="40"/>
      <c r="J5" s="41"/>
      <c r="K5" s="39"/>
      <c r="L5" s="40"/>
      <c r="M5" s="40"/>
      <c r="N5" s="41"/>
      <c r="O5" s="39"/>
      <c r="P5" s="40"/>
      <c r="Q5" s="41"/>
      <c r="R5" s="39"/>
      <c r="S5" s="41"/>
      <c r="T5" s="42"/>
      <c r="V5" s="43"/>
      <c r="W5" s="27"/>
      <c r="X5" s="44"/>
      <c r="Y5" s="45"/>
      <c r="Z5" s="46"/>
      <c r="AA5" s="44"/>
      <c r="AB5" s="44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8" t="s">
        <v>36</v>
      </c>
      <c r="AR5" s="48" t="s">
        <v>37</v>
      </c>
      <c r="AS5" s="48" t="s">
        <v>38</v>
      </c>
      <c r="AT5" s="49" t="s">
        <v>39</v>
      </c>
      <c r="AU5" s="46"/>
    </row>
    <row r="6" ht="19.5" customHeight="1">
      <c r="A6" s="50"/>
      <c r="B6" s="51" t="s">
        <v>40</v>
      </c>
      <c r="C6" s="51" t="s">
        <v>41</v>
      </c>
      <c r="D6" s="51" t="s">
        <v>42</v>
      </c>
      <c r="E6" s="51" t="s">
        <v>43</v>
      </c>
      <c r="F6" s="51" t="s">
        <v>40</v>
      </c>
      <c r="G6" s="51" t="s">
        <v>41</v>
      </c>
      <c r="H6" s="51" t="s">
        <v>42</v>
      </c>
      <c r="I6" s="51" t="s">
        <v>43</v>
      </c>
      <c r="J6" s="51" t="s">
        <v>44</v>
      </c>
      <c r="K6" s="51" t="s">
        <v>40</v>
      </c>
      <c r="L6" s="51" t="s">
        <v>41</v>
      </c>
      <c r="M6" s="51" t="s">
        <v>42</v>
      </c>
      <c r="N6" s="51" t="s">
        <v>43</v>
      </c>
      <c r="O6" s="51" t="s">
        <v>43</v>
      </c>
      <c r="P6" s="51" t="s">
        <v>41</v>
      </c>
      <c r="Q6" s="52" t="s">
        <v>42</v>
      </c>
      <c r="R6" s="51" t="s">
        <v>45</v>
      </c>
      <c r="S6" s="51" t="s">
        <v>46</v>
      </c>
      <c r="T6" s="51" t="s">
        <v>47</v>
      </c>
      <c r="U6" s="53"/>
      <c r="V6" s="16"/>
      <c r="W6" s="18"/>
      <c r="X6" s="54">
        <v>0.0416666666666667</v>
      </c>
      <c r="Y6" s="125">
        <v>3364.0</v>
      </c>
      <c r="Z6" s="60">
        <v>1120.0</v>
      </c>
      <c r="AA6" s="56">
        <v>1.0</v>
      </c>
      <c r="AB6" s="58">
        <f>IF('31'!AA6=1,(('31'!Z6*'31'!$AS$6*'31'!$AT$6)/('31'!Y6*0.0036)),IF('31'!AA6=2,(('31'!Z6*'31'!$AS$7*'31'!$AT$7)/('31'!Y6*0.0036))))</f>
        <v>61.50085877</v>
      </c>
      <c r="AC6" s="58"/>
      <c r="AD6" s="59">
        <f>(('31'!AC6*'31'!$I$10*1000000))/('31'!Y6*3600)</f>
        <v>0</v>
      </c>
      <c r="AE6" s="60"/>
      <c r="AF6" s="61">
        <f>('31'!AE6/24)*0.454</f>
        <v>0</v>
      </c>
      <c r="AG6" s="60"/>
      <c r="AH6" s="61">
        <f>('31'!AG6/24)*0.454</f>
        <v>0</v>
      </c>
      <c r="AI6" s="60">
        <v>5800.0</v>
      </c>
      <c r="AJ6" s="61">
        <f>('31'!AI6/24)*0.454</f>
        <v>109.7166667</v>
      </c>
      <c r="AK6" s="62"/>
      <c r="AL6" s="63">
        <f>('31'!AK6/24)*0.454</f>
        <v>0</v>
      </c>
      <c r="AM6" s="62"/>
      <c r="AN6" s="63">
        <f>('31'!AM6/24)*0.454</f>
        <v>0</v>
      </c>
      <c r="AO6" s="62"/>
      <c r="AP6" s="63">
        <f>('31'!AO6/24)*0.454</f>
        <v>0</v>
      </c>
      <c r="AQ6" s="65">
        <v>1.0</v>
      </c>
      <c r="AR6" s="66" t="s">
        <v>48</v>
      </c>
      <c r="AS6" s="67">
        <v>1.33</v>
      </c>
      <c r="AT6" s="66">
        <v>0.5</v>
      </c>
      <c r="AU6" s="68">
        <v>0.0</v>
      </c>
    </row>
    <row r="7" ht="18.75" customHeight="1">
      <c r="A7" s="69">
        <v>0.0</v>
      </c>
      <c r="B7" s="76">
        <v>112.0</v>
      </c>
      <c r="C7" s="76">
        <v>15.0</v>
      </c>
      <c r="D7" s="76">
        <v>14.0</v>
      </c>
      <c r="E7" s="76">
        <v>7.0</v>
      </c>
      <c r="F7" s="76">
        <v>19.0</v>
      </c>
      <c r="G7" s="76">
        <v>1.0</v>
      </c>
      <c r="H7" s="76">
        <v>1.0</v>
      </c>
      <c r="I7" s="76">
        <v>0.4</v>
      </c>
      <c r="J7" s="76">
        <v>0.4</v>
      </c>
      <c r="K7" s="76">
        <v>6.9</v>
      </c>
      <c r="L7" s="76">
        <v>6.5</v>
      </c>
      <c r="M7" s="76">
        <v>6.5</v>
      </c>
      <c r="N7" s="76">
        <v>6.2</v>
      </c>
      <c r="O7" s="76">
        <v>3.5</v>
      </c>
      <c r="P7" s="76"/>
      <c r="Q7" s="310"/>
      <c r="R7" s="77">
        <f>'30'!Z29</f>
        <v>1120</v>
      </c>
      <c r="S7" s="309">
        <f>'30'!AB29</f>
        <v>61.04717878</v>
      </c>
      <c r="T7" s="77">
        <f>'30'!$Y$29</f>
        <v>3389</v>
      </c>
      <c r="U7" s="73" t="str">
        <f>IF('31'!AA6=1,'31'!AR6,'31'!AR7)</f>
        <v>S.A.L</v>
      </c>
      <c r="V7" s="74" t="str">
        <f>ESCALA!$B$32</f>
        <v/>
      </c>
      <c r="W7" s="12"/>
      <c r="X7" s="54">
        <v>0.0833333333333333</v>
      </c>
      <c r="Y7" s="125">
        <v>3389.0</v>
      </c>
      <c r="Z7" s="60">
        <v>1120.0</v>
      </c>
      <c r="AA7" s="56">
        <v>1.0</v>
      </c>
      <c r="AB7" s="58">
        <f>IF('31'!AA7=1,(('31'!Z7*'31'!$AS$6*'31'!$AT$6)/('31'!Y7*0.0036)),IF('31'!AA7=2,(('31'!Z7*'31'!$AS$7*'31'!$AT$7)/('31'!Y7*0.0036))))</f>
        <v>61.04717878</v>
      </c>
      <c r="AC7" s="58"/>
      <c r="AD7" s="59">
        <f>(('31'!AC7*'31'!$I$10*1000000))/('31'!Y7*3600)</f>
        <v>0</v>
      </c>
      <c r="AE7" s="60"/>
      <c r="AF7" s="61">
        <f>('31'!AE7/24)*0.454</f>
        <v>0</v>
      </c>
      <c r="AG7" s="60"/>
      <c r="AH7" s="61">
        <f>('31'!AG7/24)*0.454</f>
        <v>0</v>
      </c>
      <c r="AI7" s="60">
        <v>5800.0</v>
      </c>
      <c r="AJ7" s="61">
        <f>('31'!AI7/24)*0.454</f>
        <v>109.7166667</v>
      </c>
      <c r="AK7" s="62"/>
      <c r="AL7" s="63">
        <f>('31'!AK7/24)*0.454</f>
        <v>0</v>
      </c>
      <c r="AM7" s="62"/>
      <c r="AN7" s="63">
        <f>('31'!AM7/24)*0.454</f>
        <v>0</v>
      </c>
      <c r="AO7" s="62"/>
      <c r="AP7" s="63">
        <f>('31'!AO7/24)*0.454</f>
        <v>0</v>
      </c>
      <c r="AQ7" s="65">
        <v>2.0</v>
      </c>
      <c r="AR7" s="66" t="s">
        <v>149</v>
      </c>
      <c r="AS7" s="67">
        <v>1.345</v>
      </c>
      <c r="AT7" s="66">
        <v>1.0</v>
      </c>
      <c r="AU7" s="60">
        <v>24.0</v>
      </c>
    </row>
    <row r="8" ht="18.75" customHeight="1">
      <c r="A8" s="69">
        <v>0.0833333333333333</v>
      </c>
      <c r="B8" s="76">
        <v>110.0</v>
      </c>
      <c r="C8" s="76">
        <v>15.0</v>
      </c>
      <c r="D8" s="76">
        <v>14.0</v>
      </c>
      <c r="E8" s="76">
        <v>7.0</v>
      </c>
      <c r="F8" s="76">
        <v>18.0</v>
      </c>
      <c r="G8" s="76">
        <v>1.0</v>
      </c>
      <c r="H8" s="76">
        <v>1.0</v>
      </c>
      <c r="I8" s="76">
        <v>0.4</v>
      </c>
      <c r="J8" s="76">
        <v>0.4</v>
      </c>
      <c r="K8" s="76">
        <v>6.9</v>
      </c>
      <c r="L8" s="76">
        <v>6.5</v>
      </c>
      <c r="M8" s="76">
        <v>6.5</v>
      </c>
      <c r="N8" s="76">
        <v>6.2</v>
      </c>
      <c r="O8" s="76">
        <v>3.2</v>
      </c>
      <c r="P8" s="76"/>
      <c r="Q8" s="310"/>
      <c r="R8" s="75">
        <f>'31'!Z7</f>
        <v>1120</v>
      </c>
      <c r="S8" s="76">
        <f>'31'!AB7</f>
        <v>61.04717878</v>
      </c>
      <c r="T8" s="77">
        <f>'31'!Y7</f>
        <v>3389</v>
      </c>
      <c r="U8" s="73" t="str">
        <f>IF('31'!AA7=1,'31'!AR6,'31'!AR7)</f>
        <v>S.A.L</v>
      </c>
      <c r="V8" s="43"/>
      <c r="W8" s="27"/>
      <c r="X8" s="54">
        <v>0.125</v>
      </c>
      <c r="Y8" s="125">
        <v>3398.0</v>
      </c>
      <c r="Z8" s="60">
        <v>1120.0</v>
      </c>
      <c r="AA8" s="56">
        <v>1.0</v>
      </c>
      <c r="AB8" s="58">
        <f>IF('31'!AA8=1,(('31'!Z8*'31'!$AS$6*'31'!$AT$6)/('31'!Y8*0.0036)),IF('31'!AA8=2,(('31'!Z8*'31'!$AS$7*'31'!$AT$7)/('31'!Y8*0.0036))))</f>
        <v>60.8854882</v>
      </c>
      <c r="AC8" s="58"/>
      <c r="AD8" s="59">
        <f>(('31'!AC8*'31'!$I$10*1000000))/('31'!Y8*3600)</f>
        <v>0</v>
      </c>
      <c r="AE8" s="60"/>
      <c r="AF8" s="61">
        <f>('31'!AE8/24)*0.454</f>
        <v>0</v>
      </c>
      <c r="AG8" s="60"/>
      <c r="AH8" s="61">
        <f>('31'!AG8/24)*0.454</f>
        <v>0</v>
      </c>
      <c r="AI8" s="60">
        <v>5800.0</v>
      </c>
      <c r="AJ8" s="61">
        <f>('31'!AI8/24)*0.454</f>
        <v>109.7166667</v>
      </c>
      <c r="AK8" s="62"/>
      <c r="AL8" s="63">
        <f>('31'!AK8/24)*0.454</f>
        <v>0</v>
      </c>
      <c r="AM8" s="62"/>
      <c r="AN8" s="63">
        <f>('31'!AM8/24)*0.454</f>
        <v>0</v>
      </c>
      <c r="AO8" s="62"/>
      <c r="AP8" s="63">
        <f>('31'!AO8/24)*0.454</f>
        <v>0</v>
      </c>
      <c r="AQ8" s="78" t="s">
        <v>50</v>
      </c>
      <c r="AR8" s="79"/>
      <c r="AS8" s="79"/>
      <c r="AT8" s="80"/>
    </row>
    <row r="9" ht="18.75" customHeight="1">
      <c r="A9" s="69">
        <v>0.166666666666667</v>
      </c>
      <c r="B9" s="76">
        <v>107.0</v>
      </c>
      <c r="C9" s="76">
        <v>15.0</v>
      </c>
      <c r="D9" s="76">
        <v>14.0</v>
      </c>
      <c r="E9" s="76">
        <v>7.0</v>
      </c>
      <c r="F9" s="76">
        <v>17.0</v>
      </c>
      <c r="G9" s="76">
        <v>1.0</v>
      </c>
      <c r="H9" s="76">
        <v>0.9</v>
      </c>
      <c r="I9" s="76">
        <v>0.4</v>
      </c>
      <c r="J9" s="76">
        <v>0.4</v>
      </c>
      <c r="K9" s="76">
        <v>6.9</v>
      </c>
      <c r="L9" s="76">
        <v>6.5</v>
      </c>
      <c r="M9" s="76">
        <v>6.5</v>
      </c>
      <c r="N9" s="76">
        <v>6.2</v>
      </c>
      <c r="O9" s="76">
        <v>3.2</v>
      </c>
      <c r="P9" s="76"/>
      <c r="Q9" s="310"/>
      <c r="R9" s="77">
        <f>'31'!Z9</f>
        <v>1120</v>
      </c>
      <c r="S9" s="76">
        <f>'31'!AB9</f>
        <v>60.74248059</v>
      </c>
      <c r="T9" s="77">
        <f>'31'!Y9</f>
        <v>3406</v>
      </c>
      <c r="U9" s="73" t="str">
        <f>IF('31'!AA9=1,'31'!AR6,'31'!AR7)</f>
        <v>S.A.L</v>
      </c>
      <c r="V9" s="43"/>
      <c r="W9" s="27"/>
      <c r="X9" s="54">
        <v>0.166666666666667</v>
      </c>
      <c r="Y9" s="125">
        <v>3406.0</v>
      </c>
      <c r="Z9" s="60">
        <v>1120.0</v>
      </c>
      <c r="AA9" s="56">
        <v>1.0</v>
      </c>
      <c r="AB9" s="58">
        <f>IF('31'!AA9=1,(('31'!Z9*'31'!$AS$6*'31'!$AT$6)/('31'!Y9*0.0036)),IF('31'!AA9=2,(('31'!Z9*'31'!$AS$7*'31'!$AT$7)/('31'!Y9*0.0036))))</f>
        <v>60.74248059</v>
      </c>
      <c r="AC9" s="58"/>
      <c r="AD9" s="59">
        <f>(('31'!AC9*'31'!$I$10*1000000))/('31'!Y9*3600)</f>
        <v>0</v>
      </c>
      <c r="AE9" s="60"/>
      <c r="AF9" s="61">
        <f>('31'!AE9/24)*0.454</f>
        <v>0</v>
      </c>
      <c r="AG9" s="60"/>
      <c r="AH9" s="61">
        <f>('31'!AG9/24)*0.454</f>
        <v>0</v>
      </c>
      <c r="AI9" s="60">
        <v>5800.0</v>
      </c>
      <c r="AJ9" s="61">
        <f>('31'!AI9/24)*0.454</f>
        <v>109.7166667</v>
      </c>
      <c r="AK9" s="62"/>
      <c r="AL9" s="63">
        <f>('31'!AK9/24)*0.454</f>
        <v>0</v>
      </c>
      <c r="AM9" s="62"/>
      <c r="AN9" s="63">
        <f>('31'!AM9/24)*0.454</f>
        <v>0</v>
      </c>
      <c r="AO9" s="62"/>
      <c r="AP9" s="63">
        <f>('31'!AO9/24)*0.454</f>
        <v>0</v>
      </c>
      <c r="AQ9" s="81" t="s">
        <v>37</v>
      </c>
      <c r="AR9" s="79"/>
      <c r="AS9" s="80"/>
      <c r="AT9" s="82" t="s">
        <v>39</v>
      </c>
    </row>
    <row r="10" ht="18.75" customHeight="1">
      <c r="A10" s="69">
        <v>0.25</v>
      </c>
      <c r="B10" s="76">
        <v>105.0</v>
      </c>
      <c r="C10" s="76">
        <v>15.0</v>
      </c>
      <c r="D10" s="76">
        <v>14.0</v>
      </c>
      <c r="E10" s="76">
        <v>7.0</v>
      </c>
      <c r="F10" s="76">
        <v>16.0</v>
      </c>
      <c r="G10" s="76">
        <v>1.0</v>
      </c>
      <c r="H10" s="76">
        <v>0.9</v>
      </c>
      <c r="I10" s="76">
        <v>0.4</v>
      </c>
      <c r="J10" s="76">
        <v>0.4</v>
      </c>
      <c r="K10" s="76">
        <v>6.9</v>
      </c>
      <c r="L10" s="76">
        <v>6.5</v>
      </c>
      <c r="M10" s="76">
        <v>6.5</v>
      </c>
      <c r="N10" s="76">
        <v>6.2</v>
      </c>
      <c r="O10" s="76">
        <v>3.0</v>
      </c>
      <c r="P10" s="76"/>
      <c r="Q10" s="310"/>
      <c r="R10" s="77">
        <f>'31'!Z11</f>
        <v>1120</v>
      </c>
      <c r="S10" s="76">
        <f>'31'!AB11</f>
        <v>60.8496732</v>
      </c>
      <c r="T10" s="77">
        <f>'31'!Y11</f>
        <v>3400</v>
      </c>
      <c r="U10" s="73" t="str">
        <f>IF('31'!AA11=1,'31'!AR6,'31'!AR7)</f>
        <v>S.A.L</v>
      </c>
      <c r="V10" s="43"/>
      <c r="W10" s="27"/>
      <c r="X10" s="54">
        <v>0.208333333333333</v>
      </c>
      <c r="Y10" s="125">
        <v>3435.0</v>
      </c>
      <c r="Z10" s="60">
        <v>1120.0</v>
      </c>
      <c r="AA10" s="56">
        <v>1.0</v>
      </c>
      <c r="AB10" s="58">
        <f>IF('31'!AA10=1,(('31'!Z10*'31'!$AS$6*'31'!$AT$6)/('31'!Y10*0.0036)),IF('31'!AA10=2,(('31'!Z10*'31'!$AS$7*'31'!$AT$7)/('31'!Y10*0.0036))))</f>
        <v>60.22966198</v>
      </c>
      <c r="AC10" s="58"/>
      <c r="AD10" s="59">
        <f>(('31'!AC10*'31'!$I$10*1000000))/('31'!Y10*3600)</f>
        <v>0</v>
      </c>
      <c r="AE10" s="60"/>
      <c r="AF10" s="61">
        <f>('31'!AE10/24)*0.454</f>
        <v>0</v>
      </c>
      <c r="AG10" s="60"/>
      <c r="AH10" s="61">
        <f>('31'!AG10/24)*0.454</f>
        <v>0</v>
      </c>
      <c r="AI10" s="60">
        <v>5800.0</v>
      </c>
      <c r="AJ10" s="61">
        <f>('31'!AI10/24)*0.454</f>
        <v>109.7166667</v>
      </c>
      <c r="AK10" s="62"/>
      <c r="AL10" s="63">
        <f>('31'!AK10/24)*0.454</f>
        <v>0</v>
      </c>
      <c r="AM10" s="62"/>
      <c r="AN10" s="63">
        <f>('31'!AM10/24)*0.454</f>
        <v>0</v>
      </c>
      <c r="AO10" s="62"/>
      <c r="AP10" s="63">
        <f>('31'!AO10/24)*0.454</f>
        <v>0</v>
      </c>
      <c r="AQ10" s="84" t="s">
        <v>51</v>
      </c>
      <c r="AR10" s="79"/>
      <c r="AS10" s="80"/>
      <c r="AT10" s="85">
        <v>0.002</v>
      </c>
    </row>
    <row r="11" ht="19.5" customHeight="1">
      <c r="A11" s="69">
        <v>0.333333333333333</v>
      </c>
      <c r="B11" s="76">
        <v>98.0</v>
      </c>
      <c r="C11" s="76">
        <v>17.0</v>
      </c>
      <c r="D11" s="76">
        <v>15.0</v>
      </c>
      <c r="E11" s="76">
        <v>8.0</v>
      </c>
      <c r="F11" s="76">
        <v>14.0</v>
      </c>
      <c r="G11" s="76">
        <v>1.1</v>
      </c>
      <c r="H11" s="76">
        <v>0.9</v>
      </c>
      <c r="I11" s="76">
        <v>0.3</v>
      </c>
      <c r="J11" s="76">
        <v>0.3</v>
      </c>
      <c r="K11" s="76">
        <v>6.9</v>
      </c>
      <c r="L11" s="76">
        <v>6.6</v>
      </c>
      <c r="M11" s="76">
        <v>6.6</v>
      </c>
      <c r="N11" s="76">
        <v>6.2</v>
      </c>
      <c r="O11" s="76">
        <v>3.0</v>
      </c>
      <c r="P11" s="76"/>
      <c r="Q11" s="310"/>
      <c r="R11" s="77">
        <f>'31'!Z13</f>
        <v>1140</v>
      </c>
      <c r="S11" s="76">
        <f>'31'!AB13</f>
        <v>61.21608527</v>
      </c>
      <c r="T11" s="77">
        <f>'31'!Y13</f>
        <v>3440</v>
      </c>
      <c r="U11" s="73" t="str">
        <f>IF('31'!AA13=1,'31'!AR6,'31'!AR7)</f>
        <v>S.A.L</v>
      </c>
      <c r="V11" s="16"/>
      <c r="W11" s="18"/>
      <c r="X11" s="54">
        <v>0.25</v>
      </c>
      <c r="Y11" s="125">
        <v>3400.0</v>
      </c>
      <c r="Z11" s="60">
        <v>1120.0</v>
      </c>
      <c r="AA11" s="56">
        <v>1.0</v>
      </c>
      <c r="AB11" s="58">
        <f>IF('31'!AA11=1,(('31'!Z11*'31'!$AS$6*'31'!$AT$6)/('31'!Y11*0.0036)),IF('31'!AA11=2,(('31'!Z11*'31'!$AS$7*'31'!$AT$7)/('31'!Y11*0.0036))))</f>
        <v>60.8496732</v>
      </c>
      <c r="AC11" s="58"/>
      <c r="AD11" s="59">
        <f>(('31'!AC11*'31'!$I$10*1000000))/('31'!Y11*3600)</f>
        <v>0</v>
      </c>
      <c r="AE11" s="60"/>
      <c r="AF11" s="61">
        <f>('31'!AE11/24)*0.454</f>
        <v>0</v>
      </c>
      <c r="AG11" s="60"/>
      <c r="AH11" s="61">
        <f>('31'!AG11/24)*0.454</f>
        <v>0</v>
      </c>
      <c r="AI11" s="60">
        <v>5800.0</v>
      </c>
      <c r="AJ11" s="61">
        <f>('31'!AI11/24)*0.454</f>
        <v>109.7166667</v>
      </c>
      <c r="AK11" s="62"/>
      <c r="AL11" s="63">
        <f>('31'!AK11/24)*0.454</f>
        <v>0</v>
      </c>
      <c r="AM11" s="62"/>
      <c r="AN11" s="63">
        <f>('31'!AM11/24)*0.454</f>
        <v>0</v>
      </c>
      <c r="AO11" s="62"/>
      <c r="AP11" s="63">
        <f>('31'!AO11/24)*0.454</f>
        <v>0</v>
      </c>
    </row>
    <row r="12" ht="18.75" customHeight="1">
      <c r="A12" s="69">
        <v>0.416666666666667</v>
      </c>
      <c r="B12" s="76">
        <v>99.0</v>
      </c>
      <c r="C12" s="76">
        <v>18.0</v>
      </c>
      <c r="D12" s="76">
        <v>15.0</v>
      </c>
      <c r="E12" s="76">
        <v>8.0</v>
      </c>
      <c r="F12" s="76">
        <v>15.0</v>
      </c>
      <c r="G12" s="76">
        <v>1.1</v>
      </c>
      <c r="H12" s="76">
        <v>0.9</v>
      </c>
      <c r="I12" s="76">
        <v>0.3</v>
      </c>
      <c r="J12" s="76">
        <v>0.3</v>
      </c>
      <c r="K12" s="76">
        <v>6.9</v>
      </c>
      <c r="L12" s="76">
        <v>6.6</v>
      </c>
      <c r="M12" s="76">
        <v>6.6</v>
      </c>
      <c r="N12" s="76">
        <v>6.2</v>
      </c>
      <c r="O12" s="76">
        <v>3.0</v>
      </c>
      <c r="P12" s="76"/>
      <c r="Q12" s="310"/>
      <c r="R12" s="77">
        <f>'31'!Z15</f>
        <v>1140</v>
      </c>
      <c r="S12" s="76">
        <f>'31'!AB15</f>
        <v>60.84464991</v>
      </c>
      <c r="T12" s="77">
        <f>'31'!Y15</f>
        <v>3461</v>
      </c>
      <c r="U12" s="73" t="str">
        <f>IF('31'!AA15=1,'31'!AR6,'31'!AR7)</f>
        <v>S.A.L</v>
      </c>
      <c r="V12" s="88" t="str">
        <f>ESCALA!$B$33</f>
        <v/>
      </c>
      <c r="W12" s="89"/>
      <c r="X12" s="54">
        <v>0.291666666666667</v>
      </c>
      <c r="Y12" s="125">
        <v>3419.0</v>
      </c>
      <c r="Z12" s="60">
        <v>1140.0</v>
      </c>
      <c r="AA12" s="56">
        <v>1.0</v>
      </c>
      <c r="AB12" s="58">
        <f>IF('31'!AA12=1,(('31'!Z12*'31'!$AS$6*'31'!$AT$6)/('31'!Y12*0.0036)),IF('31'!AA12=2,(('31'!Z12*'31'!$AS$7*'31'!$AT$7)/('31'!Y12*0.0036))))</f>
        <v>61.59208346</v>
      </c>
      <c r="AC12" s="58"/>
      <c r="AD12" s="59">
        <f>(('31'!AC12*'31'!$I$10*1000000))/('31'!Y12*3600)</f>
        <v>0</v>
      </c>
      <c r="AE12" s="60"/>
      <c r="AF12" s="61">
        <f>('31'!AE12/24)*0.454</f>
        <v>0</v>
      </c>
      <c r="AG12" s="60"/>
      <c r="AH12" s="61">
        <f>('31'!AG12/24)*0.454</f>
        <v>0</v>
      </c>
      <c r="AI12" s="60">
        <v>5800.0</v>
      </c>
      <c r="AJ12" s="61">
        <f>('31'!AI12/24)*0.454</f>
        <v>109.7166667</v>
      </c>
      <c r="AK12" s="62"/>
      <c r="AL12" s="63">
        <f>('31'!AK12/24)*0.454</f>
        <v>0</v>
      </c>
      <c r="AM12" s="62"/>
      <c r="AN12" s="63">
        <f>('31'!AM12/24)*0.454</f>
        <v>0</v>
      </c>
      <c r="AO12" s="62"/>
      <c r="AP12" s="63">
        <f>('31'!AO12/24)*0.454</f>
        <v>0</v>
      </c>
    </row>
    <row r="13" ht="18.75" customHeight="1">
      <c r="A13" s="69">
        <v>0.5</v>
      </c>
      <c r="B13" s="76">
        <v>100.0</v>
      </c>
      <c r="C13" s="76">
        <v>16.0</v>
      </c>
      <c r="D13" s="76">
        <v>15.0</v>
      </c>
      <c r="E13" s="76">
        <v>8.0</v>
      </c>
      <c r="F13" s="76">
        <v>15.0</v>
      </c>
      <c r="G13" s="76">
        <v>1.2</v>
      </c>
      <c r="H13" s="76">
        <v>1.1</v>
      </c>
      <c r="I13" s="76">
        <v>0.3</v>
      </c>
      <c r="J13" s="76">
        <v>0.3</v>
      </c>
      <c r="K13" s="76">
        <v>6.9</v>
      </c>
      <c r="L13" s="76">
        <v>6.6</v>
      </c>
      <c r="M13" s="76">
        <v>6.6</v>
      </c>
      <c r="N13" s="76">
        <v>6.2</v>
      </c>
      <c r="O13" s="76">
        <v>3.0</v>
      </c>
      <c r="P13" s="76"/>
      <c r="Q13" s="310"/>
      <c r="R13" s="77">
        <f>'31'!Z17</f>
        <v>1140</v>
      </c>
      <c r="S13" s="76">
        <f>'31'!AB17</f>
        <v>59.6215553</v>
      </c>
      <c r="T13" s="77">
        <f>'31'!Y17</f>
        <v>3532</v>
      </c>
      <c r="U13" s="73" t="str">
        <f>IF('31'!AA17=1,'31'!AR6,'31'!AR7)</f>
        <v>S.A.L</v>
      </c>
      <c r="V13" s="43"/>
      <c r="W13" s="27"/>
      <c r="X13" s="54">
        <v>0.333333333333333</v>
      </c>
      <c r="Y13" s="125">
        <v>3440.0</v>
      </c>
      <c r="Z13" s="60">
        <v>1140.0</v>
      </c>
      <c r="AA13" s="56">
        <v>1.0</v>
      </c>
      <c r="AB13" s="58">
        <f>IF('31'!AA13=1,(('31'!Z13*'31'!$AS$6*'31'!$AT$6)/('31'!Y13*0.0036)),IF('31'!AA13=2,(('31'!Z13*'31'!$AS$7*'31'!$AT$7)/('31'!Y13*0.0036))))</f>
        <v>61.21608527</v>
      </c>
      <c r="AC13" s="58"/>
      <c r="AD13" s="59">
        <f>(('31'!AC13*'31'!$I$10*1000000))/('31'!Y13*3600)</f>
        <v>0</v>
      </c>
      <c r="AE13" s="60"/>
      <c r="AF13" s="61">
        <f>('31'!AE13/24)*0.454</f>
        <v>0</v>
      </c>
      <c r="AG13" s="60"/>
      <c r="AH13" s="61">
        <f>('31'!AG13/24)*0.454</f>
        <v>0</v>
      </c>
      <c r="AI13" s="60">
        <v>5800.0</v>
      </c>
      <c r="AJ13" s="61">
        <f>('31'!AI13/24)*0.454</f>
        <v>109.7166667</v>
      </c>
      <c r="AK13" s="62"/>
      <c r="AL13" s="63">
        <f>('31'!AK13/24)*0.454</f>
        <v>0</v>
      </c>
      <c r="AM13" s="62"/>
      <c r="AN13" s="63">
        <f>('31'!AM13/24)*0.454</f>
        <v>0</v>
      </c>
      <c r="AO13" s="62"/>
      <c r="AP13" s="63">
        <f>('31'!AO13/24)*0.454</f>
        <v>0</v>
      </c>
    </row>
    <row r="14" ht="18.75" customHeight="1">
      <c r="A14" s="69">
        <v>0.583333333333333</v>
      </c>
      <c r="B14" s="76">
        <v>96.0</v>
      </c>
      <c r="C14" s="76">
        <v>15.0</v>
      </c>
      <c r="D14" s="76">
        <v>16.0</v>
      </c>
      <c r="E14" s="76">
        <v>7.0</v>
      </c>
      <c r="F14" s="76">
        <v>14.0</v>
      </c>
      <c r="G14" s="76">
        <v>1.2</v>
      </c>
      <c r="H14" s="76">
        <v>1.2</v>
      </c>
      <c r="I14" s="76">
        <v>0.2</v>
      </c>
      <c r="J14" s="76">
        <v>0.3</v>
      </c>
      <c r="K14" s="76">
        <v>6.9</v>
      </c>
      <c r="L14" s="76">
        <v>6.6</v>
      </c>
      <c r="M14" s="76">
        <v>6.6</v>
      </c>
      <c r="N14" s="76">
        <v>6.2</v>
      </c>
      <c r="O14" s="76">
        <v>3.0</v>
      </c>
      <c r="P14" s="76"/>
      <c r="Q14" s="310"/>
      <c r="R14" s="77">
        <f>'31'!Z19</f>
        <v>1140</v>
      </c>
      <c r="S14" s="76">
        <f>'31'!AB19</f>
        <v>62.2659176</v>
      </c>
      <c r="T14" s="77">
        <f>'31'!Y19</f>
        <v>3382</v>
      </c>
      <c r="U14" s="73" t="str">
        <f>IF('31'!AA19=1,'31'!AR6,'31'!AR7)</f>
        <v>S.A.L</v>
      </c>
      <c r="V14" s="43"/>
      <c r="W14" s="27"/>
      <c r="X14" s="54">
        <v>0.375</v>
      </c>
      <c r="Y14" s="125">
        <v>3425.0</v>
      </c>
      <c r="Z14" s="60">
        <v>1140.0</v>
      </c>
      <c r="AA14" s="56">
        <v>1.0</v>
      </c>
      <c r="AB14" s="58">
        <f>IF('31'!AA14=1,(('31'!Z14*'31'!$AS$6*'31'!$AT$6)/('31'!Y14*0.0036)),IF('31'!AA14=2,(('31'!Z14*'31'!$AS$7*'31'!$AT$7)/('31'!Y14*0.0036))))</f>
        <v>61.48418491</v>
      </c>
      <c r="AC14" s="58"/>
      <c r="AD14" s="59">
        <f>(('31'!AC14*'31'!$I$10*1000000))/('31'!Y14*3600)</f>
        <v>0</v>
      </c>
      <c r="AE14" s="60"/>
      <c r="AF14" s="61">
        <f>('31'!AE14/24)*0.454</f>
        <v>0</v>
      </c>
      <c r="AG14" s="60"/>
      <c r="AH14" s="61">
        <f>('31'!AG14/24)*0.454</f>
        <v>0</v>
      </c>
      <c r="AI14" s="60">
        <v>5800.0</v>
      </c>
      <c r="AJ14" s="61">
        <f>('31'!AI14/24)*0.454</f>
        <v>109.7166667</v>
      </c>
      <c r="AK14" s="62"/>
      <c r="AL14" s="63">
        <f>('31'!AK14/24)*0.454</f>
        <v>0</v>
      </c>
      <c r="AM14" s="62"/>
      <c r="AN14" s="63">
        <f>('31'!AM14/24)*0.454</f>
        <v>0</v>
      </c>
      <c r="AO14" s="62"/>
      <c r="AP14" s="63">
        <f>('31'!AO14/24)*0.454</f>
        <v>0</v>
      </c>
    </row>
    <row r="15" ht="18.75" customHeight="1">
      <c r="A15" s="69">
        <v>0.666666666666667</v>
      </c>
      <c r="B15" s="76">
        <v>94.0</v>
      </c>
      <c r="C15" s="76">
        <v>16.0</v>
      </c>
      <c r="D15" s="76">
        <v>15.0</v>
      </c>
      <c r="E15" s="76">
        <v>7.0</v>
      </c>
      <c r="F15" s="76">
        <v>14.0</v>
      </c>
      <c r="G15" s="76">
        <v>1.2</v>
      </c>
      <c r="H15" s="76">
        <v>1.0</v>
      </c>
      <c r="I15" s="76">
        <v>0.2</v>
      </c>
      <c r="J15" s="76">
        <v>0.3</v>
      </c>
      <c r="K15" s="76">
        <v>6.9</v>
      </c>
      <c r="L15" s="76">
        <v>6.6</v>
      </c>
      <c r="M15" s="76">
        <v>6.6</v>
      </c>
      <c r="N15" s="76">
        <v>6.2</v>
      </c>
      <c r="O15" s="76">
        <v>3.0</v>
      </c>
      <c r="P15" s="76"/>
      <c r="Q15" s="310"/>
      <c r="R15" s="77">
        <f>'31'!Z21</f>
        <v>1140</v>
      </c>
      <c r="S15" s="76">
        <f>'31'!AB21</f>
        <v>62.11897738</v>
      </c>
      <c r="T15" s="77">
        <f>'31'!Y21</f>
        <v>3390</v>
      </c>
      <c r="U15" s="73" t="str">
        <f>IF('31'!AA21=1,'31'!AR6,'31'!AR7)</f>
        <v>S.A.L</v>
      </c>
      <c r="V15" s="43"/>
      <c r="W15" s="27"/>
      <c r="X15" s="54">
        <v>0.416666666666667</v>
      </c>
      <c r="Y15" s="125">
        <v>3461.0</v>
      </c>
      <c r="Z15" s="60">
        <v>1140.0</v>
      </c>
      <c r="AA15" s="56">
        <v>1.0</v>
      </c>
      <c r="AB15" s="58">
        <f>IF('31'!AA15=1,(('31'!Z15*'31'!$AS$6*'31'!$AT$6)/('31'!Y15*0.0036)),IF('31'!AA15=2,(('31'!Z15*'31'!$AS$7*'31'!$AT$7)/('31'!Y15*0.0036))))</f>
        <v>60.84464991</v>
      </c>
      <c r="AC15" s="58"/>
      <c r="AD15" s="59">
        <f>(('31'!AC15*'31'!$I$10*1000000))/('31'!Y15*3600)</f>
        <v>0</v>
      </c>
      <c r="AE15" s="60"/>
      <c r="AF15" s="61">
        <f>('31'!AE15/24)*0.454</f>
        <v>0</v>
      </c>
      <c r="AG15" s="60"/>
      <c r="AH15" s="61">
        <f>('31'!AG15/24)*0.454</f>
        <v>0</v>
      </c>
      <c r="AI15" s="60">
        <v>5800.0</v>
      </c>
      <c r="AJ15" s="61">
        <f>('31'!AI15/24)*0.454</f>
        <v>109.7166667</v>
      </c>
      <c r="AK15" s="62"/>
      <c r="AL15" s="63">
        <f>('31'!AK15/24)*0.454</f>
        <v>0</v>
      </c>
      <c r="AM15" s="62"/>
      <c r="AN15" s="63">
        <f>('31'!AM15/24)*0.454</f>
        <v>0</v>
      </c>
      <c r="AO15" s="62"/>
      <c r="AP15" s="63">
        <f>('31'!AO15/24)*0.454</f>
        <v>0</v>
      </c>
    </row>
    <row r="16" ht="18.75" customHeight="1">
      <c r="A16" s="69">
        <v>0.75</v>
      </c>
      <c r="B16" s="76">
        <v>93.0</v>
      </c>
      <c r="C16" s="76">
        <v>17.0</v>
      </c>
      <c r="D16" s="76">
        <v>14.0</v>
      </c>
      <c r="E16" s="76">
        <v>8.0</v>
      </c>
      <c r="F16" s="76">
        <v>15.0</v>
      </c>
      <c r="G16" s="76">
        <v>1.3</v>
      </c>
      <c r="H16" s="76">
        <v>0.8</v>
      </c>
      <c r="I16" s="76">
        <v>0.2</v>
      </c>
      <c r="J16" s="76">
        <v>0.4</v>
      </c>
      <c r="K16" s="76">
        <v>6.9</v>
      </c>
      <c r="L16" s="76">
        <v>6.6</v>
      </c>
      <c r="M16" s="76">
        <v>6.6</v>
      </c>
      <c r="N16" s="76">
        <v>6.2</v>
      </c>
      <c r="O16" s="76">
        <v>3.0</v>
      </c>
      <c r="P16" s="76"/>
      <c r="Q16" s="310"/>
      <c r="R16" s="77">
        <f>'31'!Z23</f>
        <v>1140</v>
      </c>
      <c r="S16" s="76">
        <f>'31'!AB23</f>
        <v>61.43037729</v>
      </c>
      <c r="T16" s="77">
        <f>'31'!Y23</f>
        <v>3428</v>
      </c>
      <c r="U16" s="73" t="str">
        <f>IF('31'!AA23=1,'31'!AR6,'31'!AR7)</f>
        <v>S.A.L</v>
      </c>
      <c r="V16" s="43"/>
      <c r="W16" s="27"/>
      <c r="X16" s="54">
        <v>0.458333333333333</v>
      </c>
      <c r="Y16" s="125">
        <v>3481.0</v>
      </c>
      <c r="Z16" s="60">
        <v>1140.0</v>
      </c>
      <c r="AA16" s="56">
        <v>1.0</v>
      </c>
      <c r="AB16" s="58">
        <f>IF('31'!AA16=1,(('31'!Z16*'31'!$AS$6*'31'!$AT$6)/('31'!Y16*0.0036)),IF('31'!AA16=2,(('31'!Z16*'31'!$AS$7*'31'!$AT$7)/('31'!Y16*0.0036))))</f>
        <v>60.49506847</v>
      </c>
      <c r="AC16" s="58"/>
      <c r="AD16" s="59">
        <f>(('31'!AC16*'31'!$I$10*1000000))/('31'!Y16*3600)</f>
        <v>0</v>
      </c>
      <c r="AE16" s="60"/>
      <c r="AF16" s="61">
        <f>('31'!AE16/24)*0.454</f>
        <v>0</v>
      </c>
      <c r="AG16" s="60"/>
      <c r="AH16" s="61">
        <f>('31'!AG16/24)*0.454</f>
        <v>0</v>
      </c>
      <c r="AI16" s="60">
        <v>5800.0</v>
      </c>
      <c r="AJ16" s="61">
        <f>('31'!AI16/24)*0.454</f>
        <v>109.7166667</v>
      </c>
      <c r="AK16" s="62"/>
      <c r="AL16" s="63">
        <f>('31'!AK16/24)*0.454</f>
        <v>0</v>
      </c>
      <c r="AM16" s="62"/>
      <c r="AN16" s="63">
        <f>('31'!AM16/24)*0.454</f>
        <v>0</v>
      </c>
      <c r="AO16" s="62"/>
      <c r="AP16" s="63">
        <f>('31'!AO16/24)*0.454</f>
        <v>0</v>
      </c>
    </row>
    <row r="17" ht="18.75" customHeight="1">
      <c r="A17" s="69">
        <v>0.833333333333333</v>
      </c>
      <c r="B17" s="76">
        <v>93.0</v>
      </c>
      <c r="C17" s="76">
        <v>17.0</v>
      </c>
      <c r="D17" s="76">
        <v>14.0</v>
      </c>
      <c r="E17" s="76">
        <v>8.0</v>
      </c>
      <c r="F17" s="76">
        <v>14.0</v>
      </c>
      <c r="G17" s="76">
        <v>1.1</v>
      </c>
      <c r="H17" s="76">
        <v>0.8</v>
      </c>
      <c r="I17" s="76">
        <v>0.2</v>
      </c>
      <c r="J17" s="76">
        <v>0.3</v>
      </c>
      <c r="K17" s="76">
        <v>6.9</v>
      </c>
      <c r="L17" s="76">
        <v>6.6</v>
      </c>
      <c r="M17" s="76">
        <v>6.6</v>
      </c>
      <c r="N17" s="76">
        <v>6.2</v>
      </c>
      <c r="O17" s="76">
        <v>3.0</v>
      </c>
      <c r="P17" s="76"/>
      <c r="Q17" s="310"/>
      <c r="R17" s="77">
        <f>'31'!Z25</f>
        <v>1140</v>
      </c>
      <c r="S17" s="76">
        <f>'31'!AB25</f>
        <v>60.28724115</v>
      </c>
      <c r="T17" s="77">
        <f>'31'!Y25</f>
        <v>3493</v>
      </c>
      <c r="U17" s="73" t="str">
        <f>IF('31'!AA25=1,'31'!AR6,'31'!AR7)</f>
        <v>S.A.L</v>
      </c>
      <c r="V17" s="43"/>
      <c r="W17" s="27"/>
      <c r="X17" s="54">
        <v>0.5</v>
      </c>
      <c r="Y17" s="125">
        <v>3532.0</v>
      </c>
      <c r="Z17" s="60">
        <v>1140.0</v>
      </c>
      <c r="AA17" s="56">
        <v>1.0</v>
      </c>
      <c r="AB17" s="58">
        <f>IF('31'!AA17=1,(('31'!Z17*'31'!$AS$6*'31'!$AT$6)/('31'!Y17*0.0036)),IF('31'!AA17=2,(('31'!Z17*'31'!$AS$7*'31'!$AT$7)/('31'!Y17*0.0036))))</f>
        <v>59.6215553</v>
      </c>
      <c r="AC17" s="58"/>
      <c r="AD17" s="59">
        <f>(('31'!AC17*'31'!$I$10*1000000))/('31'!Y17*3600)</f>
        <v>0</v>
      </c>
      <c r="AE17" s="60"/>
      <c r="AF17" s="61">
        <f>('31'!AE17/24)*0.454</f>
        <v>0</v>
      </c>
      <c r="AG17" s="60"/>
      <c r="AH17" s="61">
        <f>('31'!AG17/24)*0.454</f>
        <v>0</v>
      </c>
      <c r="AI17" s="60">
        <v>5800.0</v>
      </c>
      <c r="AJ17" s="61">
        <f>('31'!AI17/24)*0.454</f>
        <v>109.7166667</v>
      </c>
      <c r="AK17" s="62"/>
      <c r="AL17" s="63">
        <f>('31'!AK17/24)*0.454</f>
        <v>0</v>
      </c>
      <c r="AM17" s="62"/>
      <c r="AN17" s="63">
        <f>('31'!AM17/24)*0.454</f>
        <v>0</v>
      </c>
      <c r="AO17" s="62"/>
      <c r="AP17" s="63">
        <f>('31'!AO17/24)*0.454</f>
        <v>0</v>
      </c>
    </row>
    <row r="18" ht="19.5" customHeight="1">
      <c r="A18" s="69">
        <v>0.916666666666667</v>
      </c>
      <c r="B18" s="76">
        <v>92.0</v>
      </c>
      <c r="C18" s="76">
        <v>17.0</v>
      </c>
      <c r="D18" s="76">
        <v>14.0</v>
      </c>
      <c r="E18" s="76">
        <v>8.0</v>
      </c>
      <c r="F18" s="76">
        <v>14.0</v>
      </c>
      <c r="G18" s="76">
        <v>1.0</v>
      </c>
      <c r="H18" s="76">
        <v>0.7</v>
      </c>
      <c r="I18" s="76">
        <v>0.2</v>
      </c>
      <c r="J18" s="76">
        <v>0.3</v>
      </c>
      <c r="K18" s="76">
        <v>6.9</v>
      </c>
      <c r="L18" s="76">
        <v>6.6</v>
      </c>
      <c r="M18" s="76">
        <v>6.6</v>
      </c>
      <c r="N18" s="76">
        <v>6.2</v>
      </c>
      <c r="O18" s="76">
        <v>3.0</v>
      </c>
      <c r="P18" s="76"/>
      <c r="Q18" s="310"/>
      <c r="R18" s="77">
        <f>'31'!Z27</f>
        <v>1140</v>
      </c>
      <c r="S18" s="76">
        <f>'31'!AB27</f>
        <v>59.94401746</v>
      </c>
      <c r="T18" s="77">
        <f>'31'!Y27</f>
        <v>3513</v>
      </c>
      <c r="U18" s="73" t="str">
        <f>IF('31'!AA27=1,'31'!AR6,'31'!AR7)</f>
        <v>S.A.L</v>
      </c>
      <c r="V18" s="16"/>
      <c r="W18" s="18"/>
      <c r="X18" s="54">
        <v>0.541666666666667</v>
      </c>
      <c r="Y18" s="125">
        <v>3462.0</v>
      </c>
      <c r="Z18" s="60">
        <v>1140.0</v>
      </c>
      <c r="AA18" s="56">
        <v>1.0</v>
      </c>
      <c r="AB18" s="58">
        <f>IF('31'!AA18=1,(('31'!Z18*'31'!$AS$6*'31'!$AT$6)/('31'!Y18*0.0036)),IF('31'!AA18=2,(('31'!Z18*'31'!$AS$7*'31'!$AT$7)/('31'!Y18*0.0036))))</f>
        <v>60.82707491</v>
      </c>
      <c r="AC18" s="58"/>
      <c r="AD18" s="59">
        <f>(('31'!AC18*'31'!$I$10*1000000))/('31'!Y18*3600)</f>
        <v>0</v>
      </c>
      <c r="AE18" s="60"/>
      <c r="AF18" s="61">
        <f>('31'!AE18/24)*0.454</f>
        <v>0</v>
      </c>
      <c r="AG18" s="60"/>
      <c r="AH18" s="61">
        <f>('31'!AG18/24)*0.454</f>
        <v>0</v>
      </c>
      <c r="AI18" s="60">
        <v>5800.0</v>
      </c>
      <c r="AJ18" s="61">
        <f>('31'!AI18/24)*0.454</f>
        <v>109.7166667</v>
      </c>
      <c r="AK18" s="62"/>
      <c r="AL18" s="63">
        <f>('31'!AK18/24)*0.454</f>
        <v>0</v>
      </c>
      <c r="AM18" s="62"/>
      <c r="AN18" s="63">
        <f>('31'!AM18/24)*0.454</f>
        <v>0</v>
      </c>
      <c r="AO18" s="62"/>
      <c r="AP18" s="63">
        <f>('31'!AO18/24)*0.454</f>
        <v>0</v>
      </c>
    </row>
    <row r="19" ht="18.75" customHeight="1">
      <c r="A19" s="51" t="s">
        <v>52</v>
      </c>
      <c r="B19" s="92">
        <f>AVERAGE('31'!B7:B18)</f>
        <v>99.91666667</v>
      </c>
      <c r="C19" s="92">
        <f>AVERAGE('31'!C7:C18)</f>
        <v>16.08333333</v>
      </c>
      <c r="D19" s="92">
        <f>AVERAGE('31'!D7:D18)</f>
        <v>14.5</v>
      </c>
      <c r="E19" s="92">
        <f>AVERAGE('31'!E7:E18)</f>
        <v>7.5</v>
      </c>
      <c r="F19" s="92">
        <f>AVERAGE('31'!F7:F18)</f>
        <v>15.41666667</v>
      </c>
      <c r="G19" s="92">
        <f>AVERAGE('31'!G7:G18)</f>
        <v>1.1</v>
      </c>
      <c r="H19" s="92">
        <f>AVERAGE('31'!H7:H18)</f>
        <v>0.9333333333</v>
      </c>
      <c r="I19" s="92">
        <f>AVERAGE('31'!I7:I18)</f>
        <v>0.2916666667</v>
      </c>
      <c r="J19" s="92">
        <f>AVERAGE('31'!J7:J18)</f>
        <v>0.3416666667</v>
      </c>
      <c r="K19" s="92">
        <f>AVERAGE('31'!K7:K18)</f>
        <v>6.9</v>
      </c>
      <c r="L19" s="92">
        <f>AVERAGE('31'!L7:L18)</f>
        <v>6.566666667</v>
      </c>
      <c r="M19" s="92">
        <f>AVERAGE('31'!M7:M18)</f>
        <v>6.566666667</v>
      </c>
      <c r="N19" s="92">
        <f>AVERAGE('31'!N7:N18)</f>
        <v>6.2</v>
      </c>
      <c r="O19" s="92">
        <f>AVERAGE('31'!O7:O18)</f>
        <v>3.075</v>
      </c>
      <c r="P19" s="92" t="str">
        <f>AVERAGE('31'!P7:P18)</f>
        <v>#DIV/0!</v>
      </c>
      <c r="Q19" s="92" t="str">
        <f>AVERAGE('31'!Q7:Q18)</f>
        <v>#DIV/0!</v>
      </c>
      <c r="R19" s="91">
        <f>AVERAGE('31'!R7:R18)</f>
        <v>1133.333333</v>
      </c>
      <c r="S19" s="91">
        <f>AVERAGE('31'!S7:S18)</f>
        <v>60.95127773</v>
      </c>
      <c r="T19" s="95"/>
      <c r="U19" s="96"/>
      <c r="V19" s="97"/>
      <c r="W19" s="97"/>
      <c r="X19" s="54">
        <v>0.583333333333333</v>
      </c>
      <c r="Y19" s="125">
        <v>3382.0</v>
      </c>
      <c r="Z19" s="60">
        <v>1140.0</v>
      </c>
      <c r="AA19" s="56">
        <v>1.0</v>
      </c>
      <c r="AB19" s="58">
        <f>IF('31'!AA19=1,(('31'!Z19*'31'!$AS$6*'31'!$AT$6)/('31'!Y19*0.0036)),IF('31'!AA19=2,(('31'!Z19*'31'!$AS$7*'31'!$AT$7)/('31'!Y19*0.0036))))</f>
        <v>62.2659176</v>
      </c>
      <c r="AC19" s="58"/>
      <c r="AD19" s="59">
        <f>(('31'!AC19*'31'!$I$10*1000000))/('31'!Y19*3600)</f>
        <v>0</v>
      </c>
      <c r="AE19" s="60"/>
      <c r="AF19" s="61">
        <f>('31'!AE19/24)*0.454</f>
        <v>0</v>
      </c>
      <c r="AG19" s="60"/>
      <c r="AH19" s="61">
        <f>('31'!AG19/24)*0.454</f>
        <v>0</v>
      </c>
      <c r="AI19" s="60">
        <v>5800.0</v>
      </c>
      <c r="AJ19" s="61">
        <f>('31'!AI19/24)*0.454</f>
        <v>109.7166667</v>
      </c>
      <c r="AK19" s="62"/>
      <c r="AL19" s="63">
        <f>('31'!AK19/24)*0.454</f>
        <v>0</v>
      </c>
      <c r="AM19" s="62"/>
      <c r="AN19" s="63">
        <f>('31'!AM19/24)*0.454</f>
        <v>0</v>
      </c>
      <c r="AO19" s="62"/>
      <c r="AP19" s="63">
        <f>('31'!AO19/24)*0.454</f>
        <v>0</v>
      </c>
    </row>
    <row r="20" ht="18.75" customHeight="1">
      <c r="A20" s="51" t="s">
        <v>53</v>
      </c>
      <c r="B20" s="92">
        <f>MAX('31'!B7:B18)</f>
        <v>112</v>
      </c>
      <c r="C20" s="92">
        <f>MAX('31'!C7:C18)</f>
        <v>18</v>
      </c>
      <c r="D20" s="92">
        <f>MAX('31'!D7:D18)</f>
        <v>16</v>
      </c>
      <c r="E20" s="92">
        <f>MAX('31'!E7:E18)</f>
        <v>8</v>
      </c>
      <c r="F20" s="92">
        <f>MAX('31'!F7:F18)</f>
        <v>19</v>
      </c>
      <c r="G20" s="92">
        <f>MAX('31'!G7:G18)</f>
        <v>1.3</v>
      </c>
      <c r="H20" s="92">
        <f>MAX('31'!H7:H18)</f>
        <v>1.2</v>
      </c>
      <c r="I20" s="92">
        <f>MAX('31'!I7:I18)</f>
        <v>0.4</v>
      </c>
      <c r="J20" s="92">
        <f>MAX('31'!J7:J18)</f>
        <v>0.4</v>
      </c>
      <c r="K20" s="92">
        <f>MAX('31'!K7:K18)</f>
        <v>6.9</v>
      </c>
      <c r="L20" s="92">
        <f>MAX('31'!L7:L18)</f>
        <v>6.6</v>
      </c>
      <c r="M20" s="92">
        <f>MAX('31'!M7:M18)</f>
        <v>6.6</v>
      </c>
      <c r="N20" s="92">
        <f>MAX('31'!N7:N18)</f>
        <v>6.2</v>
      </c>
      <c r="O20" s="92">
        <f>MAX('31'!O7:O18)</f>
        <v>3.5</v>
      </c>
      <c r="P20" s="92">
        <f>MAX('31'!P7:P18)</f>
        <v>0</v>
      </c>
      <c r="Q20" s="92">
        <f>MAX('31'!Q7:Q18)</f>
        <v>0</v>
      </c>
      <c r="R20" s="92">
        <f>MAX('31'!R7:R18)</f>
        <v>1140</v>
      </c>
      <c r="S20" s="511">
        <f>MAX('31'!S7:S18)</f>
        <v>62.2659176</v>
      </c>
      <c r="T20" s="99"/>
      <c r="U20" s="21"/>
      <c r="X20" s="54">
        <v>0.625</v>
      </c>
      <c r="Y20" s="125">
        <v>3414.0</v>
      </c>
      <c r="Z20" s="60">
        <v>1140.0</v>
      </c>
      <c r="AA20" s="56">
        <v>1.0</v>
      </c>
      <c r="AB20" s="58">
        <f>IF('31'!AA20=1,(('31'!Z20*'31'!$AS$6*'31'!$AT$6)/('31'!Y20*0.0036)),IF('31'!AA20=2,(('31'!Z20*'31'!$AS$7*'31'!$AT$7)/('31'!Y20*0.0036))))</f>
        <v>61.68228862</v>
      </c>
      <c r="AC20" s="58"/>
      <c r="AD20" s="59">
        <f>(('31'!AC20*'31'!$I$10*1000000))/('31'!Y20*3600)</f>
        <v>0</v>
      </c>
      <c r="AE20" s="60"/>
      <c r="AF20" s="61">
        <f>('31'!AE20/24)*0.454</f>
        <v>0</v>
      </c>
      <c r="AG20" s="60"/>
      <c r="AH20" s="61">
        <f>('31'!AG20/24)*0.454</f>
        <v>0</v>
      </c>
      <c r="AI20" s="60">
        <v>5800.0</v>
      </c>
      <c r="AJ20" s="61">
        <f>('31'!AI20/24)*0.454</f>
        <v>109.7166667</v>
      </c>
      <c r="AK20" s="62"/>
      <c r="AL20" s="63">
        <f>('31'!AK20/24)*0.454</f>
        <v>0</v>
      </c>
      <c r="AM20" s="62"/>
      <c r="AN20" s="63">
        <f>('31'!AM20/24)*0.454</f>
        <v>0</v>
      </c>
      <c r="AO20" s="62"/>
      <c r="AP20" s="63">
        <f>('31'!AO20/24)*0.454</f>
        <v>0</v>
      </c>
    </row>
    <row r="21" ht="19.5" customHeight="1">
      <c r="A21" s="51" t="s">
        <v>54</v>
      </c>
      <c r="B21" s="92">
        <f>MIN('31'!B7:B18)</f>
        <v>92</v>
      </c>
      <c r="C21" s="92">
        <f>MIN('31'!C7:C18)</f>
        <v>15</v>
      </c>
      <c r="D21" s="92">
        <f>MIN('31'!D7:D18)</f>
        <v>14</v>
      </c>
      <c r="E21" s="92">
        <f>MIN('31'!E7:E18)</f>
        <v>7</v>
      </c>
      <c r="F21" s="92">
        <f>MIN('31'!F7:F18)</f>
        <v>14</v>
      </c>
      <c r="G21" s="92">
        <f>MIN('31'!G7:G18)</f>
        <v>1</v>
      </c>
      <c r="H21" s="92">
        <f>MIN('31'!H7:H18)</f>
        <v>0.7</v>
      </c>
      <c r="I21" s="92">
        <f>MIN('31'!I7:I18)</f>
        <v>0.2</v>
      </c>
      <c r="J21" s="92">
        <f>MIN('31'!J7:J18)</f>
        <v>0.3</v>
      </c>
      <c r="K21" s="92">
        <f>MIN('31'!K7:K18)</f>
        <v>6.9</v>
      </c>
      <c r="L21" s="92">
        <f>MIN('31'!L7:L18)</f>
        <v>6.5</v>
      </c>
      <c r="M21" s="92">
        <f>MIN('31'!M7:M18)</f>
        <v>6.5</v>
      </c>
      <c r="N21" s="92">
        <f>MIN('31'!N7:N18)</f>
        <v>6.2</v>
      </c>
      <c r="O21" s="92">
        <f>MIN('31'!O7:O18)</f>
        <v>3</v>
      </c>
      <c r="P21" s="92">
        <f>MIN('31'!P7:P18)</f>
        <v>0</v>
      </c>
      <c r="Q21" s="92">
        <f>MIN('31'!Q7:Q18)</f>
        <v>0</v>
      </c>
      <c r="R21" s="92">
        <f>MIN('31'!R7:R18)</f>
        <v>1120</v>
      </c>
      <c r="S21" s="92">
        <f>MIN('31'!S7:S18)</f>
        <v>59.6215553</v>
      </c>
      <c r="T21" s="99"/>
      <c r="U21" s="21"/>
      <c r="X21" s="54">
        <v>0.666666666666667</v>
      </c>
      <c r="Y21" s="125">
        <v>3390.0</v>
      </c>
      <c r="Z21" s="60">
        <v>1140.0</v>
      </c>
      <c r="AA21" s="56">
        <v>1.0</v>
      </c>
      <c r="AB21" s="58">
        <f>IF('31'!AA21=1,(('31'!Z21*'31'!$AS$6*'31'!$AT$6)/('31'!Y21*0.0036)),IF('31'!AA21=2,(('31'!Z21*'31'!$AS$7*'31'!$AT$7)/('31'!Y21*0.0036))))</f>
        <v>62.11897738</v>
      </c>
      <c r="AC21" s="58"/>
      <c r="AD21" s="59">
        <f>(('31'!AC21*'31'!$I$10*1000000))/('31'!Y21*3600)</f>
        <v>0</v>
      </c>
      <c r="AE21" s="60"/>
      <c r="AF21" s="61">
        <f>('31'!AE21/24)*0.454</f>
        <v>0</v>
      </c>
      <c r="AG21" s="60"/>
      <c r="AH21" s="61">
        <f>('31'!AG21/24)*0.454</f>
        <v>0</v>
      </c>
      <c r="AI21" s="60">
        <v>5800.0</v>
      </c>
      <c r="AJ21" s="61">
        <f>('31'!AI21/24)*0.454</f>
        <v>109.7166667</v>
      </c>
      <c r="AK21" s="62"/>
      <c r="AL21" s="63">
        <f>('31'!AK21/24)*0.454</f>
        <v>0</v>
      </c>
      <c r="AM21" s="62"/>
      <c r="AN21" s="63">
        <f>('31'!AM21/24)*0.454</f>
        <v>0</v>
      </c>
      <c r="AO21" s="62"/>
      <c r="AP21" s="63">
        <f>('31'!AO21/24)*0.454</f>
        <v>0</v>
      </c>
    </row>
    <row r="22" ht="19.5" customHeight="1">
      <c r="A22" s="102"/>
      <c r="B22" s="103"/>
      <c r="C22" s="103"/>
      <c r="D22" s="103"/>
      <c r="E22" s="10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 t="s">
        <v>55</v>
      </c>
      <c r="S22" s="41"/>
      <c r="T22" s="99"/>
      <c r="U22" s="21"/>
      <c r="X22" s="54">
        <v>0.708333333333333</v>
      </c>
      <c r="Y22" s="125">
        <v>3377.0</v>
      </c>
      <c r="Z22" s="60">
        <v>1140.0</v>
      </c>
      <c r="AA22" s="56">
        <v>1.0</v>
      </c>
      <c r="AB22" s="58">
        <f>IF('31'!AA22=1,(('31'!Z22*'31'!$AS$6*'31'!$AT$6)/('31'!Y22*0.0036)),IF('31'!AA22=2,(('31'!Z22*'31'!$AS$7*'31'!$AT$7)/('31'!Y22*0.0036))))</f>
        <v>62.35810878</v>
      </c>
      <c r="AC22" s="58"/>
      <c r="AD22" s="59">
        <f>(('31'!AC22*'31'!$I$10*1000000))/('31'!Y22*3600)</f>
        <v>0</v>
      </c>
      <c r="AE22" s="60"/>
      <c r="AF22" s="61">
        <f>('31'!AE22/24)*0.454</f>
        <v>0</v>
      </c>
      <c r="AG22" s="60"/>
      <c r="AH22" s="61">
        <f>('31'!AG22/24)*0.454</f>
        <v>0</v>
      </c>
      <c r="AI22" s="60">
        <v>5800.0</v>
      </c>
      <c r="AJ22" s="61">
        <f>('31'!AI22/24)*0.454</f>
        <v>109.7166667</v>
      </c>
      <c r="AK22" s="62"/>
      <c r="AL22" s="63">
        <f>('31'!AK22/24)*0.454</f>
        <v>0</v>
      </c>
      <c r="AM22" s="62"/>
      <c r="AN22" s="63">
        <f>('31'!AM22/24)*0.454</f>
        <v>0</v>
      </c>
      <c r="AO22" s="62"/>
      <c r="AP22" s="63">
        <f>('31'!AO22/24)*0.454</f>
        <v>0</v>
      </c>
    </row>
    <row r="23" ht="18.75" customHeight="1">
      <c r="A23" s="52" t="s">
        <v>56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77">
        <v>440.0</v>
      </c>
      <c r="S23" s="107" t="s">
        <v>57</v>
      </c>
      <c r="T23" s="99"/>
      <c r="U23" s="21"/>
      <c r="X23" s="54">
        <v>0.75</v>
      </c>
      <c r="Y23" s="125">
        <v>3428.0</v>
      </c>
      <c r="Z23" s="60">
        <v>1140.0</v>
      </c>
      <c r="AA23" s="56">
        <v>1.0</v>
      </c>
      <c r="AB23" s="58">
        <f>IF('31'!AA23=1,(('31'!Z23*'31'!$AS$6*'31'!$AT$6)/('31'!Y23*0.0036)),IF('31'!AA23=2,(('31'!Z23*'31'!$AS$7*'31'!$AT$7)/('31'!Y23*0.0036))))</f>
        <v>61.43037729</v>
      </c>
      <c r="AC23" s="58"/>
      <c r="AD23" s="59">
        <f>(('31'!AC23*'31'!$I$10*1000000))/('31'!Y23*3600)</f>
        <v>0</v>
      </c>
      <c r="AE23" s="60"/>
      <c r="AF23" s="61">
        <f>('31'!AE23/24)*0.454</f>
        <v>0</v>
      </c>
      <c r="AG23" s="60"/>
      <c r="AH23" s="61">
        <f>('31'!AG23/24)*0.454</f>
        <v>0</v>
      </c>
      <c r="AI23" s="60">
        <v>5800.0</v>
      </c>
      <c r="AJ23" s="61">
        <f>('31'!AI23/24)*0.454</f>
        <v>109.7166667</v>
      </c>
      <c r="AK23" s="62"/>
      <c r="AL23" s="63">
        <f>('31'!AK23/24)*0.454</f>
        <v>0</v>
      </c>
      <c r="AM23" s="62"/>
      <c r="AN23" s="63">
        <f>('31'!AM23/24)*0.454</f>
        <v>0</v>
      </c>
      <c r="AO23" s="62"/>
      <c r="AP23" s="63">
        <f>('31'!AO23/24)*0.454</f>
        <v>0</v>
      </c>
    </row>
    <row r="24" ht="19.5" customHeight="1">
      <c r="A24" s="51" t="s">
        <v>7</v>
      </c>
      <c r="B24" s="108">
        <v>1.0</v>
      </c>
      <c r="C24" s="108">
        <v>2.0</v>
      </c>
      <c r="D24" s="108">
        <v>3.0</v>
      </c>
      <c r="E24" s="108">
        <v>4.0</v>
      </c>
      <c r="F24" s="108">
        <v>5.0</v>
      </c>
      <c r="G24" s="108">
        <v>6.0</v>
      </c>
      <c r="H24" s="108">
        <v>7.0</v>
      </c>
      <c r="I24" s="108">
        <v>8.0</v>
      </c>
      <c r="J24" s="108">
        <v>9.0</v>
      </c>
      <c r="K24" s="108">
        <v>10.0</v>
      </c>
      <c r="L24" s="108">
        <v>11.0</v>
      </c>
      <c r="M24" s="108">
        <v>12.0</v>
      </c>
      <c r="N24" s="108">
        <v>13.0</v>
      </c>
      <c r="O24" s="108">
        <v>14.0</v>
      </c>
      <c r="P24" s="108">
        <v>15.0</v>
      </c>
      <c r="Q24" s="109">
        <v>16.0</v>
      </c>
      <c r="R24" s="77">
        <v>0.0</v>
      </c>
      <c r="S24" s="107" t="s">
        <v>58</v>
      </c>
      <c r="T24" s="39"/>
      <c r="U24" s="41"/>
      <c r="X24" s="54">
        <v>0.791666666666667</v>
      </c>
      <c r="Y24" s="125">
        <v>3468.0</v>
      </c>
      <c r="Z24" s="60">
        <v>1140.0</v>
      </c>
      <c r="AA24" s="56">
        <v>1.0</v>
      </c>
      <c r="AB24" s="57">
        <f>IF('31'!AA24=1,(('31'!Z24*'31'!$AS$6*'31'!$AT$6)/('31'!Y24*0.0036)),IF('31'!AA24=2,(('31'!Z24*'31'!$AS$7*'31'!$AT$7)/('31'!Y24*0.0036))))</f>
        <v>60.72183775</v>
      </c>
      <c r="AC24" s="58"/>
      <c r="AD24" s="59">
        <f>(('31'!AC24*'31'!$I$10*1000000))/('31'!Y24*3600)</f>
        <v>0</v>
      </c>
      <c r="AE24" s="60"/>
      <c r="AF24" s="311">
        <f>('31'!AE24/24)*0.454</f>
        <v>0</v>
      </c>
      <c r="AG24" s="125"/>
      <c r="AH24" s="311">
        <f>('31'!AG24/24)*0.454</f>
        <v>0</v>
      </c>
      <c r="AI24" s="60">
        <v>5800.0</v>
      </c>
      <c r="AJ24" s="61">
        <f>('31'!AI24/24)*0.454</f>
        <v>109.7166667</v>
      </c>
      <c r="AK24" s="62"/>
      <c r="AL24" s="110">
        <f>('31'!AK24/24)*0.454</f>
        <v>0</v>
      </c>
      <c r="AM24" s="62"/>
      <c r="AN24" s="110">
        <f>('31'!AM24/24)*0.454</f>
        <v>0</v>
      </c>
      <c r="AO24" s="62"/>
      <c r="AP24" s="63">
        <f>('31'!AO24/24)*0.454</f>
        <v>0</v>
      </c>
    </row>
    <row r="25" ht="19.5" customHeight="1">
      <c r="A25" s="111">
        <v>0.416666666666667</v>
      </c>
      <c r="B25" s="108">
        <v>0.36</v>
      </c>
      <c r="C25" s="108">
        <v>0.32</v>
      </c>
      <c r="D25" s="396">
        <v>0.29</v>
      </c>
      <c r="E25" s="396">
        <v>0.25</v>
      </c>
      <c r="F25" s="396">
        <v>0.37</v>
      </c>
      <c r="G25" s="396"/>
      <c r="H25" s="396">
        <v>0.32</v>
      </c>
      <c r="I25" s="396">
        <v>0.34</v>
      </c>
      <c r="J25" s="396"/>
      <c r="K25" s="396">
        <v>0.32</v>
      </c>
      <c r="L25" s="396">
        <v>0.26</v>
      </c>
      <c r="M25" s="396">
        <v>0.34</v>
      </c>
      <c r="N25" s="512">
        <v>0.25</v>
      </c>
      <c r="O25" s="396">
        <v>0.28</v>
      </c>
      <c r="P25" s="396">
        <v>0.29</v>
      </c>
      <c r="Q25" s="396"/>
      <c r="R25" s="112" t="str">
        <f t="shared" ref="R25:R26" si="1">#DIV/0!</f>
        <v>#DIV/0!</v>
      </c>
      <c r="S25" s="113"/>
      <c r="T25" s="314" t="s">
        <v>0</v>
      </c>
      <c r="U25" s="361">
        <f>ESCALA!$A$33</f>
        <v>43952</v>
      </c>
      <c r="X25" s="54">
        <v>0.833333333333333</v>
      </c>
      <c r="Y25" s="125">
        <v>3493.0</v>
      </c>
      <c r="Z25" s="60">
        <v>1140.0</v>
      </c>
      <c r="AA25" s="56">
        <v>1.0</v>
      </c>
      <c r="AB25" s="58">
        <f>IF('31'!AA25=1,(('31'!Z25*'31'!$AS$6*'31'!$AT$6)/('31'!Y25*0.0036)),IF('31'!AA25=2,(('31'!Z25*'31'!$AS$7*'31'!$AT$7)/('31'!Y25*0.0036))))</f>
        <v>60.28724115</v>
      </c>
      <c r="AC25" s="58"/>
      <c r="AD25" s="59">
        <f>(('31'!AC25*'31'!$I$10*1000000))/('31'!Y25*3600)</f>
        <v>0</v>
      </c>
      <c r="AE25" s="60"/>
      <c r="AF25" s="61">
        <f>('31'!AE25/24)*0.454</f>
        <v>0</v>
      </c>
      <c r="AG25" s="60"/>
      <c r="AH25" s="61">
        <f>('31'!AG25/24)*0.454</f>
        <v>0</v>
      </c>
      <c r="AI25" s="60">
        <v>5800.0</v>
      </c>
      <c r="AJ25" s="61">
        <f>('31'!AI25/24)*0.454</f>
        <v>109.7166667</v>
      </c>
      <c r="AK25" s="62"/>
      <c r="AL25" s="63">
        <f>('31'!AK25/24)*0.454</f>
        <v>0</v>
      </c>
      <c r="AM25" s="62"/>
      <c r="AN25" s="63">
        <f>('31'!AM25/24)*0.454</f>
        <v>0</v>
      </c>
      <c r="AO25" s="62"/>
      <c r="AP25" s="63">
        <f>('31'!AO25/24)*0.454</f>
        <v>0</v>
      </c>
    </row>
    <row r="26" ht="19.5" customHeight="1">
      <c r="A26" s="111">
        <v>0.666666666666667</v>
      </c>
      <c r="B26" s="108"/>
      <c r="C26" s="108"/>
      <c r="D26" s="10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112" t="str">
        <f t="shared" si="1"/>
        <v>#DIV/0!</v>
      </c>
      <c r="S26" s="116"/>
      <c r="T26" s="117"/>
      <c r="U26" s="118"/>
      <c r="X26" s="54">
        <v>0.875</v>
      </c>
      <c r="Y26" s="125">
        <v>3524.0</v>
      </c>
      <c r="Z26" s="60">
        <v>1140.0</v>
      </c>
      <c r="AA26" s="56">
        <v>1.0</v>
      </c>
      <c r="AB26" s="58">
        <f>IF('31'!AA26=1,(('31'!Z26*'31'!$AS$6*'31'!$AT$6)/('31'!Y26*0.0036)),IF('31'!AA26=2,(('31'!Z26*'31'!$AS$7*'31'!$AT$7)/('31'!Y26*0.0036))))</f>
        <v>59.75690503</v>
      </c>
      <c r="AC26" s="58"/>
      <c r="AD26" s="59">
        <f>(('31'!AC26*'31'!$I$10*1000000))/('31'!Y26*3600)</f>
        <v>0</v>
      </c>
      <c r="AE26" s="60"/>
      <c r="AF26" s="61">
        <f>('31'!AE26/24)*0.454</f>
        <v>0</v>
      </c>
      <c r="AG26" s="60"/>
      <c r="AH26" s="61">
        <f>('31'!AG26/24)*0.454</f>
        <v>0</v>
      </c>
      <c r="AI26" s="60">
        <v>5800.0</v>
      </c>
      <c r="AJ26" s="61">
        <f>('31'!AI26/24)*0.454</f>
        <v>109.7166667</v>
      </c>
      <c r="AK26" s="62"/>
      <c r="AL26" s="63">
        <f>('31'!AK26/24)*0.454</f>
        <v>0</v>
      </c>
      <c r="AM26" s="62"/>
      <c r="AN26" s="63">
        <f>('31'!AM26/24)*0.454</f>
        <v>0</v>
      </c>
      <c r="AO26" s="62"/>
      <c r="AP26" s="63">
        <f>('31'!AO26/24)*0.454</f>
        <v>0</v>
      </c>
    </row>
    <row r="27" ht="19.5" customHeight="1">
      <c r="A27" s="119" t="s">
        <v>52</v>
      </c>
      <c r="B27" s="120" t="str">
        <f t="shared" ref="B27:Q27" si="2">#DIV/0!</f>
        <v>#DIV/0!</v>
      </c>
      <c r="C27" s="120" t="str">
        <f t="shared" si="2"/>
        <v>#DIV/0!</v>
      </c>
      <c r="D27" s="120" t="str">
        <f t="shared" si="2"/>
        <v>#DIV/0!</v>
      </c>
      <c r="E27" s="92" t="str">
        <f t="shared" si="2"/>
        <v>#DIV/0!</v>
      </c>
      <c r="F27" s="92" t="str">
        <f t="shared" si="2"/>
        <v>#DIV/0!</v>
      </c>
      <c r="G27" s="92" t="str">
        <f t="shared" si="2"/>
        <v>#DIV/0!</v>
      </c>
      <c r="H27" s="92" t="str">
        <f t="shared" si="2"/>
        <v>#DIV/0!</v>
      </c>
      <c r="I27" s="92" t="str">
        <f t="shared" si="2"/>
        <v>#DIV/0!</v>
      </c>
      <c r="J27" s="92" t="str">
        <f t="shared" si="2"/>
        <v>#DIV/0!</v>
      </c>
      <c r="K27" s="92" t="str">
        <f t="shared" si="2"/>
        <v>#DIV/0!</v>
      </c>
      <c r="L27" s="92" t="str">
        <f t="shared" si="2"/>
        <v>#DIV/0!</v>
      </c>
      <c r="M27" s="92" t="str">
        <f t="shared" si="2"/>
        <v>#DIV/0!</v>
      </c>
      <c r="N27" s="92" t="str">
        <f t="shared" si="2"/>
        <v>#DIV/0!</v>
      </c>
      <c r="O27" s="92" t="str">
        <f t="shared" si="2"/>
        <v>#DIV/0!</v>
      </c>
      <c r="P27" s="92" t="str">
        <f t="shared" si="2"/>
        <v>#DIV/0!</v>
      </c>
      <c r="Q27" s="98" t="str">
        <f t="shared" si="2"/>
        <v>#DIV/0!</v>
      </c>
      <c r="R27" s="316"/>
      <c r="S27" s="127"/>
      <c r="T27" s="128"/>
      <c r="U27" s="124"/>
      <c r="X27" s="54">
        <v>0.916666666666667</v>
      </c>
      <c r="Y27" s="125">
        <v>3513.0</v>
      </c>
      <c r="Z27" s="60">
        <v>1140.0</v>
      </c>
      <c r="AA27" s="56">
        <v>1.0</v>
      </c>
      <c r="AB27" s="58">
        <f>IF('31'!AA27=1,(('31'!Z27*'31'!$AS$6*'31'!$AT$6)/('31'!Y27*0.0036)),IF('31'!AA27=2,(('31'!Z27*'31'!$AS$7*'31'!$AT$7)/('31'!Y27*0.0036))))</f>
        <v>59.94401746</v>
      </c>
      <c r="AC27" s="58"/>
      <c r="AD27" s="59">
        <f>(('31'!AC27*'31'!$I$10*1000000))/('31'!Y27*3600)</f>
        <v>0</v>
      </c>
      <c r="AE27" s="60"/>
      <c r="AF27" s="61">
        <f>('31'!AE27/24)*0.454</f>
        <v>0</v>
      </c>
      <c r="AG27" s="60"/>
      <c r="AH27" s="61">
        <f>('31'!AG27/24)*0.454</f>
        <v>0</v>
      </c>
      <c r="AI27" s="60">
        <v>5800.0</v>
      </c>
      <c r="AJ27" s="61">
        <f>('31'!AI27/24)*0.454</f>
        <v>109.7166667</v>
      </c>
      <c r="AK27" s="62"/>
      <c r="AL27" s="63">
        <f>('31'!AK27/24)*0.454</f>
        <v>0</v>
      </c>
      <c r="AM27" s="62"/>
      <c r="AN27" s="63">
        <f>('31'!AM27/24)*0.454</f>
        <v>0</v>
      </c>
      <c r="AO27" s="62"/>
      <c r="AP27" s="63">
        <f>('31'!AO27/24)*0.454</f>
        <v>0</v>
      </c>
    </row>
    <row r="28" ht="19.5" customHeight="1">
      <c r="A28" s="126" t="s">
        <v>59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X28" s="54">
        <v>0.958333333333333</v>
      </c>
      <c r="Y28" s="125">
        <v>3544.0</v>
      </c>
      <c r="Z28" s="60">
        <v>1140.0</v>
      </c>
      <c r="AA28" s="56">
        <v>1.0</v>
      </c>
      <c r="AB28" s="58">
        <f>IF('31'!AA28=1,(('31'!Z28*'31'!$AS$6*'31'!$AT$6)/('31'!Y28*0.0036)),IF('31'!AA28=2,(('31'!Z28*'31'!$AS$7*'31'!$AT$7)/('31'!Y28*0.0036))))</f>
        <v>59.41967645</v>
      </c>
      <c r="AC28" s="58"/>
      <c r="AD28" s="59">
        <f>(('31'!AC28*'31'!$I$10*1000000))/('31'!Y28*3600)</f>
        <v>0</v>
      </c>
      <c r="AE28" s="60"/>
      <c r="AF28" s="61">
        <f>('31'!AE28/24)*0.454</f>
        <v>0</v>
      </c>
      <c r="AG28" s="60"/>
      <c r="AH28" s="61">
        <f>('31'!AG28/24)*0.454</f>
        <v>0</v>
      </c>
      <c r="AI28" s="60">
        <v>5800.0</v>
      </c>
      <c r="AJ28" s="61">
        <f>('31'!AI28/24)*0.454</f>
        <v>109.7166667</v>
      </c>
      <c r="AK28" s="62"/>
      <c r="AL28" s="63">
        <f>('31'!AK28/24)*0.454</f>
        <v>0</v>
      </c>
      <c r="AM28" s="62"/>
      <c r="AN28" s="63">
        <f>('31'!AM28/24)*0.454</f>
        <v>0</v>
      </c>
      <c r="AO28" s="62"/>
      <c r="AP28" s="63">
        <f>('31'!AO28/24)*0.454</f>
        <v>0</v>
      </c>
    </row>
    <row r="29" ht="18.75" customHeight="1">
      <c r="A29" s="33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X29" s="54">
        <v>1.0</v>
      </c>
      <c r="Y29" s="125">
        <v>3494.0</v>
      </c>
      <c r="Z29" s="60">
        <v>1140.0</v>
      </c>
      <c r="AA29" s="56">
        <v>1.0</v>
      </c>
      <c r="AB29" s="58">
        <f>IF('31'!AA29=1,(('31'!Z29*'31'!$AS$6*'31'!$AT$6)/('31'!Y29*0.0036)),IF('31'!AA29=2,(('31'!Z29*'31'!$AS$7*'31'!$AT$7)/('31'!Y29*0.0036))))</f>
        <v>60.26998664</v>
      </c>
      <c r="AC29" s="58"/>
      <c r="AD29" s="59">
        <f>(('31'!AC29*'31'!$I$10*1000000))/('31'!Y29*3600)</f>
        <v>0</v>
      </c>
      <c r="AE29" s="60"/>
      <c r="AF29" s="61">
        <f>('31'!AE29/24)*0.454</f>
        <v>0</v>
      </c>
      <c r="AG29" s="60"/>
      <c r="AH29" s="61">
        <f>('31'!AG29/24)*0.454</f>
        <v>0</v>
      </c>
      <c r="AI29" s="60">
        <v>5800.0</v>
      </c>
      <c r="AJ29" s="61">
        <f>('31'!AI29/24)*0.454</f>
        <v>109.7166667</v>
      </c>
      <c r="AK29" s="62"/>
      <c r="AL29" s="63">
        <f>('31'!AK29/24)*0.454</f>
        <v>0</v>
      </c>
      <c r="AM29" s="62"/>
      <c r="AN29" s="63">
        <f>('31'!AM29/24)*0.454</f>
        <v>0</v>
      </c>
      <c r="AO29" s="62"/>
      <c r="AP29" s="63">
        <f>('31'!AO29/24)*0.454</f>
        <v>0</v>
      </c>
    </row>
    <row r="30" ht="18.75" customHeight="1">
      <c r="A30" s="43"/>
      <c r="U30" s="27"/>
      <c r="X30" s="130" t="s">
        <v>55</v>
      </c>
      <c r="Y30" s="131">
        <f>SUM('31'!Y6:Y29)*3.6</f>
        <v>297500.4</v>
      </c>
      <c r="Z30" s="132">
        <f>SUM('31'!Z6:Z29)</f>
        <v>27240</v>
      </c>
      <c r="AA30" s="133"/>
      <c r="AB30" s="132"/>
      <c r="AC30" s="133"/>
      <c r="AD30" s="132"/>
      <c r="AE30" s="60"/>
      <c r="AF30" s="61">
        <f>SUM('31'!AF6:AF29)</f>
        <v>0</v>
      </c>
      <c r="AG30" s="60"/>
      <c r="AH30" s="61">
        <f>SUM('31'!AH6:AH29)</f>
        <v>0</v>
      </c>
      <c r="AI30" s="60"/>
      <c r="AJ30" s="61">
        <f>SUM('31'!AJ6:AJ29)</f>
        <v>2633.2</v>
      </c>
      <c r="AK30" s="62"/>
      <c r="AL30" s="63">
        <f>SUM('31'!AL6:AL29)</f>
        <v>0</v>
      </c>
      <c r="AM30" s="62"/>
      <c r="AN30" s="63">
        <f>SUM('31'!AN6:AN29)</f>
        <v>0</v>
      </c>
      <c r="AO30" s="62"/>
      <c r="AP30" s="63">
        <f>SUM('31'!AP6:AP29)</f>
        <v>0</v>
      </c>
    </row>
    <row r="31" ht="15.0" customHeight="1">
      <c r="A31" s="43"/>
      <c r="U31" s="27"/>
      <c r="X31" s="134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6"/>
      <c r="AK31" s="137"/>
      <c r="AL31" s="137"/>
      <c r="AM31" s="137"/>
      <c r="AN31" s="137"/>
      <c r="AO31" s="137"/>
      <c r="AP31" s="137"/>
    </row>
    <row r="32" ht="15.0" customHeight="1">
      <c r="A32" s="43"/>
      <c r="U32" s="27"/>
      <c r="X32" s="138" t="s">
        <v>60</v>
      </c>
      <c r="Y32" s="80"/>
      <c r="Z32" s="132">
        <f>SUMIF('31'!AA6:AA29,"=1",'31'!Z6:Z29)</f>
        <v>27240</v>
      </c>
      <c r="AA32" s="132">
        <f>'31'!Z32*'31'!AS6</f>
        <v>36229.2</v>
      </c>
      <c r="AB32" s="139">
        <f>SUMIF('31'!$AA$6:$AA$29,"=1",'31'!$AB$6:$AB$29)/COUNTIF('31'!$AA$6:$AA$29,"=1")</f>
        <v>60.89964075</v>
      </c>
      <c r="AC32" s="140">
        <f>SUMIF('31'!AA6:AA29,"=1",'31'!AC6:AC29)</f>
        <v>0</v>
      </c>
      <c r="AD32" s="140"/>
      <c r="AE32" s="141"/>
      <c r="AF32" s="142"/>
      <c r="AG32" s="141"/>
      <c r="AH32" s="142"/>
      <c r="AI32" s="141"/>
      <c r="AJ32" s="143"/>
      <c r="AK32" s="144"/>
      <c r="AL32" s="144"/>
      <c r="AM32" s="144"/>
      <c r="AN32" s="144"/>
      <c r="AO32" s="144"/>
      <c r="AP32" s="144"/>
    </row>
    <row r="33" ht="15.0" customHeight="1">
      <c r="A33" s="43"/>
      <c r="U33" s="27"/>
      <c r="X33" s="138" t="s">
        <v>61</v>
      </c>
      <c r="Y33" s="80"/>
      <c r="Z33" s="132">
        <f>SUMIF('31'!AA6:AA29,"=2",'31'!Z6:Z29)</f>
        <v>0</v>
      </c>
      <c r="AA33" s="132">
        <f>'31'!Z33*'31'!AS7</f>
        <v>0</v>
      </c>
      <c r="AB33" s="139" t="str">
        <f>SUMIF('31'!$AA$6:$AA$29,"=2",'31'!$AB$6:$AB$29)/COUNTIF('31'!$AA$6:$AA$29,"=2")</f>
        <v>#DIV/0!</v>
      </c>
      <c r="AC33" s="145">
        <f>SUMIF('31'!AA6:AA29,"=2",'31'!AC6:AC29)</f>
        <v>0</v>
      </c>
      <c r="AD33" s="145"/>
      <c r="AE33" s="146"/>
      <c r="AF33" s="147"/>
      <c r="AG33" s="146"/>
      <c r="AH33" s="147"/>
      <c r="AI33" s="146"/>
      <c r="AJ33" s="148"/>
      <c r="AK33" s="149"/>
      <c r="AL33" s="149"/>
      <c r="AM33" s="149"/>
      <c r="AN33" s="149"/>
      <c r="AO33" s="149"/>
      <c r="AP33" s="149"/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X34" s="150" t="s">
        <v>52</v>
      </c>
      <c r="Y34" s="151">
        <f>AVERAGE('31'!Y6:Y29)</f>
        <v>3443.291667</v>
      </c>
      <c r="Z34" s="56">
        <f>AVERAGE('31'!Z6:Z29)</f>
        <v>1135</v>
      </c>
      <c r="AA34" s="152"/>
      <c r="AB34" s="152"/>
      <c r="AC34" s="153" t="str">
        <f>SUM('31'!AC6:AC29)/COUNTIF('31'!AC6:AC29,"&lt;&gt;0")</f>
        <v>#DIV/0!</v>
      </c>
      <c r="AD34" s="154" t="str">
        <f>SUM('31'!AD6:AD29)/COUNTIF('31'!AD6:AD29,"&lt;&gt;0")</f>
        <v>#DIV/0!</v>
      </c>
      <c r="AE34" s="133"/>
      <c r="AF34" s="153">
        <f>AVERAGE('31'!AF6:AF29)</f>
        <v>0</v>
      </c>
      <c r="AG34" s="153"/>
      <c r="AH34" s="153">
        <f>AVERAGE('31'!AH6:AH29)</f>
        <v>0</v>
      </c>
      <c r="AI34" s="153"/>
      <c r="AJ34" s="153">
        <f>'31'!AJ30/24</f>
        <v>109.7166667</v>
      </c>
      <c r="AK34" s="153"/>
      <c r="AL34" s="153">
        <f>AVERAGE('31'!AL6:AL29)</f>
        <v>0</v>
      </c>
      <c r="AM34" s="153"/>
      <c r="AN34" s="153">
        <f>AVERAGE('31'!AN6:AN29)</f>
        <v>0</v>
      </c>
      <c r="AO34" s="153"/>
      <c r="AP34" s="153">
        <f>AVERAGE('31'!AP6:AP29)</f>
        <v>0</v>
      </c>
    </row>
    <row r="35" ht="15.75" customHeight="1">
      <c r="A35" s="156"/>
      <c r="B35" s="119"/>
      <c r="C35" s="52" t="s">
        <v>62</v>
      </c>
      <c r="D35" s="106"/>
      <c r="E35" s="157"/>
      <c r="F35" s="52" t="s">
        <v>63</v>
      </c>
      <c r="G35" s="106"/>
      <c r="H35" s="157"/>
      <c r="I35" s="52" t="s">
        <v>64</v>
      </c>
      <c r="J35" s="106"/>
      <c r="K35" s="157"/>
      <c r="L35" s="52" t="s">
        <v>65</v>
      </c>
      <c r="M35" s="106"/>
      <c r="N35" s="157"/>
      <c r="O35" s="156"/>
      <c r="P35" s="156"/>
      <c r="Q35" s="156"/>
      <c r="R35" s="156"/>
      <c r="S35" s="156"/>
      <c r="T35" s="156"/>
      <c r="U35" s="364" t="s">
        <v>15</v>
      </c>
      <c r="X35" s="159" t="s">
        <v>66</v>
      </c>
      <c r="Y35" s="128"/>
      <c r="Z35" s="160"/>
      <c r="AA35" s="159" t="s">
        <v>67</v>
      </c>
      <c r="AB35" s="128"/>
      <c r="AJ35" s="317" t="s">
        <v>68</v>
      </c>
      <c r="AM35" s="27"/>
      <c r="AO35" s="317" t="s">
        <v>69</v>
      </c>
      <c r="AR35" s="27"/>
    </row>
    <row r="36" ht="15.75" customHeight="1">
      <c r="A36" s="156"/>
      <c r="B36" s="51" t="s">
        <v>7</v>
      </c>
      <c r="C36" s="108" t="s">
        <v>40</v>
      </c>
      <c r="D36" s="108" t="s">
        <v>70</v>
      </c>
      <c r="E36" s="108" t="s">
        <v>71</v>
      </c>
      <c r="F36" s="108" t="s">
        <v>40</v>
      </c>
      <c r="G36" s="108" t="s">
        <v>72</v>
      </c>
      <c r="H36" s="108" t="s">
        <v>71</v>
      </c>
      <c r="I36" s="108" t="s">
        <v>40</v>
      </c>
      <c r="J36" s="108" t="s">
        <v>72</v>
      </c>
      <c r="K36" s="108" t="s">
        <v>71</v>
      </c>
      <c r="L36" s="109" t="s">
        <v>71</v>
      </c>
      <c r="M36" s="106"/>
      <c r="N36" s="157"/>
      <c r="O36" s="156"/>
      <c r="P36" s="156"/>
      <c r="Q36" s="156"/>
      <c r="R36" s="156"/>
      <c r="S36" s="156"/>
      <c r="T36" s="156"/>
      <c r="U36" s="50"/>
      <c r="X36" s="162" t="s">
        <v>73</v>
      </c>
      <c r="Y36" s="163">
        <v>0.0</v>
      </c>
      <c r="Z36" s="164"/>
      <c r="AA36" s="165" t="s">
        <v>74</v>
      </c>
      <c r="AB36" s="163">
        <v>6.0</v>
      </c>
      <c r="AJ36" s="16"/>
      <c r="AK36" s="17"/>
      <c r="AL36" s="17"/>
      <c r="AM36" s="18"/>
      <c r="AO36" s="16"/>
      <c r="AP36" s="17"/>
      <c r="AQ36" s="17"/>
      <c r="AR36" s="18"/>
    </row>
    <row r="37" ht="18.0" customHeight="1">
      <c r="A37" s="156"/>
      <c r="B37" s="69">
        <v>0.333333333333333</v>
      </c>
      <c r="C37" s="76">
        <v>62.2</v>
      </c>
      <c r="D37" s="76">
        <v>36.1</v>
      </c>
      <c r="E37" s="76">
        <v>30.1</v>
      </c>
      <c r="F37" s="76">
        <v>1.0</v>
      </c>
      <c r="G37" s="323">
        <v>0.1</v>
      </c>
      <c r="H37" s="323">
        <v>0.1</v>
      </c>
      <c r="I37" s="156">
        <v>0.17</v>
      </c>
      <c r="J37" s="156">
        <v>0.08</v>
      </c>
      <c r="K37" s="156">
        <v>0.0</v>
      </c>
      <c r="L37" s="52"/>
      <c r="M37" s="106"/>
      <c r="N37" s="157"/>
      <c r="O37" s="51"/>
      <c r="P37" s="51"/>
      <c r="Q37" s="51"/>
      <c r="R37" s="51"/>
      <c r="S37" s="51"/>
      <c r="T37" s="51"/>
      <c r="U37" s="365" t="str">
        <f>'31'!V12</f>
        <v/>
      </c>
      <c r="X37" s="277" t="s">
        <v>75</v>
      </c>
      <c r="Y37" s="128"/>
      <c r="Z37" s="170">
        <f>COUNTA('31'!Z6:Z29)</f>
        <v>24</v>
      </c>
      <c r="AA37" s="171"/>
      <c r="AB37" s="171"/>
      <c r="AJ37" s="172" t="s">
        <v>76</v>
      </c>
      <c r="AK37" s="128"/>
      <c r="AL37" s="173" t="s">
        <v>77</v>
      </c>
      <c r="AM37" s="128"/>
      <c r="AO37" s="172" t="s">
        <v>76</v>
      </c>
      <c r="AP37" s="128"/>
      <c r="AQ37" s="173" t="s">
        <v>77</v>
      </c>
      <c r="AR37" s="128"/>
    </row>
    <row r="38" ht="16.5" customHeight="1">
      <c r="A38" s="156"/>
      <c r="B38" s="69">
        <v>0.666666666666667</v>
      </c>
      <c r="C38" s="156"/>
      <c r="D38" s="156"/>
      <c r="E38" s="323"/>
      <c r="F38" s="323"/>
      <c r="G38" s="323"/>
      <c r="H38" s="323"/>
      <c r="I38" s="156"/>
      <c r="J38" s="156"/>
      <c r="K38" s="156"/>
      <c r="L38" s="109"/>
      <c r="M38" s="106"/>
      <c r="N38" s="157"/>
      <c r="O38" s="156"/>
      <c r="P38" s="156"/>
      <c r="Q38" s="156"/>
      <c r="R38" s="156"/>
      <c r="S38" s="156"/>
      <c r="T38" s="156"/>
      <c r="U38" s="156"/>
      <c r="X38" s="174"/>
      <c r="Y38" s="174"/>
      <c r="Z38" s="175"/>
      <c r="AA38" s="171"/>
      <c r="AB38" s="171"/>
      <c r="AJ38" s="178" t="s">
        <v>78</v>
      </c>
      <c r="AK38" s="180">
        <f>SUM('31'!AF30+'31'!AH30)</f>
        <v>0</v>
      </c>
      <c r="AL38" s="178" t="s">
        <v>78</v>
      </c>
      <c r="AM38" s="179">
        <f>SUM('31'!AL30+'31'!AN30)</f>
        <v>0</v>
      </c>
      <c r="AO38" s="178" t="s">
        <v>78</v>
      </c>
      <c r="AP38" s="180">
        <f>'31'!AJ30</f>
        <v>2633.2</v>
      </c>
      <c r="AQ38" s="178" t="s">
        <v>78</v>
      </c>
      <c r="AR38" s="179">
        <f>'31'!AP30</f>
        <v>0</v>
      </c>
    </row>
    <row r="39" ht="24.75" customHeight="1">
      <c r="A39" s="181" t="s">
        <v>79</v>
      </c>
      <c r="B39" s="80"/>
      <c r="C39" s="181" t="s">
        <v>80</v>
      </c>
      <c r="D39" s="80"/>
      <c r="E39" s="182" t="s">
        <v>81</v>
      </c>
      <c r="F39" s="79"/>
      <c r="G39" s="79"/>
      <c r="H39" s="80"/>
      <c r="J39" s="183" t="s">
        <v>82</v>
      </c>
      <c r="K39" s="79"/>
      <c r="L39" s="79"/>
      <c r="M39" s="80"/>
      <c r="O39" s="184" t="s">
        <v>83</v>
      </c>
      <c r="P39" s="11"/>
      <c r="Q39" s="185"/>
      <c r="R39" s="186" t="s">
        <v>84</v>
      </c>
      <c r="S39" s="187" t="s">
        <v>85</v>
      </c>
      <c r="T39" s="12"/>
      <c r="U39" s="188"/>
      <c r="V39" s="97"/>
      <c r="X39" s="174"/>
      <c r="Y39" s="174"/>
      <c r="Z39" s="175"/>
      <c r="AA39" s="171"/>
      <c r="AB39" s="171"/>
      <c r="AJ39" s="325" t="s">
        <v>86</v>
      </c>
      <c r="AK39" s="326">
        <f>('31'!AK38/'31'!Y30)*1000</f>
        <v>0</v>
      </c>
      <c r="AL39" s="327" t="s">
        <v>86</v>
      </c>
      <c r="AM39" s="328">
        <f>('31'!AM38/'31'!Y30)*1000</f>
        <v>0</v>
      </c>
      <c r="AO39" s="325" t="s">
        <v>86</v>
      </c>
      <c r="AP39" s="326">
        <f>('31'!AP38/'31'!Y30)*1000</f>
        <v>8.851080536</v>
      </c>
      <c r="AQ39" s="327" t="s">
        <v>86</v>
      </c>
      <c r="AR39" s="328">
        <f>('31'!AR38/'31'!Y30)*1000</f>
        <v>0</v>
      </c>
    </row>
    <row r="40" ht="16.5" customHeight="1">
      <c r="A40" s="195" t="s">
        <v>87</v>
      </c>
      <c r="B40" s="196" t="s">
        <v>88</v>
      </c>
      <c r="C40" s="197" t="s">
        <v>88</v>
      </c>
      <c r="D40" s="198"/>
      <c r="E40" s="199" t="s">
        <v>87</v>
      </c>
      <c r="F40" s="80"/>
      <c r="G40" s="199" t="s">
        <v>88</v>
      </c>
      <c r="H40" s="80"/>
      <c r="J40" s="199" t="s">
        <v>87</v>
      </c>
      <c r="K40" s="80"/>
      <c r="L40" s="199" t="s">
        <v>88</v>
      </c>
      <c r="M40" s="80"/>
      <c r="O40" s="200"/>
      <c r="P40" s="201"/>
      <c r="Q40" s="202"/>
      <c r="R40" s="203"/>
      <c r="S40" s="204"/>
      <c r="T40" s="205"/>
      <c r="U40" s="206"/>
      <c r="V40" s="97"/>
      <c r="X40" s="207" t="s">
        <v>89</v>
      </c>
      <c r="Y40" s="127"/>
      <c r="Z40" s="127"/>
      <c r="AA40" s="127"/>
      <c r="AB40" s="127"/>
      <c r="AC40" s="127"/>
      <c r="AD40" s="127"/>
      <c r="AE40" s="127"/>
      <c r="AF40" s="127"/>
      <c r="AG40" s="128"/>
      <c r="AJ40" s="210" t="s">
        <v>90</v>
      </c>
      <c r="AK40" s="128"/>
      <c r="AL40" s="209">
        <f>SUM('31'!AK38,'31'!AM38)</f>
        <v>0</v>
      </c>
      <c r="AM40" s="128"/>
      <c r="AO40" s="210" t="s">
        <v>90</v>
      </c>
      <c r="AP40" s="128"/>
      <c r="AQ40" s="211">
        <f>SUM('31'!AP38,'31'!AR38)</f>
        <v>2633.2</v>
      </c>
      <c r="AR40" s="128"/>
      <c r="AT40" s="506"/>
    </row>
    <row r="41" ht="16.5" customHeight="1">
      <c r="A41" s="212">
        <f>COUNTA('31'!E7:E18)</f>
        <v>12</v>
      </c>
      <c r="B41" s="213">
        <f>COUNTA('31'!I7:I18)</f>
        <v>12</v>
      </c>
      <c r="C41" s="214">
        <f>COUNTA('31'!B7:B18)</f>
        <v>12</v>
      </c>
      <c r="D41" s="80"/>
      <c r="E41" s="214">
        <f>COUNTIF('31'!E7:E18,"&gt;15")</f>
        <v>0</v>
      </c>
      <c r="F41" s="80"/>
      <c r="G41" s="214">
        <f>COUNTIF('31'!B7:B18,"&gt;1")</f>
        <v>12</v>
      </c>
      <c r="H41" s="80"/>
      <c r="I41" s="215"/>
      <c r="J41" s="214">
        <f>'31'!A41-'31'!E41</f>
        <v>12</v>
      </c>
      <c r="K41" s="80"/>
      <c r="L41" s="214">
        <f>'31'!C41-'31'!G41</f>
        <v>0</v>
      </c>
      <c r="M41" s="80"/>
      <c r="N41" s="215"/>
      <c r="O41" s="216">
        <f>COUNTIF('31'!J7:J18,"&lt;=0,5")</f>
        <v>12</v>
      </c>
      <c r="P41" s="217"/>
      <c r="Q41" s="218"/>
      <c r="R41" s="219"/>
      <c r="S41" s="220">
        <f>COUNTIF('31'!J7:J18,"&lt;=1,0")</f>
        <v>12</v>
      </c>
      <c r="T41" s="221"/>
      <c r="U41" s="97"/>
      <c r="V41" s="97"/>
      <c r="X41" s="222"/>
      <c r="Y41" s="127"/>
      <c r="Z41" s="127"/>
      <c r="AA41" s="127"/>
      <c r="AB41" s="127"/>
      <c r="AC41" s="127"/>
      <c r="AD41" s="127"/>
      <c r="AE41" s="127"/>
      <c r="AF41" s="127"/>
      <c r="AG41" s="128"/>
      <c r="AJ41" s="507" t="s">
        <v>162</v>
      </c>
      <c r="AK41" s="12"/>
      <c r="AL41" s="508">
        <f>SUM(('31'!AK38+'31'!AM38)/'31'!Y30)*1000</f>
        <v>0</v>
      </c>
      <c r="AM41" s="12"/>
      <c r="AO41" s="507" t="s">
        <v>162</v>
      </c>
      <c r="AP41" s="12"/>
      <c r="AQ41" s="509">
        <f>SUM(('31'!AP38+'31'!AR38)/'31'!Y30)*1000</f>
        <v>8.851080536</v>
      </c>
      <c r="AR41" s="12"/>
    </row>
    <row r="42" ht="19.5" customHeight="1">
      <c r="A42" s="224"/>
      <c r="B42" s="224"/>
      <c r="C42" s="224"/>
      <c r="O42" s="225" t="s">
        <v>92</v>
      </c>
      <c r="P42" s="127"/>
      <c r="Q42" s="127"/>
      <c r="R42" s="127"/>
      <c r="S42" s="127"/>
      <c r="T42" s="128"/>
      <c r="X42" s="226" t="s">
        <v>93</v>
      </c>
      <c r="Y42" s="127"/>
      <c r="Z42" s="127"/>
      <c r="AA42" s="127"/>
      <c r="AB42" s="127"/>
      <c r="AC42" s="127"/>
      <c r="AD42" s="127"/>
      <c r="AE42" s="127"/>
      <c r="AF42" s="127"/>
      <c r="AG42" s="128"/>
      <c r="AJ42" s="16"/>
      <c r="AK42" s="18"/>
      <c r="AL42" s="16"/>
      <c r="AM42" s="18"/>
      <c r="AO42" s="16"/>
      <c r="AP42" s="18"/>
      <c r="AQ42" s="16"/>
      <c r="AR42" s="18"/>
    </row>
    <row r="43" ht="16.5" customHeight="1">
      <c r="A43" s="224"/>
      <c r="B43" s="224"/>
      <c r="C43" s="224"/>
      <c r="H43" s="227" t="s">
        <v>94</v>
      </c>
      <c r="I43" s="11"/>
      <c r="J43" s="12"/>
      <c r="L43" s="228" t="s">
        <v>95</v>
      </c>
      <c r="M43" s="12"/>
      <c r="N43" s="229"/>
      <c r="O43" s="230"/>
      <c r="P43" s="231"/>
      <c r="Q43" s="232" t="s">
        <v>96</v>
      </c>
      <c r="R43" s="233"/>
      <c r="S43" s="234"/>
      <c r="T43" s="235"/>
      <c r="X43" s="236" t="s">
        <v>97</v>
      </c>
      <c r="Y43" s="18"/>
      <c r="Z43" s="236" t="s">
        <v>98</v>
      </c>
      <c r="AA43" s="18"/>
      <c r="AB43" s="236" t="s">
        <v>99</v>
      </c>
      <c r="AC43" s="18"/>
      <c r="AD43" s="236" t="s">
        <v>100</v>
      </c>
      <c r="AE43" s="18"/>
      <c r="AF43" s="237"/>
      <c r="AG43" s="238"/>
    </row>
    <row r="44" ht="15.0" customHeight="1">
      <c r="A44" s="224"/>
      <c r="B44" s="224"/>
      <c r="C44" s="224"/>
      <c r="H44" s="16"/>
      <c r="I44" s="17"/>
      <c r="J44" s="18"/>
      <c r="L44" s="16"/>
      <c r="M44" s="18"/>
      <c r="N44" s="229"/>
      <c r="O44" s="230"/>
      <c r="P44" s="231"/>
      <c r="Q44" s="239"/>
      <c r="R44" s="201"/>
      <c r="S44" s="240"/>
      <c r="T44" s="235"/>
      <c r="X44" s="68" t="s">
        <v>101</v>
      </c>
      <c r="Y44" s="241">
        <v>143.0</v>
      </c>
      <c r="Z44" s="68" t="s">
        <v>101</v>
      </c>
      <c r="AA44" s="241">
        <v>0.0</v>
      </c>
      <c r="AB44" s="68" t="s">
        <v>101</v>
      </c>
      <c r="AC44" s="241">
        <v>85.0</v>
      </c>
      <c r="AD44" s="242"/>
      <c r="AE44" s="243"/>
      <c r="AF44" s="244" t="s">
        <v>102</v>
      </c>
      <c r="AG44" s="245">
        <f>SUM('31'!Y45,'31'!AA45,'31'!AC45,'31'!AE45)</f>
        <v>113242.4</v>
      </c>
    </row>
    <row r="45" ht="15.0" customHeight="1">
      <c r="H45" s="247">
        <f>COUNTIF('31'!I7:I18,"&lt;=5,0")</f>
        <v>12</v>
      </c>
      <c r="I45" s="127"/>
      <c r="J45" s="128"/>
      <c r="K45" s="215"/>
      <c r="L45" s="208">
        <f>COUNTA('31'!L37)</f>
        <v>0</v>
      </c>
      <c r="M45" s="128"/>
      <c r="O45" s="248"/>
      <c r="P45" s="249"/>
      <c r="Q45" s="250">
        <f>'31'!S41-'31'!O41</f>
        <v>0</v>
      </c>
      <c r="R45" s="251"/>
      <c r="S45" s="252"/>
      <c r="T45" s="253"/>
      <c r="X45" s="133" t="s">
        <v>104</v>
      </c>
      <c r="Y45" s="254">
        <f>'31'!Y44*275.3</f>
        <v>39367.9</v>
      </c>
      <c r="Z45" s="133" t="s">
        <v>104</v>
      </c>
      <c r="AA45" s="254">
        <f>262.4*'31'!AA44</f>
        <v>0</v>
      </c>
      <c r="AB45" s="133" t="s">
        <v>104</v>
      </c>
      <c r="AC45" s="254">
        <f>'31'!AC44*277.7</f>
        <v>23604.5</v>
      </c>
      <c r="AD45" s="133" t="s">
        <v>104</v>
      </c>
      <c r="AE45" s="255">
        <v>50270.0</v>
      </c>
      <c r="AF45" s="46"/>
      <c r="AG45" s="46"/>
      <c r="AI45" s="246" t="s">
        <v>103</v>
      </c>
      <c r="AJ45" s="127"/>
      <c r="AK45" s="127"/>
      <c r="AL45" s="127"/>
      <c r="AM45" s="127"/>
      <c r="AN45" s="127"/>
      <c r="AO45" s="127"/>
      <c r="AP45" s="127"/>
      <c r="AQ45" s="127"/>
      <c r="AR45" s="128"/>
    </row>
    <row r="46" ht="15.75" customHeight="1">
      <c r="F46" s="257"/>
      <c r="X46" s="196" t="s">
        <v>105</v>
      </c>
      <c r="Y46" s="258">
        <f>'31'!AS6</f>
        <v>1.33</v>
      </c>
      <c r="Z46" s="196" t="s">
        <v>105</v>
      </c>
      <c r="AA46" s="258">
        <f>'31'!Y46</f>
        <v>1.33</v>
      </c>
      <c r="AB46" s="196" t="s">
        <v>105</v>
      </c>
      <c r="AC46" s="258">
        <f>'31'!Y46</f>
        <v>1.33</v>
      </c>
      <c r="AD46" s="196" t="s">
        <v>105</v>
      </c>
      <c r="AE46" s="259">
        <f>'31'!Y46</f>
        <v>1.33</v>
      </c>
      <c r="AF46" s="260" t="s">
        <v>106</v>
      </c>
      <c r="AG46" s="261">
        <f>SUM('31'!Y47,'31'!AA47,'31'!AC47,'31'!AE47)</f>
        <v>150612.392</v>
      </c>
      <c r="AI46" s="236" t="s">
        <v>97</v>
      </c>
      <c r="AJ46" s="18"/>
      <c r="AK46" s="236" t="s">
        <v>98</v>
      </c>
      <c r="AL46" s="18"/>
      <c r="AM46" s="236" t="s">
        <v>99</v>
      </c>
      <c r="AN46" s="18"/>
      <c r="AO46" s="422"/>
      <c r="AP46" s="89"/>
      <c r="AQ46" s="237"/>
      <c r="AR46" s="238"/>
    </row>
    <row r="47" ht="15.0" customHeight="1">
      <c r="O47" s="262" t="s">
        <v>107</v>
      </c>
      <c r="P47" s="11"/>
      <c r="Q47" s="11"/>
      <c r="R47" s="11"/>
      <c r="S47" s="11"/>
      <c r="T47" s="12"/>
      <c r="X47" s="133" t="s">
        <v>108</v>
      </c>
      <c r="Y47" s="254">
        <f>'31'!Y45*'31'!Y46</f>
        <v>52359.307</v>
      </c>
      <c r="Z47" s="133" t="s">
        <v>108</v>
      </c>
      <c r="AA47" s="254">
        <f>'31'!AA45*'31'!AA46</f>
        <v>0</v>
      </c>
      <c r="AB47" s="133" t="s">
        <v>108</v>
      </c>
      <c r="AC47" s="254">
        <f>'31'!AC45*'31'!AC46</f>
        <v>31393.985</v>
      </c>
      <c r="AD47" s="133" t="s">
        <v>108</v>
      </c>
      <c r="AE47" s="254">
        <f>'31'!AE45*'31'!AE46</f>
        <v>66859.1</v>
      </c>
      <c r="AF47" s="46"/>
      <c r="AG47" s="46"/>
      <c r="AI47" s="68" t="s">
        <v>101</v>
      </c>
      <c r="AJ47" s="241"/>
      <c r="AK47" s="68" t="s">
        <v>101</v>
      </c>
      <c r="AL47" s="241"/>
      <c r="AM47" s="68" t="s">
        <v>101</v>
      </c>
      <c r="AN47" s="241"/>
      <c r="AO47" s="43"/>
      <c r="AP47" s="27"/>
      <c r="AQ47" s="244" t="s">
        <v>102</v>
      </c>
      <c r="AR47" s="245">
        <f>SUM('10'!AJ48,'10'!AL48,'10'!AN48,'10'!AP48)</f>
        <v>3.99</v>
      </c>
    </row>
    <row r="48" ht="15.75" customHeight="1">
      <c r="O48" s="16"/>
      <c r="P48" s="17"/>
      <c r="Q48" s="17"/>
      <c r="R48" s="17"/>
      <c r="S48" s="17"/>
      <c r="T48" s="18"/>
      <c r="X48" s="97"/>
      <c r="Y48" s="263"/>
      <c r="Z48" s="97"/>
      <c r="AA48" s="263"/>
      <c r="AB48" s="97"/>
      <c r="AC48" s="263"/>
      <c r="AD48" s="97"/>
      <c r="AE48" s="264"/>
      <c r="AF48" s="264"/>
      <c r="AG48" s="264"/>
      <c r="AI48" s="133" t="s">
        <v>104</v>
      </c>
      <c r="AJ48" s="254">
        <f>AJ47*275.3</f>
        <v>0</v>
      </c>
      <c r="AK48" s="133" t="s">
        <v>104</v>
      </c>
      <c r="AL48" s="254">
        <f>262.4*'10'!AL47</f>
        <v>0</v>
      </c>
      <c r="AM48" s="133" t="s">
        <v>104</v>
      </c>
      <c r="AN48" s="254">
        <f>AN47*277.7</f>
        <v>0</v>
      </c>
      <c r="AO48" s="43"/>
      <c r="AP48" s="27"/>
      <c r="AQ48" s="46"/>
      <c r="AR48" s="46"/>
    </row>
    <row r="49" ht="15.75" customHeight="1">
      <c r="O49" s="266" t="s">
        <v>109</v>
      </c>
      <c r="P49" s="12"/>
      <c r="R49" s="267" t="s">
        <v>110</v>
      </c>
      <c r="S49" s="11"/>
      <c r="T49" s="12"/>
      <c r="AE49" s="268"/>
      <c r="AF49" s="268"/>
      <c r="AG49" s="268"/>
      <c r="AI49" s="196" t="s">
        <v>105</v>
      </c>
      <c r="AJ49" s="258">
        <f>Y46</f>
        <v>1.33</v>
      </c>
      <c r="AK49" s="265" t="s">
        <v>105</v>
      </c>
      <c r="AL49" s="258">
        <f>AJ49</f>
        <v>1.33</v>
      </c>
      <c r="AM49" s="265" t="s">
        <v>105</v>
      </c>
      <c r="AN49" s="258">
        <f>AJ49</f>
        <v>1.33</v>
      </c>
      <c r="AO49" s="43"/>
      <c r="AP49" s="27"/>
      <c r="AQ49" s="260" t="s">
        <v>106</v>
      </c>
      <c r="AR49" s="261">
        <f>SUM('10'!AJ50,'10'!AL50,'10'!AN50,'10'!AP50)</f>
        <v>0</v>
      </c>
    </row>
    <row r="50" ht="18.0" customHeight="1">
      <c r="O50" s="16"/>
      <c r="P50" s="18"/>
      <c r="R50" s="16"/>
      <c r="S50" s="17"/>
      <c r="T50" s="18"/>
      <c r="X50" s="269" t="s">
        <v>111</v>
      </c>
      <c r="Y50" s="127"/>
      <c r="Z50" s="127"/>
      <c r="AA50" s="127"/>
      <c r="AB50" s="127"/>
      <c r="AC50" s="127"/>
      <c r="AD50" s="127"/>
      <c r="AE50" s="127"/>
      <c r="AF50" s="127"/>
      <c r="AG50" s="128"/>
      <c r="AI50" s="133" t="s">
        <v>108</v>
      </c>
      <c r="AJ50" s="254">
        <f>'10'!AJ48*'10'!AJ49</f>
        <v>0</v>
      </c>
      <c r="AK50" s="133" t="s">
        <v>108</v>
      </c>
      <c r="AL50" s="254">
        <f>'10'!AL48*'10'!AL49</f>
        <v>0</v>
      </c>
      <c r="AM50" s="133" t="s">
        <v>108</v>
      </c>
      <c r="AN50" s="254">
        <f>'10'!AN48*'10'!AN49</f>
        <v>0</v>
      </c>
      <c r="AO50" s="16"/>
      <c r="AP50" s="18"/>
      <c r="AQ50" s="46"/>
      <c r="AR50" s="46"/>
    </row>
    <row r="51" ht="16.5" customHeight="1">
      <c r="O51" s="208">
        <f>COUNTA('31'!G7:G18)</f>
        <v>12</v>
      </c>
      <c r="P51" s="128"/>
      <c r="R51" s="247">
        <f>COUNTIF('31'!G7:G18,"&gt;=0,5")</f>
        <v>12</v>
      </c>
      <c r="S51" s="127"/>
      <c r="T51" s="128"/>
      <c r="X51" s="236" t="s">
        <v>97</v>
      </c>
      <c r="Y51" s="18"/>
      <c r="Z51" s="236" t="s">
        <v>98</v>
      </c>
      <c r="AA51" s="18"/>
      <c r="AB51" s="236" t="s">
        <v>99</v>
      </c>
      <c r="AC51" s="18"/>
      <c r="AD51" s="236" t="s">
        <v>100</v>
      </c>
      <c r="AE51" s="18"/>
      <c r="AF51" s="270"/>
      <c r="AG51" s="271"/>
    </row>
    <row r="52" ht="15.0" customHeight="1">
      <c r="X52" s="68" t="s">
        <v>101</v>
      </c>
      <c r="Y52" s="272"/>
      <c r="Z52" s="68" t="s">
        <v>101</v>
      </c>
      <c r="AA52" s="272"/>
      <c r="AB52" s="68" t="s">
        <v>101</v>
      </c>
      <c r="AC52" s="272"/>
      <c r="AD52" s="273"/>
      <c r="AE52" s="243"/>
      <c r="AF52" s="244" t="s">
        <v>102</v>
      </c>
      <c r="AG52" s="245">
        <f>SUM('31'!Y53,'31'!AA53,'31'!AC53,'31'!AE53)</f>
        <v>0</v>
      </c>
      <c r="AI52" s="269" t="s">
        <v>112</v>
      </c>
      <c r="AJ52" s="127"/>
      <c r="AK52" s="127"/>
      <c r="AL52" s="127"/>
      <c r="AM52" s="127"/>
      <c r="AN52" s="127"/>
      <c r="AO52" s="127"/>
      <c r="AP52" s="127"/>
      <c r="AQ52" s="127"/>
      <c r="AR52" s="128"/>
    </row>
    <row r="53" ht="15.0" customHeight="1">
      <c r="O53" s="262" t="s">
        <v>113</v>
      </c>
      <c r="P53" s="11"/>
      <c r="Q53" s="11"/>
      <c r="R53" s="11"/>
      <c r="S53" s="11"/>
      <c r="T53" s="12"/>
      <c r="X53" s="133" t="s">
        <v>104</v>
      </c>
      <c r="Y53" s="254">
        <f>'31'!Y52*275.3</f>
        <v>0</v>
      </c>
      <c r="Z53" s="133" t="s">
        <v>104</v>
      </c>
      <c r="AA53" s="254">
        <f>262.4*'31'!AA52</f>
        <v>0</v>
      </c>
      <c r="AB53" s="133" t="s">
        <v>104</v>
      </c>
      <c r="AC53" s="276">
        <f>'31'!AC52*277.7</f>
        <v>0</v>
      </c>
      <c r="AD53" s="133" t="s">
        <v>104</v>
      </c>
      <c r="AE53" s="352"/>
      <c r="AF53" s="46"/>
      <c r="AG53" s="46"/>
      <c r="AI53" s="236" t="s">
        <v>97</v>
      </c>
      <c r="AJ53" s="18"/>
      <c r="AK53" s="236" t="s">
        <v>98</v>
      </c>
      <c r="AL53" s="18"/>
      <c r="AM53" s="236" t="s">
        <v>99</v>
      </c>
      <c r="AN53" s="18"/>
      <c r="AO53" s="422"/>
      <c r="AP53" s="89"/>
      <c r="AQ53" s="270"/>
      <c r="AR53" s="271"/>
    </row>
    <row r="54" ht="15.0" customHeight="1">
      <c r="O54" s="16"/>
      <c r="P54" s="17"/>
      <c r="Q54" s="17"/>
      <c r="R54" s="17"/>
      <c r="S54" s="17"/>
      <c r="T54" s="18"/>
      <c r="X54" s="196" t="s">
        <v>105</v>
      </c>
      <c r="Y54" s="258">
        <f>'31'!AS7</f>
        <v>1.345</v>
      </c>
      <c r="Z54" s="196" t="s">
        <v>105</v>
      </c>
      <c r="AA54" s="258">
        <f>'31'!Y54</f>
        <v>1.345</v>
      </c>
      <c r="AB54" s="196" t="s">
        <v>105</v>
      </c>
      <c r="AC54" s="258">
        <f>'31'!Y54</f>
        <v>1.345</v>
      </c>
      <c r="AD54" s="196" t="s">
        <v>105</v>
      </c>
      <c r="AE54" s="259">
        <f>'31'!Y54</f>
        <v>1.345</v>
      </c>
      <c r="AF54" s="260" t="s">
        <v>106</v>
      </c>
      <c r="AG54" s="261">
        <f>SUM('31'!Y55,'31'!AA55,'31'!AC55,'31'!AE55)</f>
        <v>0</v>
      </c>
      <c r="AI54" s="68" t="s">
        <v>101</v>
      </c>
      <c r="AJ54" s="275">
        <v>0.0</v>
      </c>
      <c r="AK54" s="68" t="s">
        <v>101</v>
      </c>
      <c r="AL54" s="272"/>
      <c r="AM54" s="68" t="s">
        <v>101</v>
      </c>
      <c r="AN54" s="272"/>
      <c r="AO54" s="43"/>
      <c r="AP54" s="27"/>
      <c r="AQ54" s="244" t="s">
        <v>102</v>
      </c>
      <c r="AR54" s="510">
        <f>'10'!AJ55+'10'!AL55+'10'!AN55+'10'!AP55</f>
        <v>0</v>
      </c>
    </row>
    <row r="55" ht="15.0" customHeight="1">
      <c r="O55" s="266" t="s">
        <v>114</v>
      </c>
      <c r="P55" s="12"/>
      <c r="R55" s="267" t="s">
        <v>115</v>
      </c>
      <c r="S55" s="11"/>
      <c r="T55" s="12"/>
      <c r="X55" s="133" t="s">
        <v>108</v>
      </c>
      <c r="Y55" s="254">
        <f>'31'!Y53*'31'!Y54</f>
        <v>0</v>
      </c>
      <c r="Z55" s="133" t="s">
        <v>108</v>
      </c>
      <c r="AA55" s="254">
        <f>'31'!AA53*'31'!AA54</f>
        <v>0</v>
      </c>
      <c r="AB55" s="133" t="s">
        <v>108</v>
      </c>
      <c r="AC55" s="254">
        <f>'31'!AC53*'31'!AC54</f>
        <v>0</v>
      </c>
      <c r="AD55" s="133" t="s">
        <v>108</v>
      </c>
      <c r="AE55" s="254">
        <f>'31'!AE53*'31'!AE54</f>
        <v>0</v>
      </c>
      <c r="AF55" s="46"/>
      <c r="AG55" s="46"/>
      <c r="AI55" s="133" t="s">
        <v>104</v>
      </c>
      <c r="AJ55" s="254">
        <f>AJ54*275.3</f>
        <v>0</v>
      </c>
      <c r="AK55" s="133" t="s">
        <v>104</v>
      </c>
      <c r="AL55" s="254">
        <f>262.4*AL54</f>
        <v>0</v>
      </c>
      <c r="AM55" s="133" t="s">
        <v>104</v>
      </c>
      <c r="AN55" s="276">
        <f>AN54*277.7</f>
        <v>0</v>
      </c>
      <c r="AO55" s="43"/>
      <c r="AP55" s="27"/>
      <c r="AQ55" s="46"/>
      <c r="AR55" s="46"/>
    </row>
    <row r="56" ht="13.5" customHeight="1">
      <c r="O56" s="16"/>
      <c r="P56" s="18"/>
      <c r="R56" s="16"/>
      <c r="S56" s="17"/>
      <c r="T56" s="18"/>
      <c r="AI56" s="196" t="s">
        <v>105</v>
      </c>
      <c r="AJ56" s="258">
        <f>Y54</f>
        <v>1.345</v>
      </c>
      <c r="AK56" s="196" t="s">
        <v>105</v>
      </c>
      <c r="AL56" s="258">
        <f>AJ56</f>
        <v>1.345</v>
      </c>
      <c r="AM56" s="196" t="s">
        <v>105</v>
      </c>
      <c r="AN56" s="258">
        <f>AJ56</f>
        <v>1.345</v>
      </c>
      <c r="AO56" s="43"/>
      <c r="AP56" s="27"/>
      <c r="AQ56" s="260" t="s">
        <v>106</v>
      </c>
      <c r="AR56" s="261">
        <f>SUM('10'!AJ57,'10'!AL57,'10'!AN57,'10'!AP57)</f>
        <v>0</v>
      </c>
    </row>
    <row r="57" ht="15.75" customHeight="1">
      <c r="O57" s="169">
        <f>COUNTA('31'!N7:N18)</f>
        <v>12</v>
      </c>
      <c r="P57" s="128"/>
      <c r="R57" s="277">
        <f>COUNTIF('31'!N7:N18,"&gt;=6")</f>
        <v>12</v>
      </c>
      <c r="S57" s="127"/>
      <c r="T57" s="128"/>
      <c r="AI57" s="133" t="s">
        <v>108</v>
      </c>
      <c r="AJ57" s="254">
        <f>AJ55*AJ56</f>
        <v>0</v>
      </c>
      <c r="AK57" s="133" t="s">
        <v>108</v>
      </c>
      <c r="AL57" s="254">
        <f>AL55*AL56</f>
        <v>0</v>
      </c>
      <c r="AM57" s="133" t="s">
        <v>108</v>
      </c>
      <c r="AN57" s="254">
        <f>AN55*AN56</f>
        <v>0</v>
      </c>
      <c r="AO57" s="16"/>
      <c r="AP57" s="18"/>
      <c r="AQ57" s="46"/>
      <c r="AR57" s="46"/>
    </row>
    <row r="58" ht="15.75" customHeight="1">
      <c r="X58" s="278" t="s">
        <v>116</v>
      </c>
      <c r="Y58" s="127"/>
      <c r="Z58" s="127"/>
      <c r="AA58" s="127"/>
      <c r="AB58" s="127"/>
      <c r="AC58" s="128"/>
    </row>
    <row r="59" ht="15.75" customHeight="1">
      <c r="X59" s="222"/>
      <c r="Y59" s="127"/>
      <c r="Z59" s="127"/>
      <c r="AA59" s="127"/>
      <c r="AB59" s="127"/>
      <c r="AC59" s="128"/>
    </row>
    <row r="60" ht="15.75" customHeight="1">
      <c r="X60" s="280" t="s">
        <v>118</v>
      </c>
      <c r="Y60" s="128"/>
      <c r="Z60" s="281"/>
      <c r="AA60" s="128"/>
      <c r="AB60" s="280" t="s">
        <v>119</v>
      </c>
      <c r="AC60" s="128"/>
      <c r="AD60" s="282"/>
      <c r="AE60" s="282"/>
      <c r="AI60" s="279" t="s">
        <v>117</v>
      </c>
      <c r="AJ60" s="127"/>
      <c r="AK60" s="127"/>
      <c r="AL60" s="127"/>
      <c r="AM60" s="127"/>
      <c r="AN60" s="127"/>
      <c r="AO60" s="127"/>
      <c r="AP60" s="127"/>
      <c r="AQ60" s="127"/>
      <c r="AR60" s="128"/>
    </row>
    <row r="61" ht="15.75" customHeight="1">
      <c r="X61" s="283"/>
      <c r="Y61" s="284"/>
      <c r="Z61" s="284"/>
      <c r="AA61" s="284"/>
      <c r="AB61" s="284"/>
      <c r="AC61" s="285"/>
      <c r="AD61" s="97"/>
      <c r="AE61" s="97"/>
      <c r="AI61" s="277" t="s">
        <v>120</v>
      </c>
      <c r="AJ61" s="127"/>
      <c r="AK61" s="127"/>
      <c r="AL61" s="127"/>
      <c r="AM61" s="128"/>
      <c r="AN61" s="277" t="s">
        <v>93</v>
      </c>
      <c r="AO61" s="127"/>
      <c r="AP61" s="127"/>
      <c r="AQ61" s="127"/>
      <c r="AR61" s="128"/>
    </row>
    <row r="62" ht="15.0" customHeight="1">
      <c r="X62" s="288" t="s">
        <v>122</v>
      </c>
      <c r="Y62" s="289"/>
      <c r="Z62" s="290"/>
      <c r="AA62" s="12"/>
      <c r="AB62" s="291" t="s">
        <v>122</v>
      </c>
      <c r="AC62" s="80"/>
      <c r="AD62" s="97"/>
      <c r="AE62" s="97"/>
      <c r="AI62" s="286" t="s">
        <v>121</v>
      </c>
      <c r="AJ62" s="79"/>
      <c r="AK62" s="80"/>
      <c r="AL62" s="287">
        <f>AJ57+AL57+AN57</f>
        <v>0</v>
      </c>
      <c r="AM62" s="80"/>
      <c r="AN62" s="286" t="s">
        <v>121</v>
      </c>
      <c r="AO62" s="79"/>
      <c r="AP62" s="80"/>
      <c r="AQ62" s="287" t="str">
        <f>#NAME?</f>
        <v>#NAME?</v>
      </c>
      <c r="AR62" s="80"/>
    </row>
    <row r="63" ht="15.0" customHeight="1">
      <c r="X63" s="294" t="s">
        <v>124</v>
      </c>
      <c r="Y63" s="295">
        <v>0.0</v>
      </c>
      <c r="Z63" s="43"/>
      <c r="AA63" s="27"/>
      <c r="AB63" s="296" t="s">
        <v>163</v>
      </c>
      <c r="AC63" s="125">
        <v>0.0</v>
      </c>
      <c r="AI63" s="286" t="s">
        <v>123</v>
      </c>
      <c r="AJ63" s="79"/>
      <c r="AK63" s="80"/>
      <c r="AL63" s="292" t="str">
        <f>AA34</f>
        <v/>
      </c>
      <c r="AM63" s="80"/>
      <c r="AN63" s="286" t="s">
        <v>123</v>
      </c>
      <c r="AO63" s="79"/>
      <c r="AP63" s="80"/>
      <c r="AQ63" s="293">
        <f>'10'!AA33</f>
        <v>0</v>
      </c>
      <c r="AR63" s="80"/>
    </row>
    <row r="64" ht="15.0" customHeight="1">
      <c r="X64" s="294"/>
      <c r="Y64" s="295"/>
      <c r="Z64" s="43"/>
      <c r="AA64" s="27"/>
      <c r="AB64" s="296" t="s">
        <v>164</v>
      </c>
      <c r="AC64" s="125">
        <v>0.0</v>
      </c>
      <c r="AI64" s="286" t="s">
        <v>125</v>
      </c>
      <c r="AJ64" s="79"/>
      <c r="AK64" s="80"/>
      <c r="AL64" s="287">
        <f>AL62-AL63</f>
        <v>0</v>
      </c>
      <c r="AM64" s="80"/>
      <c r="AN64" s="286" t="s">
        <v>125</v>
      </c>
      <c r="AO64" s="79"/>
      <c r="AP64" s="80"/>
      <c r="AQ64" s="292">
        <f>'10'!AQ62-'10'!AQ63</f>
        <v>88391.8</v>
      </c>
      <c r="AR64" s="80"/>
    </row>
    <row r="65" ht="39.0" customHeight="1">
      <c r="X65" s="297" t="s">
        <v>126</v>
      </c>
      <c r="Y65" s="298">
        <f>'30'!$Y$68</f>
        <v>-7335.883333</v>
      </c>
      <c r="Z65" s="43"/>
      <c r="AA65" s="27"/>
      <c r="AB65" s="299" t="s">
        <v>126</v>
      </c>
      <c r="AC65" s="330">
        <f>'30'!$AC$68</f>
        <v>0</v>
      </c>
    </row>
    <row r="66" ht="15.0" customHeight="1">
      <c r="X66" s="214" t="s">
        <v>127</v>
      </c>
      <c r="Y66" s="79"/>
      <c r="Z66" s="43"/>
      <c r="AA66" s="27"/>
      <c r="AB66" s="300" t="s">
        <v>127</v>
      </c>
      <c r="AC66" s="80"/>
    </row>
    <row r="67" ht="15.0" customHeight="1">
      <c r="X67" s="294" t="s">
        <v>124</v>
      </c>
      <c r="Y67" s="426">
        <f>SUM('31'!AK38,'31'!AP38)</f>
        <v>2633.2</v>
      </c>
      <c r="Z67" s="43"/>
      <c r="AA67" s="27"/>
      <c r="AB67" s="296" t="s">
        <v>124</v>
      </c>
      <c r="AC67" s="254">
        <f>SUM('31'!AM38,'31'!AR38)</f>
        <v>0</v>
      </c>
    </row>
    <row r="68" ht="15.75" customHeight="1">
      <c r="X68" s="294" t="s">
        <v>128</v>
      </c>
      <c r="Y68" s="301">
        <f>SUM('31'!Y63,'31'!Y65)-'31'!Y67</f>
        <v>-9969.083333</v>
      </c>
      <c r="Z68" s="16"/>
      <c r="AA68" s="18"/>
      <c r="AB68" s="296" t="s">
        <v>128</v>
      </c>
      <c r="AC68" s="302">
        <f>'31'!AC65</f>
        <v>0</v>
      </c>
    </row>
    <row r="69" ht="13.5" customHeight="1"/>
    <row r="70" ht="15.75" customHeight="1">
      <c r="Z70" s="504" t="s">
        <v>161</v>
      </c>
      <c r="AA70" s="505">
        <f>'31'!AC68+'31'!Y68</f>
        <v>-9969.083333</v>
      </c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8">
    <mergeCell ref="F4:J5"/>
    <mergeCell ref="K4:N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AQ8:AT8"/>
    <mergeCell ref="AQ9:AS9"/>
    <mergeCell ref="AQ10:AS10"/>
    <mergeCell ref="A2:C3"/>
    <mergeCell ref="D2:U3"/>
    <mergeCell ref="V2:W3"/>
    <mergeCell ref="X2:AA3"/>
    <mergeCell ref="AB2:AU3"/>
    <mergeCell ref="A4:A6"/>
    <mergeCell ref="B4:E5"/>
    <mergeCell ref="O4:Q5"/>
    <mergeCell ref="R4:S5"/>
    <mergeCell ref="V4:W6"/>
    <mergeCell ref="X4:X5"/>
    <mergeCell ref="V7:W11"/>
    <mergeCell ref="V12:W18"/>
    <mergeCell ref="Y4:Y5"/>
    <mergeCell ref="Z4:Z5"/>
    <mergeCell ref="AA4:AA5"/>
    <mergeCell ref="AB4:AB5"/>
    <mergeCell ref="AC4:AC5"/>
    <mergeCell ref="AD4:AD5"/>
    <mergeCell ref="AE4:AE5"/>
    <mergeCell ref="AF4:AF5"/>
    <mergeCell ref="T4:T5"/>
    <mergeCell ref="U4:U6"/>
    <mergeCell ref="T19:U24"/>
    <mergeCell ref="R22:S22"/>
    <mergeCell ref="A23:Q23"/>
    <mergeCell ref="T25:T26"/>
    <mergeCell ref="U25:U26"/>
    <mergeCell ref="X33:Y33"/>
    <mergeCell ref="X35:Y35"/>
    <mergeCell ref="R27:T27"/>
    <mergeCell ref="A28:U28"/>
    <mergeCell ref="A29:U34"/>
    <mergeCell ref="X31:AJ31"/>
    <mergeCell ref="X32:Y32"/>
    <mergeCell ref="C35:E35"/>
    <mergeCell ref="L35:N35"/>
    <mergeCell ref="AA35:AB35"/>
    <mergeCell ref="AJ35:AM36"/>
    <mergeCell ref="AJ37:AK37"/>
    <mergeCell ref="AL37:AM37"/>
    <mergeCell ref="AJ41:AK42"/>
    <mergeCell ref="AL41:AM42"/>
    <mergeCell ref="AO37:AP37"/>
    <mergeCell ref="AQ37:AR37"/>
    <mergeCell ref="AO41:AP42"/>
    <mergeCell ref="AQ41:AR42"/>
    <mergeCell ref="F35:H35"/>
    <mergeCell ref="I35:K35"/>
    <mergeCell ref="U35:U36"/>
    <mergeCell ref="AO35:AR36"/>
    <mergeCell ref="L36:N36"/>
    <mergeCell ref="L37:N37"/>
    <mergeCell ref="X37:Y37"/>
    <mergeCell ref="C39:D39"/>
    <mergeCell ref="C40:D40"/>
    <mergeCell ref="X41:AG41"/>
    <mergeCell ref="O42:T42"/>
    <mergeCell ref="X42:AG42"/>
    <mergeCell ref="E40:F40"/>
    <mergeCell ref="G40:H40"/>
    <mergeCell ref="X40:AG40"/>
    <mergeCell ref="AJ40:AK40"/>
    <mergeCell ref="AL40:AM40"/>
    <mergeCell ref="AO40:AP40"/>
    <mergeCell ref="AQ40:AR40"/>
    <mergeCell ref="AD44:AE44"/>
    <mergeCell ref="AF44:AF45"/>
    <mergeCell ref="AG44:AG45"/>
    <mergeCell ref="AI45:AR45"/>
    <mergeCell ref="AF46:AF47"/>
    <mergeCell ref="AG46:AG47"/>
    <mergeCell ref="AI46:AJ46"/>
    <mergeCell ref="AF54:AF55"/>
    <mergeCell ref="AG54:AG55"/>
    <mergeCell ref="AD52:AE52"/>
    <mergeCell ref="AF52:AF53"/>
    <mergeCell ref="AG52:AG53"/>
    <mergeCell ref="AI52:AR52"/>
    <mergeCell ref="AI53:AJ53"/>
    <mergeCell ref="AK53:AL53"/>
    <mergeCell ref="AM53:AN53"/>
    <mergeCell ref="AK46:AL46"/>
    <mergeCell ref="AM46:AN46"/>
    <mergeCell ref="AO46:AP50"/>
    <mergeCell ref="AQ47:AQ48"/>
    <mergeCell ref="AR47:AR48"/>
    <mergeCell ref="AQ49:AQ50"/>
    <mergeCell ref="AR49:AR50"/>
    <mergeCell ref="AO53:AP57"/>
    <mergeCell ref="AQ54:AQ55"/>
    <mergeCell ref="AR54:AR55"/>
    <mergeCell ref="AQ56:AQ57"/>
    <mergeCell ref="AR56:AR57"/>
    <mergeCell ref="AI60:AR60"/>
    <mergeCell ref="AN61:AR61"/>
    <mergeCell ref="AN63:AP63"/>
    <mergeCell ref="AQ63:AR63"/>
    <mergeCell ref="AI64:AK64"/>
    <mergeCell ref="AL64:AM64"/>
    <mergeCell ref="AN64:AP64"/>
    <mergeCell ref="AQ64:AR64"/>
    <mergeCell ref="AI61:AM61"/>
    <mergeCell ref="AI62:AK62"/>
    <mergeCell ref="AL62:AM62"/>
    <mergeCell ref="AN62:AP62"/>
    <mergeCell ref="AQ62:AR62"/>
    <mergeCell ref="AI63:AK63"/>
    <mergeCell ref="AL63:AM63"/>
    <mergeCell ref="Z60:AA60"/>
    <mergeCell ref="AB60:AC60"/>
    <mergeCell ref="X61:AC61"/>
    <mergeCell ref="X62:Y62"/>
    <mergeCell ref="Z62:AA68"/>
    <mergeCell ref="AB62:AC62"/>
    <mergeCell ref="X66:Y66"/>
    <mergeCell ref="AB66:AC66"/>
    <mergeCell ref="O55:P56"/>
    <mergeCell ref="R55:T56"/>
    <mergeCell ref="O57:P57"/>
    <mergeCell ref="R57:T57"/>
    <mergeCell ref="X58:AC58"/>
    <mergeCell ref="X59:AC59"/>
    <mergeCell ref="X60:Y60"/>
    <mergeCell ref="J40:K40"/>
    <mergeCell ref="L40:M40"/>
    <mergeCell ref="C41:D41"/>
    <mergeCell ref="E41:F41"/>
    <mergeCell ref="G41:H41"/>
    <mergeCell ref="J41:K41"/>
    <mergeCell ref="H43:J44"/>
    <mergeCell ref="L43:M44"/>
    <mergeCell ref="H45:J45"/>
    <mergeCell ref="L45:M45"/>
    <mergeCell ref="L38:N38"/>
    <mergeCell ref="A39:B39"/>
    <mergeCell ref="E39:H39"/>
    <mergeCell ref="J39:M39"/>
    <mergeCell ref="R39:R41"/>
    <mergeCell ref="S39:T40"/>
    <mergeCell ref="L41:M41"/>
    <mergeCell ref="S41:T41"/>
    <mergeCell ref="O39:Q40"/>
    <mergeCell ref="O41:Q41"/>
    <mergeCell ref="Q43:S44"/>
    <mergeCell ref="X43:Y43"/>
    <mergeCell ref="Z43:AA43"/>
    <mergeCell ref="AB43:AC43"/>
    <mergeCell ref="AD43:AE43"/>
    <mergeCell ref="X50:AG50"/>
    <mergeCell ref="X51:Y51"/>
    <mergeCell ref="Z51:AA51"/>
    <mergeCell ref="AB51:AC51"/>
    <mergeCell ref="AD51:AE51"/>
    <mergeCell ref="Q45:S45"/>
    <mergeCell ref="O47:T48"/>
    <mergeCell ref="O49:P50"/>
    <mergeCell ref="R49:T50"/>
    <mergeCell ref="O51:P51"/>
    <mergeCell ref="R51:T51"/>
    <mergeCell ref="O53:T54"/>
  </mergeCells>
  <printOptions/>
  <pageMargins bottom="0.7875" footer="0.0" header="0.0" left="0.511805555555556" right="0.511805555555556" top="0.78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57"/>
    <col customWidth="1" min="2" max="2" width="19.57"/>
    <col customWidth="1" min="3" max="3" width="13.71"/>
    <col customWidth="1" min="4" max="26" width="8.86"/>
  </cols>
  <sheetData>
    <row r="1" ht="13.5" customHeight="1">
      <c r="A1" s="513" t="s">
        <v>165</v>
      </c>
    </row>
    <row r="2" ht="13.5" customHeight="1">
      <c r="B2" s="514"/>
    </row>
    <row r="3" ht="13.5" customHeight="1">
      <c r="A3" s="515" t="s">
        <v>0</v>
      </c>
      <c r="B3" s="515" t="s">
        <v>166</v>
      </c>
      <c r="C3" s="515" t="s">
        <v>167</v>
      </c>
    </row>
    <row r="4" ht="13.5" customHeight="1">
      <c r="A4" s="516"/>
      <c r="B4" s="60"/>
      <c r="C4" s="60"/>
    </row>
    <row r="5" ht="13.5" customHeight="1">
      <c r="A5" s="516"/>
      <c r="B5" s="60"/>
      <c r="C5" s="60"/>
    </row>
    <row r="6" ht="13.5" customHeight="1">
      <c r="A6" s="516" t="s">
        <v>168</v>
      </c>
      <c r="B6" s="60" t="s">
        <v>169</v>
      </c>
      <c r="C6" s="60" t="s">
        <v>170</v>
      </c>
    </row>
    <row r="7" ht="13.5" customHeight="1">
      <c r="A7" s="516">
        <v>44938.0</v>
      </c>
      <c r="B7" s="60">
        <v>3040123.0</v>
      </c>
      <c r="C7" s="60" t="s">
        <v>170</v>
      </c>
    </row>
    <row r="8" ht="13.5" customHeight="1">
      <c r="A8" s="516"/>
      <c r="B8" s="60"/>
      <c r="C8" s="60"/>
    </row>
    <row r="9" ht="13.5" customHeight="1">
      <c r="A9" s="517">
        <v>44932.0</v>
      </c>
      <c r="B9" s="60">
        <v>4060123.0</v>
      </c>
      <c r="C9" s="60" t="s">
        <v>171</v>
      </c>
    </row>
    <row r="10" ht="13.5" customHeight="1">
      <c r="A10" s="516">
        <v>44950.0</v>
      </c>
      <c r="B10" s="60">
        <v>3160123.0</v>
      </c>
      <c r="C10" s="60" t="s">
        <v>171</v>
      </c>
    </row>
    <row r="11" ht="13.5" customHeight="1">
      <c r="A11" s="516"/>
      <c r="B11" s="60"/>
      <c r="C11" s="60"/>
    </row>
    <row r="12" ht="13.5" customHeight="1">
      <c r="A12" s="516"/>
      <c r="B12" s="60"/>
      <c r="C12" s="60"/>
    </row>
    <row r="13" ht="13.5" customHeight="1">
      <c r="A13" s="517"/>
      <c r="B13" s="60"/>
      <c r="C13" s="60"/>
    </row>
    <row r="14" ht="13.5" customHeight="1">
      <c r="A14" s="60"/>
      <c r="B14" s="60"/>
      <c r="C14" s="60"/>
    </row>
    <row r="15" ht="13.5" customHeight="1">
      <c r="A15" s="60"/>
      <c r="B15" s="60"/>
      <c r="C15" s="60"/>
    </row>
    <row r="16" ht="13.5" customHeight="1">
      <c r="A16" s="60"/>
      <c r="B16" s="60"/>
      <c r="C16" s="60"/>
    </row>
    <row r="17" ht="13.5" customHeight="1">
      <c r="A17" s="60"/>
      <c r="B17" s="60"/>
      <c r="C17" s="60"/>
    </row>
    <row r="18" ht="13.5" customHeight="1">
      <c r="A18" s="60"/>
      <c r="B18" s="60"/>
      <c r="C18" s="60"/>
    </row>
    <row r="19" ht="13.5" customHeight="1">
      <c r="A19" s="60"/>
      <c r="B19" s="60"/>
      <c r="C19" s="60"/>
    </row>
    <row r="20" ht="13.5" customHeight="1">
      <c r="A20" s="60"/>
      <c r="B20" s="60"/>
      <c r="C20" s="60"/>
    </row>
    <row r="21" ht="13.5" customHeight="1">
      <c r="A21" s="60"/>
      <c r="B21" s="60"/>
      <c r="C21" s="60"/>
    </row>
    <row r="22" ht="13.5" customHeight="1">
      <c r="A22" s="60"/>
      <c r="B22" s="60"/>
      <c r="C22" s="60"/>
    </row>
    <row r="23" ht="13.5" customHeight="1">
      <c r="A23" s="60"/>
      <c r="B23" s="60"/>
      <c r="C23" s="60"/>
    </row>
    <row r="24" ht="13.5" customHeight="1">
      <c r="A24" s="60"/>
      <c r="B24" s="60"/>
      <c r="C24" s="60"/>
    </row>
    <row r="25" ht="13.5" customHeight="1">
      <c r="A25" s="60"/>
      <c r="B25" s="60"/>
      <c r="C25" s="60"/>
    </row>
    <row r="26" ht="13.5" customHeight="1">
      <c r="A26" s="60"/>
      <c r="B26" s="60"/>
      <c r="C26" s="60"/>
    </row>
    <row r="27" ht="13.5" customHeight="1">
      <c r="A27" s="60"/>
      <c r="B27" s="60"/>
      <c r="C27" s="60"/>
    </row>
    <row r="28" ht="13.5" customHeight="1">
      <c r="A28" s="60"/>
      <c r="B28" s="60"/>
      <c r="C28" s="60"/>
    </row>
    <row r="29" ht="13.5" customHeight="1">
      <c r="A29" s="60"/>
      <c r="B29" s="60"/>
      <c r="C29" s="60"/>
    </row>
    <row r="30" ht="13.5" customHeight="1">
      <c r="A30" s="60"/>
      <c r="B30" s="60"/>
      <c r="C30" s="60"/>
    </row>
    <row r="31" ht="13.5" customHeight="1">
      <c r="A31" s="60"/>
      <c r="B31" s="60"/>
      <c r="C31" s="60"/>
    </row>
    <row r="32" ht="13.5" customHeight="1">
      <c r="A32" s="60"/>
      <c r="B32" s="60"/>
      <c r="C32" s="60"/>
    </row>
    <row r="33" ht="13.5" customHeight="1">
      <c r="A33" s="60"/>
      <c r="B33" s="60"/>
      <c r="C33" s="60"/>
    </row>
    <row r="34" ht="13.5" customHeight="1">
      <c r="A34" s="60"/>
      <c r="B34" s="60"/>
      <c r="C34" s="60"/>
    </row>
    <row r="35" ht="13.5" customHeight="1">
      <c r="A35" s="60"/>
      <c r="B35" s="60"/>
      <c r="C35" s="60"/>
    </row>
    <row r="36" ht="13.5" customHeight="1">
      <c r="A36" s="60"/>
      <c r="B36" s="60"/>
      <c r="C36" s="60"/>
    </row>
    <row r="37" ht="13.5" customHeight="1">
      <c r="A37" s="60"/>
      <c r="B37" s="60"/>
      <c r="C37" s="60"/>
    </row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C1"/>
  </mergeCells>
  <printOptions/>
  <pageMargins bottom="0.7875" footer="0.0" header="0.0" left="0.7875" right="0.7875" top="0.78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2" width="8.71"/>
    <col customWidth="1" min="3" max="3" width="12.29"/>
    <col customWidth="1" min="4" max="6" width="8.71"/>
    <col customWidth="1" min="7" max="9" width="8.57"/>
    <col customWidth="1" min="10" max="10" width="8.71"/>
    <col customWidth="1" min="11" max="11" width="8.57"/>
    <col customWidth="1" min="12" max="12" width="8.71"/>
    <col customWidth="1" min="13" max="13" width="8.57"/>
    <col customWidth="1" min="14" max="14" width="8.71"/>
    <col customWidth="1" min="15" max="22" width="8.57"/>
    <col customWidth="1" min="23" max="23" width="6.14"/>
    <col customWidth="1" min="24" max="24" width="8.71"/>
    <col customWidth="1" min="25" max="25" width="8.57"/>
    <col customWidth="1" min="26" max="26" width="6.14"/>
    <col customWidth="1" min="27" max="27" width="8.71"/>
  </cols>
  <sheetData>
    <row r="1" ht="15.0" customHeight="1">
      <c r="A1" s="97"/>
      <c r="B1" s="518" t="s">
        <v>172</v>
      </c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198"/>
    </row>
    <row r="2" ht="24.0" customHeight="1">
      <c r="A2" s="520" t="s">
        <v>173</v>
      </c>
      <c r="B2" s="521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22"/>
    </row>
    <row r="3" ht="68.25" customHeight="1">
      <c r="B3" s="523" t="s">
        <v>174</v>
      </c>
      <c r="C3" s="127"/>
      <c r="D3" s="127"/>
      <c r="E3" s="127"/>
      <c r="F3" s="128"/>
      <c r="G3" s="524" t="s">
        <v>49</v>
      </c>
      <c r="H3" s="128"/>
      <c r="I3" s="525"/>
      <c r="J3" s="526" t="s">
        <v>173</v>
      </c>
      <c r="K3" s="527" t="s">
        <v>175</v>
      </c>
      <c r="L3" s="528"/>
      <c r="M3" s="529" t="s">
        <v>176</v>
      </c>
      <c r="N3" s="18"/>
      <c r="P3" s="530" t="s">
        <v>173</v>
      </c>
      <c r="Q3" s="169" t="s">
        <v>177</v>
      </c>
      <c r="R3" s="128"/>
      <c r="T3" s="531" t="s">
        <v>178</v>
      </c>
      <c r="U3" s="79"/>
      <c r="V3" s="79"/>
      <c r="W3" s="79"/>
      <c r="X3" s="79"/>
      <c r="Y3" s="79"/>
      <c r="Z3" s="79"/>
      <c r="AA3" s="80"/>
    </row>
    <row r="4" ht="29.25" customHeight="1">
      <c r="B4" s="532" t="s">
        <v>179</v>
      </c>
      <c r="C4" s="532" t="s">
        <v>180</v>
      </c>
      <c r="D4" s="532" t="s">
        <v>181</v>
      </c>
      <c r="E4" s="532" t="s">
        <v>182</v>
      </c>
      <c r="F4" s="532" t="s">
        <v>183</v>
      </c>
      <c r="G4" s="532" t="s">
        <v>179</v>
      </c>
      <c r="H4" s="532" t="s">
        <v>184</v>
      </c>
      <c r="I4" s="137"/>
      <c r="J4" s="219"/>
      <c r="K4" s="533" t="s">
        <v>179</v>
      </c>
      <c r="L4" s="533" t="s">
        <v>184</v>
      </c>
      <c r="M4" s="163" t="s">
        <v>179</v>
      </c>
      <c r="N4" s="163" t="s">
        <v>184</v>
      </c>
      <c r="O4" s="534"/>
      <c r="P4" s="219"/>
      <c r="Q4" s="163" t="s">
        <v>179</v>
      </c>
      <c r="R4" s="163" t="s">
        <v>184</v>
      </c>
      <c r="S4" s="534"/>
      <c r="T4" s="535" t="s">
        <v>0</v>
      </c>
      <c r="U4" s="534"/>
      <c r="V4" s="532" t="s">
        <v>180</v>
      </c>
      <c r="W4" s="532" t="s">
        <v>182</v>
      </c>
      <c r="X4" s="532" t="s">
        <v>183</v>
      </c>
      <c r="Y4" s="532" t="s">
        <v>181</v>
      </c>
      <c r="Z4" s="532" t="s">
        <v>182</v>
      </c>
      <c r="AA4" s="532" t="s">
        <v>183</v>
      </c>
    </row>
    <row r="5" ht="13.5" customHeight="1">
      <c r="A5" s="536">
        <v>1.0</v>
      </c>
      <c r="B5" s="133"/>
      <c r="C5" s="133"/>
      <c r="D5" s="133"/>
      <c r="E5" s="133"/>
      <c r="F5" s="133"/>
      <c r="G5" s="537"/>
      <c r="H5" s="538"/>
      <c r="I5" s="97"/>
      <c r="J5" s="539">
        <v>1.0</v>
      </c>
      <c r="K5" s="540"/>
      <c r="L5" s="540"/>
      <c r="M5" s="541"/>
      <c r="N5" s="541"/>
      <c r="P5" s="539">
        <v>1.0</v>
      </c>
      <c r="Q5" s="542"/>
      <c r="R5" s="542"/>
      <c r="T5" s="543">
        <f>A5</f>
        <v>1</v>
      </c>
      <c r="U5" s="544" t="s">
        <v>185</v>
      </c>
      <c r="V5" s="133"/>
      <c r="W5" s="133"/>
      <c r="X5" s="133"/>
      <c r="Y5" s="133"/>
      <c r="Z5" s="133"/>
      <c r="AA5" s="133"/>
    </row>
    <row r="6" ht="13.5" customHeight="1">
      <c r="A6" s="545"/>
      <c r="B6" s="133"/>
      <c r="C6" s="133"/>
      <c r="D6" s="133"/>
      <c r="E6" s="133"/>
      <c r="F6" s="133"/>
      <c r="G6" s="125"/>
      <c r="H6" s="538"/>
      <c r="I6" s="97"/>
      <c r="J6" s="539">
        <v>2.0</v>
      </c>
      <c r="K6" s="540"/>
      <c r="L6" s="540"/>
      <c r="M6" s="541"/>
      <c r="N6" s="541"/>
      <c r="P6" s="539">
        <v>2.0</v>
      </c>
      <c r="Q6" s="541"/>
      <c r="R6" s="541"/>
      <c r="T6" s="545"/>
      <c r="U6" s="546"/>
      <c r="V6" s="133"/>
      <c r="W6" s="133"/>
      <c r="X6" s="133"/>
      <c r="Y6" s="133"/>
      <c r="Z6" s="133"/>
      <c r="AA6" s="133"/>
    </row>
    <row r="7" ht="13.5" customHeight="1">
      <c r="A7" s="545"/>
      <c r="B7" s="133"/>
      <c r="C7" s="133"/>
      <c r="D7" s="133"/>
      <c r="E7" s="133"/>
      <c r="F7" s="133"/>
      <c r="G7" s="60"/>
      <c r="H7" s="538"/>
      <c r="I7" s="97"/>
      <c r="J7" s="539">
        <v>3.0</v>
      </c>
      <c r="K7" s="540"/>
      <c r="L7" s="540"/>
      <c r="M7" s="547"/>
      <c r="N7" s="541"/>
      <c r="P7" s="539">
        <v>3.0</v>
      </c>
      <c r="Q7" s="541"/>
      <c r="R7" s="541"/>
      <c r="T7" s="545"/>
      <c r="U7" s="133"/>
      <c r="V7" s="133"/>
      <c r="W7" s="133"/>
      <c r="X7" s="133"/>
      <c r="Y7" s="133"/>
      <c r="Z7" s="133"/>
      <c r="AA7" s="133"/>
    </row>
    <row r="8" ht="13.5" customHeight="1">
      <c r="A8" s="545"/>
      <c r="B8" s="133"/>
      <c r="C8" s="133"/>
      <c r="D8" s="133"/>
      <c r="E8" s="133"/>
      <c r="F8" s="133"/>
      <c r="G8" s="60"/>
      <c r="H8" s="538"/>
      <c r="I8" s="548"/>
      <c r="J8" s="539">
        <v>4.0</v>
      </c>
      <c r="K8" s="540"/>
      <c r="L8" s="540"/>
      <c r="M8" s="541"/>
      <c r="N8" s="541"/>
      <c r="P8" s="539">
        <v>4.0</v>
      </c>
      <c r="Q8" s="541"/>
      <c r="R8" s="541"/>
      <c r="T8" s="545"/>
      <c r="U8" s="549" t="s">
        <v>129</v>
      </c>
      <c r="V8" s="550">
        <f>C9</f>
        <v>0</v>
      </c>
      <c r="W8" s="550">
        <f t="shared" ref="W8:X8" si="1">W5+W6+W7</f>
        <v>0</v>
      </c>
      <c r="X8" s="550">
        <f t="shared" si="1"/>
        <v>0</v>
      </c>
      <c r="Y8" s="550">
        <f>D9</f>
        <v>0</v>
      </c>
      <c r="Z8" s="550">
        <f t="shared" ref="Z8:AA8" si="2">Z5+Z6+Z7</f>
        <v>0</v>
      </c>
      <c r="AA8" s="550">
        <f t="shared" si="2"/>
        <v>0</v>
      </c>
    </row>
    <row r="9" ht="13.5" customHeight="1">
      <c r="A9" s="46"/>
      <c r="B9" s="549" t="s">
        <v>129</v>
      </c>
      <c r="C9" s="550">
        <f t="shared" ref="C9:F9" si="3">C5+C6+C7+C8</f>
        <v>0</v>
      </c>
      <c r="D9" s="550">
        <f t="shared" si="3"/>
        <v>0</v>
      </c>
      <c r="E9" s="550">
        <f t="shared" si="3"/>
        <v>0</v>
      </c>
      <c r="F9" s="550">
        <f t="shared" si="3"/>
        <v>0</v>
      </c>
      <c r="G9" s="551"/>
      <c r="H9" s="552">
        <f>H5+H6+H7+H8</f>
        <v>0</v>
      </c>
      <c r="I9" s="548"/>
      <c r="J9" s="539">
        <v>5.0</v>
      </c>
      <c r="K9" s="540"/>
      <c r="L9" s="540"/>
      <c r="M9" s="541"/>
      <c r="N9" s="541"/>
      <c r="P9" s="539">
        <v>5.0</v>
      </c>
      <c r="Q9" s="541"/>
      <c r="R9" s="541"/>
      <c r="T9" s="46"/>
      <c r="U9" s="553" t="s">
        <v>186</v>
      </c>
      <c r="V9" s="554">
        <f>V8+V5+V6+V7-W8-X8</f>
        <v>0</v>
      </c>
      <c r="W9" s="554"/>
      <c r="X9" s="554"/>
      <c r="Y9" s="554">
        <f>Y8+Y5+Y6+Y7-Z8-AA8</f>
        <v>0</v>
      </c>
      <c r="Z9" s="554"/>
      <c r="AA9" s="554"/>
    </row>
    <row r="10" ht="13.5" customHeight="1">
      <c r="A10" s="536">
        <f>A5+1</f>
        <v>2</v>
      </c>
      <c r="B10" s="133">
        <v>31041.0</v>
      </c>
      <c r="C10" s="133">
        <v>33060.0</v>
      </c>
      <c r="D10" s="133"/>
      <c r="E10" s="133"/>
      <c r="F10" s="133"/>
      <c r="G10" s="537"/>
      <c r="H10" s="538"/>
      <c r="I10" s="224"/>
      <c r="J10" s="539">
        <v>6.0</v>
      </c>
      <c r="K10" s="540"/>
      <c r="L10" s="540"/>
      <c r="M10" s="541"/>
      <c r="N10" s="541"/>
      <c r="P10" s="539">
        <v>6.0</v>
      </c>
      <c r="Q10" s="541"/>
      <c r="R10" s="541"/>
      <c r="T10" s="543">
        <f>T5+1</f>
        <v>2</v>
      </c>
      <c r="U10" s="133"/>
      <c r="V10" s="133"/>
      <c r="W10" s="133"/>
      <c r="X10" s="133"/>
      <c r="Y10" s="133"/>
      <c r="Z10" s="133"/>
      <c r="AA10" s="133"/>
    </row>
    <row r="11" ht="13.5" customHeight="1">
      <c r="A11" s="545"/>
      <c r="B11" s="133">
        <v>31043.0</v>
      </c>
      <c r="C11" s="133">
        <v>32340.0</v>
      </c>
      <c r="D11" s="133"/>
      <c r="E11" s="133"/>
      <c r="F11" s="133"/>
      <c r="G11" s="537"/>
      <c r="H11" s="538"/>
      <c r="I11" s="224"/>
      <c r="J11" s="539">
        <v>7.0</v>
      </c>
      <c r="K11" s="540"/>
      <c r="L11" s="540"/>
      <c r="M11" s="541"/>
      <c r="N11" s="541"/>
      <c r="P11" s="539">
        <v>7.0</v>
      </c>
      <c r="Q11" s="541"/>
      <c r="R11" s="541"/>
      <c r="T11" s="545"/>
      <c r="U11" s="133"/>
      <c r="V11" s="133"/>
      <c r="W11" s="133"/>
      <c r="X11" s="133"/>
      <c r="Y11" s="133"/>
      <c r="Z11" s="133"/>
      <c r="AA11" s="133"/>
    </row>
    <row r="12" ht="13.5" customHeight="1">
      <c r="A12" s="545"/>
      <c r="B12" s="133"/>
      <c r="C12" s="133"/>
      <c r="D12" s="133"/>
      <c r="E12" s="133"/>
      <c r="F12" s="133"/>
      <c r="G12" s="537"/>
      <c r="H12" s="538"/>
      <c r="I12" s="548"/>
      <c r="J12" s="539">
        <v>8.0</v>
      </c>
      <c r="K12" s="540"/>
      <c r="L12" s="540"/>
      <c r="M12" s="541"/>
      <c r="N12" s="541"/>
      <c r="P12" s="539">
        <v>8.0</v>
      </c>
      <c r="Q12" s="541"/>
      <c r="R12" s="541"/>
      <c r="T12" s="545"/>
      <c r="U12" s="133"/>
      <c r="V12" s="133"/>
      <c r="W12" s="133"/>
      <c r="X12" s="133"/>
      <c r="Y12" s="133"/>
      <c r="Z12" s="133"/>
      <c r="AA12" s="133"/>
    </row>
    <row r="13" ht="13.5" customHeight="1">
      <c r="A13" s="545"/>
      <c r="B13" s="555"/>
      <c r="C13" s="133"/>
      <c r="D13" s="133"/>
      <c r="E13" s="133"/>
      <c r="F13" s="133"/>
      <c r="G13" s="537"/>
      <c r="H13" s="538"/>
      <c r="I13" s="224"/>
      <c r="J13" s="539">
        <v>9.0</v>
      </c>
      <c r="K13" s="540">
        <v>223852.0</v>
      </c>
      <c r="L13" s="540">
        <v>19090.0</v>
      </c>
      <c r="M13" s="541"/>
      <c r="N13" s="541"/>
      <c r="P13" s="539">
        <v>9.0</v>
      </c>
      <c r="Q13" s="541"/>
      <c r="R13" s="541"/>
      <c r="T13" s="545"/>
      <c r="U13" s="549" t="s">
        <v>129</v>
      </c>
      <c r="V13" s="550">
        <f>C14</f>
        <v>65400</v>
      </c>
      <c r="W13" s="550">
        <f t="shared" ref="W13:X13" si="4">W9+W10+W11+W12</f>
        <v>0</v>
      </c>
      <c r="X13" s="550">
        <f t="shared" si="4"/>
        <v>0</v>
      </c>
      <c r="Y13" s="550">
        <f>D14</f>
        <v>0</v>
      </c>
      <c r="Z13" s="550">
        <f t="shared" ref="Z13:AA13" si="5">Z9+Z10+Z11+Z12</f>
        <v>0</v>
      </c>
      <c r="AA13" s="550">
        <f t="shared" si="5"/>
        <v>0</v>
      </c>
    </row>
    <row r="14" ht="13.5" customHeight="1">
      <c r="A14" s="46"/>
      <c r="B14" s="549" t="s">
        <v>129</v>
      </c>
      <c r="C14" s="550">
        <f t="shared" ref="C14:F14" si="6">C10+C11+C12+C13</f>
        <v>65400</v>
      </c>
      <c r="D14" s="550">
        <f t="shared" si="6"/>
        <v>0</v>
      </c>
      <c r="E14" s="550">
        <f t="shared" si="6"/>
        <v>0</v>
      </c>
      <c r="F14" s="550">
        <f t="shared" si="6"/>
        <v>0</v>
      </c>
      <c r="G14" s="556"/>
      <c r="H14" s="552">
        <f>H10+H11+H12+H13</f>
        <v>0</v>
      </c>
      <c r="I14" s="557"/>
      <c r="J14" s="539">
        <v>10.0</v>
      </c>
      <c r="K14" s="540"/>
      <c r="L14" s="540"/>
      <c r="M14" s="541"/>
      <c r="N14" s="541"/>
      <c r="P14" s="539">
        <v>10.0</v>
      </c>
      <c r="Q14" s="541"/>
      <c r="R14" s="541"/>
      <c r="T14" s="46"/>
      <c r="U14" s="553" t="s">
        <v>186</v>
      </c>
      <c r="V14" s="554">
        <f>V9+V13-W13-X13</f>
        <v>65400</v>
      </c>
      <c r="W14" s="554"/>
      <c r="X14" s="554"/>
      <c r="Y14" s="554">
        <f>Y9+Y13-Z13-AA13</f>
        <v>0</v>
      </c>
      <c r="Z14" s="554"/>
      <c r="AA14" s="554"/>
    </row>
    <row r="15" ht="13.5" customHeight="1">
      <c r="A15" s="536">
        <f>A10+1</f>
        <v>3</v>
      </c>
      <c r="B15" s="555" t="s">
        <v>187</v>
      </c>
      <c r="C15" s="133">
        <v>34970.0</v>
      </c>
      <c r="D15" s="133"/>
      <c r="E15" s="133"/>
      <c r="F15" s="133"/>
      <c r="G15" s="558"/>
      <c r="H15" s="538"/>
      <c r="I15" s="548"/>
      <c r="J15" s="539">
        <v>11.0</v>
      </c>
      <c r="K15" s="540"/>
      <c r="L15" s="540"/>
      <c r="M15" s="541"/>
      <c r="N15" s="541"/>
      <c r="P15" s="539">
        <v>11.0</v>
      </c>
      <c r="Q15" s="541"/>
      <c r="R15" s="541"/>
      <c r="T15" s="543">
        <f>T10+1</f>
        <v>3</v>
      </c>
      <c r="U15" s="555"/>
      <c r="V15" s="133"/>
      <c r="W15" s="133"/>
      <c r="X15" s="133"/>
      <c r="Y15" s="133"/>
      <c r="Z15" s="133"/>
      <c r="AA15" s="133"/>
    </row>
    <row r="16" ht="13.5" customHeight="1">
      <c r="A16" s="545"/>
      <c r="B16" s="133"/>
      <c r="C16" s="133"/>
      <c r="D16" s="133"/>
      <c r="E16" s="133"/>
      <c r="F16" s="133"/>
      <c r="G16" s="558"/>
      <c r="H16" s="538"/>
      <c r="I16" s="548"/>
      <c r="J16" s="539">
        <v>12.0</v>
      </c>
      <c r="K16" s="540"/>
      <c r="L16" s="540"/>
      <c r="M16" s="541"/>
      <c r="N16" s="541"/>
      <c r="O16" s="303" t="s">
        <v>159</v>
      </c>
      <c r="P16" s="539">
        <v>12.0</v>
      </c>
      <c r="Q16" s="541"/>
      <c r="R16" s="541"/>
      <c r="T16" s="545"/>
      <c r="U16" s="133"/>
      <c r="V16" s="133"/>
      <c r="W16" s="133"/>
      <c r="X16" s="133"/>
      <c r="Y16" s="133"/>
      <c r="Z16" s="133"/>
      <c r="AA16" s="133"/>
    </row>
    <row r="17" ht="13.5" customHeight="1">
      <c r="A17" s="545"/>
      <c r="B17" s="133"/>
      <c r="C17" s="133"/>
      <c r="D17" s="133"/>
      <c r="E17" s="133"/>
      <c r="F17" s="133"/>
      <c r="G17" s="537"/>
      <c r="H17" s="538"/>
      <c r="I17" s="548"/>
      <c r="J17" s="539">
        <v>13.0</v>
      </c>
      <c r="K17" s="540"/>
      <c r="L17" s="540"/>
      <c r="M17" s="541"/>
      <c r="N17" s="541"/>
      <c r="P17" s="539">
        <v>13.0</v>
      </c>
      <c r="Q17" s="541"/>
      <c r="R17" s="541"/>
      <c r="T17" s="545"/>
      <c r="U17" s="133"/>
      <c r="V17" s="133"/>
      <c r="W17" s="133"/>
      <c r="X17" s="133"/>
      <c r="Y17" s="133"/>
      <c r="Z17" s="133"/>
      <c r="AA17" s="133"/>
    </row>
    <row r="18" ht="13.5" customHeight="1">
      <c r="A18" s="545"/>
      <c r="B18" s="133"/>
      <c r="C18" s="133"/>
      <c r="D18" s="133"/>
      <c r="E18" s="133"/>
      <c r="F18" s="133"/>
      <c r="G18" s="537"/>
      <c r="H18" s="538"/>
      <c r="I18" s="224"/>
      <c r="J18" s="539">
        <v>14.0</v>
      </c>
      <c r="K18" s="540"/>
      <c r="L18" s="540"/>
      <c r="M18" s="541"/>
      <c r="N18" s="541"/>
      <c r="P18" s="539">
        <v>14.0</v>
      </c>
      <c r="Q18" s="541"/>
      <c r="R18" s="541"/>
      <c r="T18" s="545"/>
      <c r="U18" s="549" t="s">
        <v>129</v>
      </c>
      <c r="V18" s="550">
        <f>C19</f>
        <v>34970</v>
      </c>
      <c r="W18" s="550">
        <f t="shared" ref="W18:X18" si="7">W14+W15+W16+W17</f>
        <v>0</v>
      </c>
      <c r="X18" s="550">
        <f t="shared" si="7"/>
        <v>0</v>
      </c>
      <c r="Y18" s="550">
        <f>D19</f>
        <v>0</v>
      </c>
      <c r="Z18" s="550">
        <f t="shared" ref="Z18:AA18" si="8">Z14+Z15+Z16+Z17</f>
        <v>0</v>
      </c>
      <c r="AA18" s="550">
        <f t="shared" si="8"/>
        <v>0</v>
      </c>
    </row>
    <row r="19" ht="13.5" customHeight="1">
      <c r="A19" s="46"/>
      <c r="B19" s="549" t="s">
        <v>129</v>
      </c>
      <c r="C19" s="550">
        <f t="shared" ref="C19:F19" si="9">C15+C16+C17+C18</f>
        <v>34970</v>
      </c>
      <c r="D19" s="550">
        <f t="shared" si="9"/>
        <v>0</v>
      </c>
      <c r="E19" s="550">
        <f t="shared" si="9"/>
        <v>0</v>
      </c>
      <c r="F19" s="550">
        <f t="shared" si="9"/>
        <v>0</v>
      </c>
      <c r="G19" s="551"/>
      <c r="H19" s="552">
        <f>H15+H16+H17+H18</f>
        <v>0</v>
      </c>
      <c r="I19" s="224"/>
      <c r="J19" s="539">
        <v>15.0</v>
      </c>
      <c r="K19" s="540"/>
      <c r="L19" s="540"/>
      <c r="M19" s="541"/>
      <c r="N19" s="541"/>
      <c r="P19" s="539">
        <v>15.0</v>
      </c>
      <c r="Q19" s="541"/>
      <c r="R19" s="541"/>
      <c r="T19" s="46"/>
      <c r="U19" s="553" t="s">
        <v>186</v>
      </c>
      <c r="V19" s="554">
        <f>V14+V18-W18-X18</f>
        <v>100370</v>
      </c>
      <c r="W19" s="554"/>
      <c r="X19" s="554"/>
      <c r="Y19" s="554">
        <f>Y14+Y18-Z18-AA18</f>
        <v>0</v>
      </c>
      <c r="Z19" s="554"/>
      <c r="AA19" s="554"/>
    </row>
    <row r="20" ht="13.5" customHeight="1">
      <c r="A20" s="536">
        <f>A15+1</f>
        <v>4</v>
      </c>
      <c r="B20" s="133">
        <v>31088.0</v>
      </c>
      <c r="C20" s="133"/>
      <c r="D20" s="133">
        <v>32770.0</v>
      </c>
      <c r="E20" s="133"/>
      <c r="F20" s="133"/>
      <c r="G20" s="125"/>
      <c r="H20" s="538"/>
      <c r="I20" s="224"/>
      <c r="J20" s="539">
        <v>16.0</v>
      </c>
      <c r="K20" s="540"/>
      <c r="L20" s="540"/>
      <c r="M20" s="541"/>
      <c r="N20" s="541"/>
      <c r="P20" s="539">
        <v>16.0</v>
      </c>
      <c r="Q20" s="541"/>
      <c r="R20" s="541"/>
      <c r="T20" s="543">
        <f>T15+1</f>
        <v>4</v>
      </c>
      <c r="U20" s="133"/>
      <c r="V20" s="133"/>
      <c r="W20" s="133"/>
      <c r="X20" s="133"/>
      <c r="Y20" s="133"/>
      <c r="Z20" s="133"/>
      <c r="AA20" s="133"/>
    </row>
    <row r="21" ht="13.5" customHeight="1">
      <c r="A21" s="545"/>
      <c r="B21" s="133"/>
      <c r="C21" s="133"/>
      <c r="D21" s="133"/>
      <c r="E21" s="133"/>
      <c r="F21" s="133"/>
      <c r="G21" s="125"/>
      <c r="H21" s="538"/>
      <c r="I21" s="97"/>
      <c r="J21" s="539">
        <v>17.0</v>
      </c>
      <c r="K21" s="540"/>
      <c r="L21" s="540"/>
      <c r="M21" s="541"/>
      <c r="N21" s="541"/>
      <c r="P21" s="539">
        <v>17.0</v>
      </c>
      <c r="Q21" s="541"/>
      <c r="R21" s="541"/>
      <c r="T21" s="545"/>
      <c r="U21" s="133"/>
      <c r="V21" s="133"/>
      <c r="W21" s="133"/>
      <c r="X21" s="133"/>
      <c r="Y21" s="133"/>
      <c r="Z21" s="133"/>
      <c r="AA21" s="133"/>
    </row>
    <row r="22" ht="13.5" customHeight="1">
      <c r="A22" s="545"/>
      <c r="B22" s="133"/>
      <c r="C22" s="133"/>
      <c r="D22" s="133"/>
      <c r="E22" s="133"/>
      <c r="F22" s="133"/>
      <c r="G22" s="60"/>
      <c r="H22" s="538"/>
      <c r="I22" s="97"/>
      <c r="J22" s="539">
        <v>18.0</v>
      </c>
      <c r="K22" s="540">
        <v>224771.0</v>
      </c>
      <c r="L22" s="540">
        <v>19030.0</v>
      </c>
      <c r="M22" s="541"/>
      <c r="N22" s="541"/>
      <c r="P22" s="539">
        <v>18.0</v>
      </c>
      <c r="Q22" s="541"/>
      <c r="R22" s="541"/>
      <c r="T22" s="545"/>
      <c r="U22" s="133"/>
      <c r="V22" s="133"/>
      <c r="W22" s="133"/>
      <c r="X22" s="133"/>
      <c r="Y22" s="133"/>
      <c r="Z22" s="133"/>
      <c r="AA22" s="133"/>
    </row>
    <row r="23" ht="13.5" customHeight="1">
      <c r="A23" s="545"/>
      <c r="B23" s="133"/>
      <c r="C23" s="133"/>
      <c r="D23" s="133"/>
      <c r="E23" s="133"/>
      <c r="F23" s="133"/>
      <c r="G23" s="60"/>
      <c r="H23" s="538"/>
      <c r="I23" s="97"/>
      <c r="J23" s="539">
        <v>19.0</v>
      </c>
      <c r="K23" s="540"/>
      <c r="L23" s="540"/>
      <c r="M23" s="541"/>
      <c r="N23" s="541"/>
      <c r="P23" s="539">
        <v>19.0</v>
      </c>
      <c r="Q23" s="541"/>
      <c r="R23" s="541"/>
      <c r="T23" s="545"/>
      <c r="U23" s="549" t="s">
        <v>129</v>
      </c>
      <c r="V23" s="550">
        <f>C24</f>
        <v>0</v>
      </c>
      <c r="W23" s="550">
        <f t="shared" ref="W23:X23" si="10">W19+W20+W21+W22</f>
        <v>0</v>
      </c>
      <c r="X23" s="550">
        <f t="shared" si="10"/>
        <v>0</v>
      </c>
      <c r="Y23" s="550">
        <f>D24</f>
        <v>32770</v>
      </c>
      <c r="Z23" s="550">
        <f t="shared" ref="Z23:AA23" si="11">Z19+Z20+Z21+Z22</f>
        <v>0</v>
      </c>
      <c r="AA23" s="550">
        <f t="shared" si="11"/>
        <v>0</v>
      </c>
    </row>
    <row r="24" ht="13.5" customHeight="1">
      <c r="A24" s="46"/>
      <c r="B24" s="549" t="s">
        <v>129</v>
      </c>
      <c r="C24" s="550">
        <f t="shared" ref="C24:F24" si="12">C20+C21+C22+C23</f>
        <v>0</v>
      </c>
      <c r="D24" s="550">
        <f t="shared" si="12"/>
        <v>32770</v>
      </c>
      <c r="E24" s="550">
        <f t="shared" si="12"/>
        <v>0</v>
      </c>
      <c r="F24" s="550">
        <f t="shared" si="12"/>
        <v>0</v>
      </c>
      <c r="G24" s="550"/>
      <c r="H24" s="552">
        <f>H20+H21+H22+H23</f>
        <v>0</v>
      </c>
      <c r="I24" s="97"/>
      <c r="J24" s="539">
        <v>20.0</v>
      </c>
      <c r="K24" s="540"/>
      <c r="L24" s="540"/>
      <c r="M24" s="541"/>
      <c r="N24" s="541"/>
      <c r="P24" s="539">
        <v>20.0</v>
      </c>
      <c r="Q24" s="541"/>
      <c r="R24" s="541"/>
      <c r="T24" s="46"/>
      <c r="U24" s="553" t="s">
        <v>186</v>
      </c>
      <c r="V24" s="554">
        <f>V19+V23-W23-X23</f>
        <v>100370</v>
      </c>
      <c r="W24" s="554"/>
      <c r="X24" s="554"/>
      <c r="Y24" s="554">
        <f>Y19+Y23-Z23-AA23</f>
        <v>32770</v>
      </c>
      <c r="Z24" s="554"/>
      <c r="AA24" s="554"/>
    </row>
    <row r="25" ht="13.5" customHeight="1">
      <c r="A25" s="536">
        <f>A20+1</f>
        <v>5</v>
      </c>
      <c r="B25" s="133"/>
      <c r="C25" s="133"/>
      <c r="D25" s="133"/>
      <c r="E25" s="133"/>
      <c r="F25" s="133"/>
      <c r="G25" s="133"/>
      <c r="H25" s="538"/>
      <c r="I25" s="97"/>
      <c r="J25" s="539">
        <v>21.0</v>
      </c>
      <c r="K25" s="540"/>
      <c r="L25" s="540"/>
      <c r="M25" s="541"/>
      <c r="N25" s="541"/>
      <c r="P25" s="539">
        <v>21.0</v>
      </c>
      <c r="Q25" s="541"/>
      <c r="R25" s="541"/>
      <c r="T25" s="543">
        <f>T20+1</f>
        <v>5</v>
      </c>
      <c r="U25" s="133"/>
      <c r="V25" s="133"/>
      <c r="W25" s="133"/>
      <c r="X25" s="133"/>
      <c r="Y25" s="133"/>
      <c r="Z25" s="133"/>
      <c r="AA25" s="133"/>
    </row>
    <row r="26" ht="13.5" customHeight="1">
      <c r="A26" s="545"/>
      <c r="B26" s="133"/>
      <c r="C26" s="133"/>
      <c r="D26" s="133"/>
      <c r="E26" s="133"/>
      <c r="F26" s="133"/>
      <c r="G26" s="133"/>
      <c r="H26" s="538"/>
      <c r="I26" s="97"/>
      <c r="J26" s="539">
        <v>22.0</v>
      </c>
      <c r="K26" s="559"/>
      <c r="L26" s="559"/>
      <c r="M26" s="133"/>
      <c r="N26" s="133"/>
      <c r="P26" s="539">
        <v>22.0</v>
      </c>
      <c r="Q26" s="133"/>
      <c r="R26" s="133"/>
      <c r="T26" s="545"/>
      <c r="U26" s="133"/>
      <c r="V26" s="133"/>
      <c r="W26" s="133"/>
      <c r="X26" s="133"/>
      <c r="Y26" s="133"/>
      <c r="Z26" s="133"/>
      <c r="AA26" s="133"/>
    </row>
    <row r="27" ht="13.5" customHeight="1">
      <c r="A27" s="545"/>
      <c r="B27" s="133"/>
      <c r="C27" s="133"/>
      <c r="D27" s="133"/>
      <c r="E27" s="133"/>
      <c r="F27" s="133"/>
      <c r="G27" s="133"/>
      <c r="H27" s="538"/>
      <c r="I27" s="97"/>
      <c r="J27" s="539">
        <v>23.0</v>
      </c>
      <c r="K27" s="559"/>
      <c r="L27" s="559"/>
      <c r="M27" s="133"/>
      <c r="N27" s="133"/>
      <c r="P27" s="539">
        <v>23.0</v>
      </c>
      <c r="Q27" s="133"/>
      <c r="R27" s="133"/>
      <c r="T27" s="545"/>
      <c r="U27" s="133"/>
      <c r="V27" s="133"/>
      <c r="W27" s="133"/>
      <c r="X27" s="133"/>
      <c r="Y27" s="133"/>
      <c r="Z27" s="133"/>
      <c r="AA27" s="133"/>
    </row>
    <row r="28" ht="13.5" customHeight="1">
      <c r="A28" s="545"/>
      <c r="B28" s="133"/>
      <c r="C28" s="133"/>
      <c r="D28" s="133"/>
      <c r="E28" s="133"/>
      <c r="F28" s="133"/>
      <c r="G28" s="133"/>
      <c r="H28" s="538"/>
      <c r="I28" s="97"/>
      <c r="J28" s="539">
        <v>24.0</v>
      </c>
      <c r="K28" s="559">
        <v>225237.0</v>
      </c>
      <c r="L28" s="559">
        <v>18680.0</v>
      </c>
      <c r="M28" s="133"/>
      <c r="N28" s="133"/>
      <c r="P28" s="539">
        <v>24.0</v>
      </c>
      <c r="Q28" s="133"/>
      <c r="R28" s="133"/>
      <c r="T28" s="545"/>
      <c r="U28" s="549" t="s">
        <v>129</v>
      </c>
      <c r="V28" s="550">
        <f>C29</f>
        <v>0</v>
      </c>
      <c r="W28" s="550">
        <f t="shared" ref="W28:X28" si="13">W24+W25+W26+W27</f>
        <v>0</v>
      </c>
      <c r="X28" s="550">
        <f t="shared" si="13"/>
        <v>0</v>
      </c>
      <c r="Y28" s="550">
        <f>D29</f>
        <v>0</v>
      </c>
      <c r="Z28" s="550">
        <f t="shared" ref="Z28:AA28" si="14">Z24+Z25+Z26+Z27</f>
        <v>0</v>
      </c>
      <c r="AA28" s="550">
        <f t="shared" si="14"/>
        <v>0</v>
      </c>
    </row>
    <row r="29" ht="13.5" customHeight="1">
      <c r="A29" s="46"/>
      <c r="B29" s="549" t="s">
        <v>129</v>
      </c>
      <c r="C29" s="550">
        <f t="shared" ref="C29:F29" si="15">C25+C26+C27+C28</f>
        <v>0</v>
      </c>
      <c r="D29" s="550">
        <f t="shared" si="15"/>
        <v>0</v>
      </c>
      <c r="E29" s="550">
        <f t="shared" si="15"/>
        <v>0</v>
      </c>
      <c r="F29" s="550">
        <f t="shared" si="15"/>
        <v>0</v>
      </c>
      <c r="G29" s="550"/>
      <c r="H29" s="552">
        <f>H25+H26+H27+H28</f>
        <v>0</v>
      </c>
      <c r="I29" s="97"/>
      <c r="J29" s="539">
        <v>25.0</v>
      </c>
      <c r="K29" s="559"/>
      <c r="L29" s="559"/>
      <c r="M29" s="133"/>
      <c r="N29" s="133"/>
      <c r="P29" s="539">
        <v>25.0</v>
      </c>
      <c r="Q29" s="133"/>
      <c r="R29" s="133"/>
      <c r="T29" s="46"/>
      <c r="U29" s="553" t="s">
        <v>186</v>
      </c>
      <c r="V29" s="554">
        <f>V24+V28-W28-X28</f>
        <v>100370</v>
      </c>
      <c r="W29" s="554"/>
      <c r="X29" s="554"/>
      <c r="Y29" s="554">
        <f>Y24+Y28-Z28-AA28</f>
        <v>32770</v>
      </c>
      <c r="Z29" s="554"/>
      <c r="AA29" s="554"/>
    </row>
    <row r="30" ht="13.5" customHeight="1">
      <c r="A30" s="536">
        <f>A25+1</f>
        <v>6</v>
      </c>
      <c r="B30" s="133">
        <v>31137.0</v>
      </c>
      <c r="C30" s="133"/>
      <c r="D30" s="133">
        <v>35020.0</v>
      </c>
      <c r="E30" s="133"/>
      <c r="F30" s="133"/>
      <c r="G30" s="133"/>
      <c r="H30" s="538"/>
      <c r="I30" s="97"/>
      <c r="J30" s="539">
        <v>26.0</v>
      </c>
      <c r="K30" s="559">
        <v>225645.0</v>
      </c>
      <c r="L30" s="559">
        <v>17830.0</v>
      </c>
      <c r="M30" s="133"/>
      <c r="N30" s="133"/>
      <c r="P30" s="539">
        <v>26.0</v>
      </c>
      <c r="Q30" s="133">
        <v>43896.0</v>
      </c>
      <c r="R30" s="133">
        <v>2400.0</v>
      </c>
      <c r="T30" s="543">
        <f>T25+1</f>
        <v>6</v>
      </c>
      <c r="U30" s="133"/>
      <c r="V30" s="133"/>
      <c r="W30" s="133"/>
      <c r="X30" s="133"/>
      <c r="Y30" s="133"/>
      <c r="Z30" s="133"/>
      <c r="AA30" s="133"/>
    </row>
    <row r="31" ht="13.5" customHeight="1">
      <c r="A31" s="545"/>
      <c r="B31" s="133">
        <v>31127.0</v>
      </c>
      <c r="C31" s="133"/>
      <c r="D31" s="133"/>
      <c r="E31" s="133"/>
      <c r="F31" s="133">
        <v>29960.0</v>
      </c>
      <c r="G31" s="133"/>
      <c r="H31" s="538"/>
      <c r="I31" s="97"/>
      <c r="J31" s="539">
        <v>27.0</v>
      </c>
      <c r="K31" s="559"/>
      <c r="L31" s="559"/>
      <c r="M31" s="133"/>
      <c r="N31" s="133"/>
      <c r="P31" s="539">
        <v>27.0</v>
      </c>
      <c r="Q31" s="133"/>
      <c r="R31" s="133"/>
      <c r="T31" s="545"/>
      <c r="U31" s="133"/>
      <c r="V31" s="133"/>
      <c r="W31" s="133"/>
      <c r="X31" s="133"/>
      <c r="Y31" s="133"/>
      <c r="Z31" s="133"/>
      <c r="AA31" s="133"/>
    </row>
    <row r="32" ht="13.5" customHeight="1">
      <c r="A32" s="545"/>
      <c r="B32" s="133">
        <v>31132.0</v>
      </c>
      <c r="C32" s="133"/>
      <c r="D32" s="133"/>
      <c r="E32" s="133"/>
      <c r="F32" s="133">
        <v>35090.0</v>
      </c>
      <c r="G32" s="133"/>
      <c r="H32" s="538"/>
      <c r="I32" s="97"/>
      <c r="J32" s="539">
        <v>28.0</v>
      </c>
      <c r="K32" s="559"/>
      <c r="L32" s="559"/>
      <c r="M32" s="133"/>
      <c r="N32" s="133"/>
      <c r="P32" s="539">
        <v>28.0</v>
      </c>
      <c r="Q32" s="133"/>
      <c r="R32" s="133"/>
      <c r="T32" s="545"/>
      <c r="U32" s="133"/>
      <c r="V32" s="133"/>
      <c r="W32" s="133"/>
      <c r="X32" s="133"/>
      <c r="Y32" s="133"/>
      <c r="Z32" s="133"/>
      <c r="AA32" s="133"/>
    </row>
    <row r="33" ht="13.5" customHeight="1">
      <c r="A33" s="545"/>
      <c r="B33" s="133"/>
      <c r="C33" s="133"/>
      <c r="D33" s="133"/>
      <c r="E33" s="133"/>
      <c r="F33" s="133"/>
      <c r="G33" s="133"/>
      <c r="H33" s="538"/>
      <c r="I33" s="97"/>
      <c r="J33" s="539">
        <v>29.0</v>
      </c>
      <c r="K33" s="559"/>
      <c r="L33" s="559"/>
      <c r="M33" s="133"/>
      <c r="N33" s="133"/>
      <c r="P33" s="539">
        <v>29.0</v>
      </c>
      <c r="Q33" s="133"/>
      <c r="R33" s="133"/>
      <c r="T33" s="545"/>
      <c r="U33" s="549" t="s">
        <v>129</v>
      </c>
      <c r="V33" s="550">
        <f>C34</f>
        <v>0</v>
      </c>
      <c r="W33" s="550">
        <f t="shared" ref="W33:X33" si="16">W29+W30+W31+W32</f>
        <v>0</v>
      </c>
      <c r="X33" s="550">
        <f t="shared" si="16"/>
        <v>0</v>
      </c>
      <c r="Y33" s="550">
        <f>D34</f>
        <v>35020</v>
      </c>
      <c r="Z33" s="550">
        <f t="shared" ref="Z33:AA33" si="17">Z29+Z30+Z31+Z32</f>
        <v>0</v>
      </c>
      <c r="AA33" s="550">
        <f t="shared" si="17"/>
        <v>0</v>
      </c>
    </row>
    <row r="34" ht="13.5" customHeight="1">
      <c r="A34" s="46"/>
      <c r="B34" s="549" t="s">
        <v>129</v>
      </c>
      <c r="C34" s="550">
        <f t="shared" ref="C34:F34" si="18">C30+C31+C32+C33</f>
        <v>0</v>
      </c>
      <c r="D34" s="550">
        <f t="shared" si="18"/>
        <v>35020</v>
      </c>
      <c r="E34" s="550">
        <f t="shared" si="18"/>
        <v>0</v>
      </c>
      <c r="F34" s="550">
        <f t="shared" si="18"/>
        <v>65050</v>
      </c>
      <c r="G34" s="550"/>
      <c r="H34" s="552">
        <f>H30+H31+H32+H33</f>
        <v>0</v>
      </c>
      <c r="I34" s="97"/>
      <c r="J34" s="539">
        <v>30.0</v>
      </c>
      <c r="K34" s="559"/>
      <c r="L34" s="559"/>
      <c r="M34" s="133"/>
      <c r="N34" s="133"/>
      <c r="P34" s="539">
        <v>30.0</v>
      </c>
      <c r="Q34" s="133"/>
      <c r="R34" s="133"/>
      <c r="T34" s="46"/>
      <c r="U34" s="553" t="s">
        <v>186</v>
      </c>
      <c r="V34" s="554">
        <f>V29+V33-W33-X33</f>
        <v>100370</v>
      </c>
      <c r="W34" s="554"/>
      <c r="X34" s="554"/>
      <c r="Y34" s="554">
        <f>Y29+Y33-Z33-AA33</f>
        <v>67790</v>
      </c>
      <c r="Z34" s="554"/>
      <c r="AA34" s="554"/>
    </row>
    <row r="35" ht="13.5" customHeight="1">
      <c r="A35" s="536">
        <f>A30+1</f>
        <v>7</v>
      </c>
      <c r="B35" s="133"/>
      <c r="C35" s="133"/>
      <c r="D35" s="133"/>
      <c r="E35" s="133"/>
      <c r="F35" s="133"/>
      <c r="G35" s="537"/>
      <c r="H35" s="538"/>
      <c r="I35" s="97"/>
      <c r="J35" s="539">
        <v>31.0</v>
      </c>
      <c r="K35" s="559"/>
      <c r="L35" s="559"/>
      <c r="M35" s="133"/>
      <c r="N35" s="133"/>
      <c r="P35" s="539">
        <v>31.0</v>
      </c>
      <c r="Q35" s="133"/>
      <c r="R35" s="133"/>
      <c r="T35" s="543">
        <f>T30+1</f>
        <v>7</v>
      </c>
      <c r="U35" s="133"/>
      <c r="V35" s="133"/>
      <c r="W35" s="133"/>
      <c r="X35" s="133"/>
      <c r="Y35" s="133"/>
      <c r="Z35" s="133"/>
      <c r="AA35" s="133"/>
    </row>
    <row r="36" ht="13.5" customHeight="1">
      <c r="A36" s="545"/>
      <c r="B36" s="133"/>
      <c r="C36" s="133"/>
      <c r="D36" s="133"/>
      <c r="E36" s="133"/>
      <c r="F36" s="133"/>
      <c r="G36" s="537"/>
      <c r="H36" s="538"/>
      <c r="I36" s="97"/>
      <c r="J36" s="97"/>
      <c r="K36" s="97"/>
      <c r="L36" s="97"/>
      <c r="M36" s="97"/>
      <c r="N36" s="97"/>
      <c r="P36" s="97"/>
      <c r="Q36" s="97"/>
      <c r="R36" s="97"/>
      <c r="T36" s="545"/>
      <c r="U36" s="133"/>
      <c r="V36" s="133"/>
      <c r="W36" s="133"/>
      <c r="X36" s="133"/>
      <c r="Y36" s="133"/>
      <c r="Z36" s="133"/>
      <c r="AA36" s="133"/>
    </row>
    <row r="37" ht="13.5" customHeight="1">
      <c r="A37" s="545"/>
      <c r="B37" s="133"/>
      <c r="C37" s="133"/>
      <c r="D37" s="133"/>
      <c r="E37" s="133"/>
      <c r="F37" s="133"/>
      <c r="G37" s="537"/>
      <c r="H37" s="538"/>
      <c r="I37" s="97"/>
      <c r="J37" s="247" t="s">
        <v>188</v>
      </c>
      <c r="K37" s="128"/>
      <c r="L37" s="560">
        <f>SUM(RECEBIMENTO!L5:L35)</f>
        <v>74630</v>
      </c>
      <c r="M37" s="97"/>
      <c r="N37" s="560">
        <f>SUM(RECEBIMENTO!N5:N35)</f>
        <v>0</v>
      </c>
      <c r="P37" s="561" t="s">
        <v>55</v>
      </c>
      <c r="Q37" s="128"/>
      <c r="R37" s="560">
        <f>SUM(R5:R35)</f>
        <v>2400</v>
      </c>
      <c r="T37" s="545"/>
      <c r="U37" s="133"/>
      <c r="V37" s="133"/>
      <c r="W37" s="133"/>
      <c r="X37" s="133"/>
      <c r="Y37" s="133"/>
      <c r="Z37" s="133"/>
      <c r="AA37" s="133"/>
    </row>
    <row r="38" ht="13.5" customHeight="1">
      <c r="A38" s="545"/>
      <c r="B38" s="133"/>
      <c r="C38" s="133"/>
      <c r="D38" s="133"/>
      <c r="E38" s="133"/>
      <c r="F38" s="133"/>
      <c r="G38" s="125"/>
      <c r="H38" s="538"/>
      <c r="I38" s="97"/>
      <c r="J38" s="247" t="s">
        <v>189</v>
      </c>
      <c r="K38" s="128"/>
      <c r="L38" s="172">
        <f>SUM(RECEBIMENTO!L37,RECEBIMENTO!N37)</f>
        <v>74630</v>
      </c>
      <c r="M38" s="128"/>
      <c r="N38" s="97"/>
      <c r="T38" s="545"/>
      <c r="U38" s="549" t="s">
        <v>129</v>
      </c>
      <c r="V38" s="550">
        <f>C39</f>
        <v>0</v>
      </c>
      <c r="W38" s="550">
        <f t="shared" ref="W38:X38" si="19">W34+W35+W36+W37</f>
        <v>0</v>
      </c>
      <c r="X38" s="550">
        <f t="shared" si="19"/>
        <v>0</v>
      </c>
      <c r="Y38" s="550">
        <f>D39</f>
        <v>0</v>
      </c>
      <c r="Z38" s="550">
        <f t="shared" ref="Z38:AA38" si="20">Z34+Z35+Z36+Z37</f>
        <v>0</v>
      </c>
      <c r="AA38" s="550">
        <f t="shared" si="20"/>
        <v>0</v>
      </c>
    </row>
    <row r="39" ht="13.5" customHeight="1">
      <c r="A39" s="46"/>
      <c r="B39" s="549" t="s">
        <v>129</v>
      </c>
      <c r="C39" s="550">
        <f t="shared" ref="C39:F39" si="21">C35+C36+C37+C38</f>
        <v>0</v>
      </c>
      <c r="D39" s="550">
        <f t="shared" si="21"/>
        <v>0</v>
      </c>
      <c r="E39" s="550">
        <f t="shared" si="21"/>
        <v>0</v>
      </c>
      <c r="F39" s="550">
        <f t="shared" si="21"/>
        <v>0</v>
      </c>
      <c r="G39" s="562"/>
      <c r="H39" s="552">
        <f>H35+H36+H37+H38</f>
        <v>0</v>
      </c>
      <c r="I39" s="97"/>
      <c r="T39" s="46"/>
      <c r="U39" s="553" t="s">
        <v>186</v>
      </c>
      <c r="V39" s="554">
        <f>V34+V38-W38-X38</f>
        <v>100370</v>
      </c>
      <c r="W39" s="554"/>
      <c r="X39" s="554"/>
      <c r="Y39" s="554">
        <f>Y34+Y38-Z38-AA38</f>
        <v>67790</v>
      </c>
      <c r="Z39" s="554"/>
      <c r="AA39" s="554"/>
    </row>
    <row r="40" ht="13.5" customHeight="1">
      <c r="A40" s="536">
        <f>A35+1</f>
        <v>8</v>
      </c>
      <c r="B40" s="133"/>
      <c r="C40" s="133"/>
      <c r="D40" s="133"/>
      <c r="E40" s="133"/>
      <c r="F40" s="133"/>
      <c r="G40" s="60"/>
      <c r="H40" s="538"/>
      <c r="I40" s="97"/>
      <c r="T40" s="543">
        <f>T35+1</f>
        <v>8</v>
      </c>
      <c r="U40" s="133"/>
      <c r="V40" s="133"/>
      <c r="W40" s="133"/>
      <c r="X40" s="133"/>
      <c r="Y40" s="133"/>
      <c r="Z40" s="133"/>
      <c r="AA40" s="133"/>
    </row>
    <row r="41" ht="13.5" customHeight="1">
      <c r="A41" s="545"/>
      <c r="B41" s="133"/>
      <c r="C41" s="133"/>
      <c r="D41" s="133"/>
      <c r="E41" s="133"/>
      <c r="F41" s="133"/>
      <c r="G41" s="60"/>
      <c r="H41" s="538"/>
      <c r="I41" s="97"/>
      <c r="T41" s="545"/>
      <c r="U41" s="133"/>
      <c r="V41" s="133"/>
      <c r="W41" s="133"/>
      <c r="X41" s="133"/>
      <c r="Y41" s="133"/>
      <c r="Z41" s="133"/>
      <c r="AA41" s="133"/>
    </row>
    <row r="42" ht="13.5" customHeight="1">
      <c r="A42" s="545"/>
      <c r="B42" s="133"/>
      <c r="C42" s="133"/>
      <c r="D42" s="133"/>
      <c r="E42" s="133"/>
      <c r="F42" s="133"/>
      <c r="G42" s="133"/>
      <c r="H42" s="538"/>
      <c r="I42" s="97"/>
      <c r="T42" s="545"/>
      <c r="U42" s="133"/>
      <c r="V42" s="133"/>
      <c r="W42" s="133"/>
      <c r="X42" s="133"/>
      <c r="Y42" s="133"/>
      <c r="Z42" s="133"/>
      <c r="AA42" s="133"/>
    </row>
    <row r="43" ht="13.5" customHeight="1">
      <c r="A43" s="545"/>
      <c r="B43" s="133"/>
      <c r="C43" s="133"/>
      <c r="D43" s="133"/>
      <c r="E43" s="133"/>
      <c r="F43" s="133"/>
      <c r="G43" s="133"/>
      <c r="H43" s="538"/>
      <c r="I43" s="97"/>
      <c r="T43" s="545"/>
      <c r="U43" s="549" t="s">
        <v>129</v>
      </c>
      <c r="V43" s="550">
        <f>C44</f>
        <v>0</v>
      </c>
      <c r="W43" s="550">
        <f t="shared" ref="W43:X43" si="22">W39+W40+W41+W42</f>
        <v>0</v>
      </c>
      <c r="X43" s="550">
        <f t="shared" si="22"/>
        <v>0</v>
      </c>
      <c r="Y43" s="550">
        <f>D44</f>
        <v>0</v>
      </c>
      <c r="Z43" s="550">
        <f t="shared" ref="Z43:AA43" si="23">Z39+Z40+Z41+Z42</f>
        <v>0</v>
      </c>
      <c r="AA43" s="550">
        <f t="shared" si="23"/>
        <v>0</v>
      </c>
    </row>
    <row r="44" ht="13.5" customHeight="1">
      <c r="A44" s="46"/>
      <c r="B44" s="549" t="s">
        <v>129</v>
      </c>
      <c r="C44" s="550">
        <f t="shared" ref="C44:F44" si="24">C40+C41+C42+C43</f>
        <v>0</v>
      </c>
      <c r="D44" s="550">
        <f t="shared" si="24"/>
        <v>0</v>
      </c>
      <c r="E44" s="550">
        <f t="shared" si="24"/>
        <v>0</v>
      </c>
      <c r="F44" s="550">
        <f t="shared" si="24"/>
        <v>0</v>
      </c>
      <c r="G44" s="550"/>
      <c r="H44" s="552">
        <f>H40+H41+H42+H43</f>
        <v>0</v>
      </c>
      <c r="I44" s="97"/>
      <c r="T44" s="46"/>
      <c r="U44" s="553" t="s">
        <v>186</v>
      </c>
      <c r="V44" s="554">
        <f>V39+V43-W43-X43</f>
        <v>100370</v>
      </c>
      <c r="W44" s="554"/>
      <c r="X44" s="554"/>
      <c r="Y44" s="554">
        <f>Y39+Y43-Z43-AA43</f>
        <v>67790</v>
      </c>
      <c r="Z44" s="554"/>
      <c r="AA44" s="554"/>
    </row>
    <row r="45" ht="13.5" customHeight="1">
      <c r="A45" s="536">
        <f>A40+1</f>
        <v>9</v>
      </c>
      <c r="B45" s="133">
        <v>31164.0</v>
      </c>
      <c r="C45" s="133"/>
      <c r="D45" s="133">
        <v>35180.0</v>
      </c>
      <c r="E45" s="133"/>
      <c r="F45" s="133"/>
      <c r="G45" s="133"/>
      <c r="H45" s="538"/>
      <c r="T45" s="543">
        <f>T40+1</f>
        <v>9</v>
      </c>
      <c r="U45" s="133"/>
      <c r="V45" s="133"/>
      <c r="W45" s="133"/>
      <c r="X45" s="133"/>
      <c r="Y45" s="133"/>
      <c r="Z45" s="133"/>
      <c r="AA45" s="133"/>
    </row>
    <row r="46" ht="13.5" customHeight="1">
      <c r="A46" s="545"/>
      <c r="B46" s="133"/>
      <c r="C46" s="133"/>
      <c r="D46" s="133"/>
      <c r="E46" s="133"/>
      <c r="F46" s="133"/>
      <c r="G46" s="133"/>
      <c r="H46" s="538"/>
      <c r="T46" s="545"/>
      <c r="U46" s="133"/>
      <c r="V46" s="133"/>
      <c r="W46" s="133"/>
      <c r="X46" s="133"/>
      <c r="Y46" s="133"/>
      <c r="Z46" s="133"/>
      <c r="AA46" s="133"/>
    </row>
    <row r="47" ht="13.5" customHeight="1">
      <c r="A47" s="545"/>
      <c r="B47" s="133"/>
      <c r="C47" s="133"/>
      <c r="D47" s="133"/>
      <c r="E47" s="133"/>
      <c r="F47" s="133"/>
      <c r="G47" s="133"/>
      <c r="H47" s="538"/>
      <c r="T47" s="545"/>
      <c r="U47" s="133"/>
      <c r="V47" s="133"/>
      <c r="W47" s="133"/>
      <c r="X47" s="133"/>
      <c r="Y47" s="133"/>
      <c r="Z47" s="133"/>
      <c r="AA47" s="133"/>
    </row>
    <row r="48" ht="13.5" customHeight="1">
      <c r="A48" s="545"/>
      <c r="B48" s="133"/>
      <c r="C48" s="133"/>
      <c r="D48" s="133"/>
      <c r="E48" s="133"/>
      <c r="F48" s="133"/>
      <c r="G48" s="133"/>
      <c r="H48" s="538"/>
      <c r="T48" s="545"/>
      <c r="U48" s="549" t="s">
        <v>129</v>
      </c>
      <c r="V48" s="550">
        <f>C49</f>
        <v>0</v>
      </c>
      <c r="W48" s="550">
        <f t="shared" ref="W48:X48" si="25">W44+W45+W46+W47</f>
        <v>0</v>
      </c>
      <c r="X48" s="550">
        <f t="shared" si="25"/>
        <v>0</v>
      </c>
      <c r="Y48" s="550">
        <f>D49</f>
        <v>35180</v>
      </c>
      <c r="Z48" s="550">
        <f t="shared" ref="Z48:AA48" si="26">Z44+Z45+Z46+Z47</f>
        <v>0</v>
      </c>
      <c r="AA48" s="550">
        <f t="shared" si="26"/>
        <v>0</v>
      </c>
    </row>
    <row r="49" ht="13.5" customHeight="1">
      <c r="A49" s="46"/>
      <c r="B49" s="549" t="s">
        <v>129</v>
      </c>
      <c r="C49" s="550">
        <f t="shared" ref="C49:F49" si="27">C45+C46+C47+C48</f>
        <v>0</v>
      </c>
      <c r="D49" s="550">
        <f t="shared" si="27"/>
        <v>35180</v>
      </c>
      <c r="E49" s="550">
        <f t="shared" si="27"/>
        <v>0</v>
      </c>
      <c r="F49" s="550">
        <f t="shared" si="27"/>
        <v>0</v>
      </c>
      <c r="G49" s="550"/>
      <c r="H49" s="552">
        <f>H45+H46+H47+H48</f>
        <v>0</v>
      </c>
      <c r="T49" s="46"/>
      <c r="U49" s="553" t="s">
        <v>186</v>
      </c>
      <c r="V49" s="554">
        <f>V44+V48-W48-X48</f>
        <v>100370</v>
      </c>
      <c r="W49" s="554"/>
      <c r="X49" s="554"/>
      <c r="Y49" s="554">
        <f>Y44+Y48-Z48-AA48</f>
        <v>102970</v>
      </c>
      <c r="Z49" s="554"/>
      <c r="AA49" s="554"/>
    </row>
    <row r="50" ht="13.5" customHeight="1">
      <c r="A50" s="536">
        <f>A45+1</f>
        <v>10</v>
      </c>
      <c r="B50" s="133">
        <v>31184.0</v>
      </c>
      <c r="C50" s="133">
        <v>34920.0</v>
      </c>
      <c r="D50" s="133"/>
      <c r="E50" s="133"/>
      <c r="F50" s="133"/>
      <c r="G50" s="133"/>
      <c r="H50" s="538"/>
      <c r="T50" s="543">
        <f>T45+1</f>
        <v>10</v>
      </c>
      <c r="U50" s="133"/>
      <c r="V50" s="133"/>
      <c r="W50" s="133"/>
      <c r="X50" s="133"/>
      <c r="Y50" s="133"/>
      <c r="Z50" s="133"/>
      <c r="AA50" s="133"/>
    </row>
    <row r="51" ht="13.5" customHeight="1">
      <c r="A51" s="545"/>
      <c r="B51" s="133"/>
      <c r="C51" s="133"/>
      <c r="D51" s="133"/>
      <c r="E51" s="133"/>
      <c r="F51" s="133"/>
      <c r="G51" s="133"/>
      <c r="H51" s="538"/>
      <c r="T51" s="545"/>
      <c r="U51" s="133"/>
      <c r="V51" s="133"/>
      <c r="W51" s="133"/>
      <c r="X51" s="133"/>
      <c r="Y51" s="133"/>
      <c r="Z51" s="133"/>
      <c r="AA51" s="133"/>
    </row>
    <row r="52" ht="13.5" customHeight="1">
      <c r="A52" s="545"/>
      <c r="B52" s="133"/>
      <c r="C52" s="133"/>
      <c r="D52" s="133"/>
      <c r="E52" s="133"/>
      <c r="F52" s="133"/>
      <c r="G52" s="133"/>
      <c r="H52" s="538"/>
      <c r="T52" s="545"/>
      <c r="U52" s="133"/>
      <c r="V52" s="133"/>
      <c r="W52" s="133"/>
      <c r="X52" s="133"/>
      <c r="Y52" s="133"/>
      <c r="Z52" s="133"/>
      <c r="AA52" s="133"/>
    </row>
    <row r="53" ht="13.5" customHeight="1">
      <c r="A53" s="545"/>
      <c r="B53" s="133"/>
      <c r="C53" s="133"/>
      <c r="D53" s="133"/>
      <c r="E53" s="133"/>
      <c r="F53" s="133"/>
      <c r="G53" s="537"/>
      <c r="H53" s="538"/>
      <c r="T53" s="545"/>
      <c r="U53" s="549" t="s">
        <v>129</v>
      </c>
      <c r="V53" s="550">
        <f>C54</f>
        <v>34920</v>
      </c>
      <c r="W53" s="550">
        <f t="shared" ref="W53:X53" si="28">W49+W50+W51+W52</f>
        <v>0</v>
      </c>
      <c r="X53" s="550">
        <f t="shared" si="28"/>
        <v>0</v>
      </c>
      <c r="Y53" s="550">
        <f>D54</f>
        <v>0</v>
      </c>
      <c r="Z53" s="550">
        <f t="shared" ref="Z53:AA53" si="29">Z49+Z50+Z51+Z52</f>
        <v>0</v>
      </c>
      <c r="AA53" s="550">
        <f t="shared" si="29"/>
        <v>0</v>
      </c>
    </row>
    <row r="54" ht="13.5" customHeight="1">
      <c r="A54" s="46"/>
      <c r="B54" s="549" t="s">
        <v>129</v>
      </c>
      <c r="C54" s="550">
        <f t="shared" ref="C54:F54" si="30">C50+C51+C52+C53</f>
        <v>34920</v>
      </c>
      <c r="D54" s="550">
        <f t="shared" si="30"/>
        <v>0</v>
      </c>
      <c r="E54" s="550">
        <f t="shared" si="30"/>
        <v>0</v>
      </c>
      <c r="F54" s="550">
        <f t="shared" si="30"/>
        <v>0</v>
      </c>
      <c r="G54" s="551"/>
      <c r="H54" s="552">
        <f>H50+H51+H52+H53</f>
        <v>0</v>
      </c>
      <c r="T54" s="46"/>
      <c r="U54" s="553" t="s">
        <v>186</v>
      </c>
      <c r="V54" s="554">
        <f>V49+V53-W53-X53</f>
        <v>135290</v>
      </c>
      <c r="W54" s="554"/>
      <c r="X54" s="554"/>
      <c r="Y54" s="554">
        <f>Y49+Y53-Z53-AA53</f>
        <v>102970</v>
      </c>
      <c r="Z54" s="554"/>
      <c r="AA54" s="554"/>
    </row>
    <row r="55" ht="13.5" customHeight="1">
      <c r="A55" s="536">
        <f>A50+1</f>
        <v>11</v>
      </c>
      <c r="B55" s="133">
        <v>31206.0</v>
      </c>
      <c r="C55" s="133">
        <v>34200.0</v>
      </c>
      <c r="D55" s="133"/>
      <c r="E55" s="133"/>
      <c r="F55" s="133"/>
      <c r="G55" s="537"/>
      <c r="H55" s="538"/>
      <c r="T55" s="543">
        <f>T50+1</f>
        <v>11</v>
      </c>
      <c r="U55" s="133"/>
      <c r="V55" s="133"/>
      <c r="W55" s="133"/>
      <c r="X55" s="133"/>
      <c r="Y55" s="133"/>
      <c r="Z55" s="133"/>
      <c r="AA55" s="133"/>
    </row>
    <row r="56" ht="13.5" customHeight="1">
      <c r="A56" s="545"/>
      <c r="B56" s="133"/>
      <c r="C56" s="133"/>
      <c r="D56" s="133"/>
      <c r="E56" s="133"/>
      <c r="F56" s="133"/>
      <c r="G56" s="125"/>
      <c r="H56" s="538"/>
      <c r="T56" s="545"/>
      <c r="U56" s="133"/>
      <c r="V56" s="133"/>
      <c r="W56" s="133"/>
      <c r="X56" s="133"/>
      <c r="Y56" s="133"/>
      <c r="Z56" s="133"/>
      <c r="AA56" s="133"/>
    </row>
    <row r="57" ht="13.5" customHeight="1">
      <c r="A57" s="545"/>
      <c r="B57" s="133"/>
      <c r="C57" s="133"/>
      <c r="D57" s="133"/>
      <c r="E57" s="133"/>
      <c r="F57" s="133"/>
      <c r="G57" s="125"/>
      <c r="H57" s="538"/>
      <c r="T57" s="545"/>
      <c r="U57" s="133"/>
      <c r="V57" s="133"/>
      <c r="W57" s="133"/>
      <c r="X57" s="133"/>
      <c r="Y57" s="133"/>
      <c r="Z57" s="133"/>
      <c r="AA57" s="133"/>
    </row>
    <row r="58" ht="13.5" customHeight="1">
      <c r="A58" s="545"/>
      <c r="B58" s="133"/>
      <c r="C58" s="133"/>
      <c r="D58" s="133"/>
      <c r="E58" s="133"/>
      <c r="F58" s="133"/>
      <c r="G58" s="60"/>
      <c r="H58" s="538"/>
      <c r="T58" s="545"/>
      <c r="U58" s="549" t="s">
        <v>129</v>
      </c>
      <c r="V58" s="550">
        <f>C59</f>
        <v>34200</v>
      </c>
      <c r="W58" s="550">
        <f t="shared" ref="W58:X58" si="31">W54+W55+W56+W57</f>
        <v>0</v>
      </c>
      <c r="X58" s="550">
        <f t="shared" si="31"/>
        <v>0</v>
      </c>
      <c r="Y58" s="550">
        <f>D59</f>
        <v>0</v>
      </c>
      <c r="Z58" s="550">
        <f t="shared" ref="Z58:AA58" si="32">Z54+Z55+Z56+Z57</f>
        <v>0</v>
      </c>
      <c r="AA58" s="550">
        <f t="shared" si="32"/>
        <v>0</v>
      </c>
    </row>
    <row r="59" ht="13.5" customHeight="1">
      <c r="A59" s="46"/>
      <c r="B59" s="549" t="s">
        <v>129</v>
      </c>
      <c r="C59" s="550">
        <f t="shared" ref="C59:F59" si="33">C55+C56+C57+C58</f>
        <v>34200</v>
      </c>
      <c r="D59" s="550">
        <f t="shared" si="33"/>
        <v>0</v>
      </c>
      <c r="E59" s="550">
        <f t="shared" si="33"/>
        <v>0</v>
      </c>
      <c r="F59" s="550">
        <f t="shared" si="33"/>
        <v>0</v>
      </c>
      <c r="G59" s="563"/>
      <c r="H59" s="552">
        <f>H55+H56+H57+H58</f>
        <v>0</v>
      </c>
      <c r="T59" s="46"/>
      <c r="U59" s="553" t="s">
        <v>186</v>
      </c>
      <c r="V59" s="554">
        <f>V54+V58-W58-X58</f>
        <v>169490</v>
      </c>
      <c r="W59" s="554"/>
      <c r="X59" s="554"/>
      <c r="Y59" s="554">
        <f>Y54+Y58-Z58-AA58</f>
        <v>102970</v>
      </c>
      <c r="Z59" s="554"/>
      <c r="AA59" s="554"/>
    </row>
    <row r="60" ht="13.5" customHeight="1">
      <c r="A60" s="536">
        <f>A55+1</f>
        <v>12</v>
      </c>
      <c r="B60" s="133">
        <v>31216.0</v>
      </c>
      <c r="C60" s="133"/>
      <c r="D60" s="133">
        <v>34200.0</v>
      </c>
      <c r="E60" s="133"/>
      <c r="F60" s="133"/>
      <c r="G60" s="133"/>
      <c r="H60" s="538"/>
      <c r="T60" s="543">
        <f>T55+1</f>
        <v>12</v>
      </c>
      <c r="U60" s="133"/>
      <c r="V60" s="133"/>
      <c r="W60" s="133"/>
      <c r="X60" s="133"/>
      <c r="Y60" s="133"/>
      <c r="Z60" s="133"/>
      <c r="AA60" s="133"/>
    </row>
    <row r="61" ht="13.5" customHeight="1">
      <c r="A61" s="545"/>
      <c r="B61" s="133">
        <v>31218.0</v>
      </c>
      <c r="C61" s="133"/>
      <c r="D61" s="133">
        <v>32230.0</v>
      </c>
      <c r="E61" s="133"/>
      <c r="F61" s="133"/>
      <c r="G61" s="133"/>
      <c r="H61" s="538"/>
      <c r="T61" s="545"/>
      <c r="U61" s="133"/>
      <c r="V61" s="133"/>
      <c r="W61" s="133"/>
      <c r="X61" s="133"/>
      <c r="Y61" s="133"/>
      <c r="Z61" s="133"/>
      <c r="AA61" s="133"/>
    </row>
    <row r="62" ht="13.5" customHeight="1">
      <c r="A62" s="545"/>
      <c r="B62" s="133"/>
      <c r="C62" s="133"/>
      <c r="D62" s="133"/>
      <c r="E62" s="133"/>
      <c r="F62" s="133"/>
      <c r="G62" s="133"/>
      <c r="H62" s="538"/>
      <c r="T62" s="545"/>
      <c r="U62" s="133"/>
      <c r="V62" s="133"/>
      <c r="W62" s="133"/>
      <c r="X62" s="133"/>
      <c r="Y62" s="133"/>
      <c r="Z62" s="133"/>
      <c r="AA62" s="133"/>
    </row>
    <row r="63" ht="13.5" customHeight="1">
      <c r="A63" s="545"/>
      <c r="B63" s="133"/>
      <c r="C63" s="133"/>
      <c r="D63" s="133"/>
      <c r="E63" s="133"/>
      <c r="F63" s="133"/>
      <c r="G63" s="133"/>
      <c r="H63" s="538"/>
      <c r="T63" s="545"/>
      <c r="U63" s="549" t="s">
        <v>129</v>
      </c>
      <c r="V63" s="550">
        <f>C64</f>
        <v>0</v>
      </c>
      <c r="W63" s="550">
        <f t="shared" ref="W63:X63" si="34">W59+W60+W61+W62</f>
        <v>0</v>
      </c>
      <c r="X63" s="550">
        <f t="shared" si="34"/>
        <v>0</v>
      </c>
      <c r="Y63" s="550">
        <f>D64</f>
        <v>66430</v>
      </c>
      <c r="Z63" s="550">
        <f t="shared" ref="Z63:AA63" si="35">Z59+Z60+Z61+Z62</f>
        <v>0</v>
      </c>
      <c r="AA63" s="550">
        <f t="shared" si="35"/>
        <v>0</v>
      </c>
    </row>
    <row r="64" ht="13.5" customHeight="1">
      <c r="A64" s="46"/>
      <c r="B64" s="549" t="s">
        <v>129</v>
      </c>
      <c r="C64" s="550">
        <f t="shared" ref="C64:F64" si="36">C60+C61+C62+C63</f>
        <v>0</v>
      </c>
      <c r="D64" s="550">
        <f t="shared" si="36"/>
        <v>66430</v>
      </c>
      <c r="E64" s="550">
        <f t="shared" si="36"/>
        <v>0</v>
      </c>
      <c r="F64" s="550">
        <f t="shared" si="36"/>
        <v>0</v>
      </c>
      <c r="G64" s="550"/>
      <c r="H64" s="552">
        <f>H60+H61+H62+H63</f>
        <v>0</v>
      </c>
      <c r="T64" s="46"/>
      <c r="U64" s="553" t="s">
        <v>186</v>
      </c>
      <c r="V64" s="554">
        <f>V59+V63-W63-X63</f>
        <v>169490</v>
      </c>
      <c r="W64" s="554"/>
      <c r="X64" s="554"/>
      <c r="Y64" s="554">
        <f>Y59+Y63-Z63-AA63</f>
        <v>169400</v>
      </c>
      <c r="Z64" s="554"/>
      <c r="AA64" s="554"/>
    </row>
    <row r="65" ht="13.5" customHeight="1">
      <c r="A65" s="536">
        <f>A60+1</f>
        <v>13</v>
      </c>
      <c r="B65" s="133">
        <v>31245.0</v>
      </c>
      <c r="C65" s="133"/>
      <c r="D65" s="133"/>
      <c r="E65" s="133">
        <v>34090.0</v>
      </c>
      <c r="F65" s="133"/>
      <c r="G65" s="133"/>
      <c r="H65" s="538"/>
      <c r="T65" s="543">
        <f>T60+1</f>
        <v>13</v>
      </c>
      <c r="U65" s="133"/>
      <c r="V65" s="133"/>
      <c r="W65" s="133"/>
      <c r="X65" s="133"/>
      <c r="Y65" s="133"/>
      <c r="Z65" s="133"/>
      <c r="AA65" s="133"/>
    </row>
    <row r="66" ht="13.5" customHeight="1">
      <c r="A66" s="545"/>
      <c r="B66" s="133">
        <v>31248.0</v>
      </c>
      <c r="C66" s="133"/>
      <c r="D66" s="133">
        <v>33010.0</v>
      </c>
      <c r="E66" s="133"/>
      <c r="F66" s="133"/>
      <c r="G66" s="133"/>
      <c r="H66" s="538"/>
      <c r="T66" s="545"/>
      <c r="U66" s="133"/>
      <c r="V66" s="133"/>
      <c r="W66" s="133"/>
      <c r="X66" s="133"/>
      <c r="Y66" s="133"/>
      <c r="Z66" s="133"/>
      <c r="AA66" s="133"/>
    </row>
    <row r="67" ht="13.5" customHeight="1">
      <c r="A67" s="545"/>
      <c r="B67" s="133"/>
      <c r="C67" s="133"/>
      <c r="D67" s="133"/>
      <c r="E67" s="133"/>
      <c r="F67" s="133"/>
      <c r="G67" s="133"/>
      <c r="H67" s="538"/>
      <c r="T67" s="545"/>
      <c r="U67" s="133"/>
      <c r="V67" s="133"/>
      <c r="W67" s="133"/>
      <c r="X67" s="133"/>
      <c r="Y67" s="133"/>
      <c r="Z67" s="133"/>
      <c r="AA67" s="133"/>
    </row>
    <row r="68" ht="13.5" customHeight="1">
      <c r="A68" s="545"/>
      <c r="B68" s="514"/>
      <c r="C68" s="133"/>
      <c r="D68" s="133"/>
      <c r="E68" s="133"/>
      <c r="F68" s="133"/>
      <c r="G68" s="133"/>
      <c r="H68" s="538"/>
      <c r="T68" s="545"/>
      <c r="U68" s="549" t="s">
        <v>129</v>
      </c>
      <c r="V68" s="550">
        <f>C69</f>
        <v>0</v>
      </c>
      <c r="W68" s="550">
        <f t="shared" ref="W68:X68" si="37">W64+W65+W66+W67</f>
        <v>0</v>
      </c>
      <c r="X68" s="550">
        <f t="shared" si="37"/>
        <v>0</v>
      </c>
      <c r="Y68" s="550">
        <f>D69</f>
        <v>33010</v>
      </c>
      <c r="Z68" s="550">
        <f t="shared" ref="Z68:AA68" si="38">Z64+Z65+Z66+Z67</f>
        <v>0</v>
      </c>
      <c r="AA68" s="550">
        <f t="shared" si="38"/>
        <v>0</v>
      </c>
    </row>
    <row r="69" ht="13.5" customHeight="1">
      <c r="A69" s="46"/>
      <c r="B69" s="549" t="s">
        <v>129</v>
      </c>
      <c r="C69" s="550">
        <f t="shared" ref="C69:F69" si="39">C65+C66+C67+C68</f>
        <v>0</v>
      </c>
      <c r="D69" s="550">
        <f t="shared" si="39"/>
        <v>33010</v>
      </c>
      <c r="E69" s="550">
        <f t="shared" si="39"/>
        <v>34090</v>
      </c>
      <c r="F69" s="550">
        <f t="shared" si="39"/>
        <v>0</v>
      </c>
      <c r="G69" s="550"/>
      <c r="H69" s="552">
        <f>H65+H66+H67+H68</f>
        <v>0</v>
      </c>
      <c r="T69" s="46"/>
      <c r="U69" s="553" t="s">
        <v>186</v>
      </c>
      <c r="V69" s="554">
        <f>V64+V68-W68-X68</f>
        <v>169490</v>
      </c>
      <c r="W69" s="554"/>
      <c r="X69" s="554"/>
      <c r="Y69" s="554">
        <f>Y64+Y68-Z68-AA68</f>
        <v>202410</v>
      </c>
      <c r="Z69" s="554"/>
      <c r="AA69" s="554"/>
    </row>
    <row r="70" ht="13.5" customHeight="1">
      <c r="A70" s="536">
        <f>A65+1</f>
        <v>14</v>
      </c>
      <c r="B70" s="133">
        <v>31253.0</v>
      </c>
      <c r="C70" s="133">
        <v>32860.0</v>
      </c>
      <c r="D70" s="133"/>
      <c r="E70" s="133"/>
      <c r="F70" s="133"/>
      <c r="G70" s="133"/>
      <c r="H70" s="538"/>
      <c r="T70" s="543">
        <f>T65+1</f>
        <v>14</v>
      </c>
      <c r="U70" s="133"/>
      <c r="V70" s="133"/>
      <c r="W70" s="133"/>
      <c r="X70" s="133"/>
      <c r="Y70" s="133"/>
      <c r="Z70" s="133"/>
      <c r="AA70" s="133"/>
    </row>
    <row r="71" ht="13.5" customHeight="1">
      <c r="A71" s="545"/>
      <c r="B71" s="133">
        <v>31255.0</v>
      </c>
      <c r="C71" s="133">
        <v>35760.0</v>
      </c>
      <c r="D71" s="133"/>
      <c r="E71" s="133"/>
      <c r="F71" s="133"/>
      <c r="G71" s="537"/>
      <c r="H71" s="538"/>
      <c r="T71" s="545"/>
      <c r="U71" s="133"/>
      <c r="V71" s="133"/>
      <c r="W71" s="133"/>
      <c r="X71" s="133"/>
      <c r="Y71" s="133"/>
      <c r="Z71" s="133"/>
      <c r="AA71" s="133"/>
    </row>
    <row r="72" ht="13.5" customHeight="1">
      <c r="A72" s="545"/>
      <c r="B72" s="133"/>
      <c r="C72" s="133"/>
      <c r="D72" s="133"/>
      <c r="E72" s="133"/>
      <c r="F72" s="133"/>
      <c r="G72" s="537"/>
      <c r="H72" s="538"/>
      <c r="T72" s="545"/>
      <c r="U72" s="133"/>
      <c r="V72" s="133"/>
      <c r="W72" s="133"/>
      <c r="X72" s="133"/>
      <c r="Y72" s="133"/>
      <c r="Z72" s="133"/>
      <c r="AA72" s="133"/>
    </row>
    <row r="73" ht="13.5" customHeight="1">
      <c r="A73" s="545"/>
      <c r="B73" s="133"/>
      <c r="C73" s="133"/>
      <c r="D73" s="133"/>
      <c r="E73" s="133"/>
      <c r="F73" s="133"/>
      <c r="G73" s="537"/>
      <c r="H73" s="538"/>
      <c r="T73" s="545"/>
      <c r="U73" s="549" t="s">
        <v>129</v>
      </c>
      <c r="V73" s="550">
        <f>C74</f>
        <v>68620</v>
      </c>
      <c r="W73" s="550">
        <f t="shared" ref="W73:X73" si="40">W69+W70+W71+W72</f>
        <v>0</v>
      </c>
      <c r="X73" s="550">
        <f t="shared" si="40"/>
        <v>0</v>
      </c>
      <c r="Y73" s="550">
        <f>D74</f>
        <v>0</v>
      </c>
      <c r="Z73" s="550">
        <f t="shared" ref="Z73:AA73" si="41">Z69+Z70+Z71+Z72</f>
        <v>0</v>
      </c>
      <c r="AA73" s="550">
        <f t="shared" si="41"/>
        <v>0</v>
      </c>
    </row>
    <row r="74" ht="13.5" customHeight="1">
      <c r="A74" s="46"/>
      <c r="B74" s="549" t="s">
        <v>129</v>
      </c>
      <c r="C74" s="550">
        <f t="shared" ref="C74:F74" si="42">C70+C71+C72+C73</f>
        <v>68620</v>
      </c>
      <c r="D74" s="550">
        <f t="shared" si="42"/>
        <v>0</v>
      </c>
      <c r="E74" s="550">
        <f t="shared" si="42"/>
        <v>0</v>
      </c>
      <c r="F74" s="550">
        <f t="shared" si="42"/>
        <v>0</v>
      </c>
      <c r="G74" s="562"/>
      <c r="H74" s="552">
        <f>H70+H71+H72+H73</f>
        <v>0</v>
      </c>
      <c r="T74" s="46"/>
      <c r="U74" s="553" t="s">
        <v>186</v>
      </c>
      <c r="V74" s="554">
        <f>V69+V73-W73-X73</f>
        <v>238110</v>
      </c>
      <c r="W74" s="554"/>
      <c r="X74" s="554"/>
      <c r="Y74" s="554">
        <f>Y69+Y73-Z73-AA73</f>
        <v>202410</v>
      </c>
      <c r="Z74" s="554"/>
      <c r="AA74" s="554"/>
    </row>
    <row r="75" ht="13.5" customHeight="1">
      <c r="A75" s="536">
        <f>A70+1</f>
        <v>15</v>
      </c>
      <c r="B75" s="133"/>
      <c r="C75" s="133"/>
      <c r="D75" s="133"/>
      <c r="E75" s="133"/>
      <c r="F75" s="133"/>
      <c r="G75" s="125"/>
      <c r="H75" s="538"/>
      <c r="T75" s="543">
        <f>T70+1</f>
        <v>15</v>
      </c>
      <c r="U75" s="133"/>
      <c r="V75" s="133"/>
      <c r="W75" s="133"/>
      <c r="X75" s="133"/>
      <c r="Y75" s="133"/>
      <c r="Z75" s="133"/>
      <c r="AA75" s="133"/>
    </row>
    <row r="76" ht="13.5" customHeight="1">
      <c r="A76" s="545"/>
      <c r="B76" s="133"/>
      <c r="C76" s="133"/>
      <c r="D76" s="133"/>
      <c r="E76" s="133"/>
      <c r="F76" s="133"/>
      <c r="G76" s="60"/>
      <c r="H76" s="538"/>
      <c r="T76" s="545"/>
      <c r="U76" s="133"/>
      <c r="V76" s="133"/>
      <c r="W76" s="133"/>
      <c r="X76" s="133"/>
      <c r="Y76" s="133"/>
      <c r="Z76" s="133"/>
      <c r="AA76" s="133"/>
    </row>
    <row r="77" ht="13.5" customHeight="1">
      <c r="A77" s="545"/>
      <c r="B77" s="133"/>
      <c r="C77" s="133"/>
      <c r="D77" s="133"/>
      <c r="E77" s="133"/>
      <c r="F77" s="133"/>
      <c r="G77" s="60"/>
      <c r="H77" s="538"/>
      <c r="T77" s="545"/>
      <c r="U77" s="133"/>
      <c r="V77" s="133"/>
      <c r="W77" s="133"/>
      <c r="X77" s="133"/>
      <c r="Y77" s="133"/>
      <c r="Z77" s="133"/>
      <c r="AA77" s="133"/>
    </row>
    <row r="78" ht="13.5" customHeight="1">
      <c r="A78" s="545"/>
      <c r="B78" s="133"/>
      <c r="C78" s="133"/>
      <c r="D78" s="133"/>
      <c r="E78" s="133"/>
      <c r="F78" s="133"/>
      <c r="G78" s="133"/>
      <c r="H78" s="538"/>
      <c r="T78" s="545"/>
      <c r="U78" s="549" t="s">
        <v>129</v>
      </c>
      <c r="V78" s="550">
        <f>C79</f>
        <v>0</v>
      </c>
      <c r="W78" s="550">
        <f t="shared" ref="W78:X78" si="43">W74+W75+W76+W77</f>
        <v>0</v>
      </c>
      <c r="X78" s="550">
        <f t="shared" si="43"/>
        <v>0</v>
      </c>
      <c r="Y78" s="550">
        <f>D79</f>
        <v>0</v>
      </c>
      <c r="Z78" s="550">
        <f t="shared" ref="Z78:AA78" si="44">Z74+Z75+Z76+Z77</f>
        <v>0</v>
      </c>
      <c r="AA78" s="550">
        <f t="shared" si="44"/>
        <v>0</v>
      </c>
    </row>
    <row r="79" ht="13.5" customHeight="1">
      <c r="A79" s="46"/>
      <c r="B79" s="549" t="s">
        <v>129</v>
      </c>
      <c r="C79" s="550">
        <f t="shared" ref="C79:F79" si="45">C75+C76+C77+C78</f>
        <v>0</v>
      </c>
      <c r="D79" s="550">
        <f t="shared" si="45"/>
        <v>0</v>
      </c>
      <c r="E79" s="550">
        <f t="shared" si="45"/>
        <v>0</v>
      </c>
      <c r="F79" s="550">
        <f t="shared" si="45"/>
        <v>0</v>
      </c>
      <c r="G79" s="550"/>
      <c r="H79" s="552">
        <f>H75+H76+H77+H78</f>
        <v>0</v>
      </c>
      <c r="T79" s="46"/>
      <c r="U79" s="553" t="s">
        <v>186</v>
      </c>
      <c r="V79" s="554">
        <f>V74+V78-W78-X78</f>
        <v>238110</v>
      </c>
      <c r="W79" s="554"/>
      <c r="X79" s="554"/>
      <c r="Y79" s="554">
        <f>Y74+Y78-Z78-AA78</f>
        <v>202410</v>
      </c>
      <c r="Z79" s="554"/>
      <c r="AA79" s="554"/>
    </row>
    <row r="80" ht="13.5" customHeight="1">
      <c r="A80" s="536">
        <f>A75+1</f>
        <v>16</v>
      </c>
      <c r="B80" s="133">
        <v>31263.0</v>
      </c>
      <c r="C80" s="133"/>
      <c r="D80" s="133">
        <v>32630.0</v>
      </c>
      <c r="E80" s="133"/>
      <c r="F80" s="133"/>
      <c r="G80" s="133"/>
      <c r="H80" s="538"/>
      <c r="T80" s="543">
        <f>T75+1</f>
        <v>16</v>
      </c>
      <c r="U80" s="133"/>
      <c r="V80" s="133"/>
      <c r="W80" s="133"/>
      <c r="X80" s="133"/>
      <c r="Y80" s="133"/>
      <c r="Z80" s="133"/>
      <c r="AA80" s="133"/>
    </row>
    <row r="81" ht="13.5" customHeight="1">
      <c r="A81" s="545"/>
      <c r="B81" s="133"/>
      <c r="C81" s="133"/>
      <c r="D81" s="133"/>
      <c r="E81" s="133"/>
      <c r="F81" s="133"/>
      <c r="G81" s="133"/>
      <c r="H81" s="538"/>
      <c r="T81" s="545"/>
      <c r="U81" s="133"/>
      <c r="V81" s="133"/>
      <c r="W81" s="133"/>
      <c r="X81" s="133"/>
      <c r="Y81" s="133"/>
      <c r="Z81" s="133"/>
      <c r="AA81" s="133"/>
    </row>
    <row r="82" ht="13.5" customHeight="1">
      <c r="A82" s="545"/>
      <c r="B82" s="133"/>
      <c r="C82" s="133"/>
      <c r="D82" s="133"/>
      <c r="E82" s="133"/>
      <c r="F82" s="133"/>
      <c r="G82" s="133"/>
      <c r="H82" s="538"/>
      <c r="T82" s="545"/>
      <c r="U82" s="133"/>
      <c r="V82" s="133"/>
      <c r="W82" s="133"/>
      <c r="X82" s="133"/>
      <c r="Y82" s="133"/>
      <c r="Z82" s="133"/>
      <c r="AA82" s="133"/>
    </row>
    <row r="83" ht="13.5" customHeight="1">
      <c r="A83" s="545"/>
      <c r="B83" s="133"/>
      <c r="C83" s="133"/>
      <c r="D83" s="133"/>
      <c r="E83" s="133"/>
      <c r="F83" s="133"/>
      <c r="G83" s="133"/>
      <c r="H83" s="538"/>
      <c r="T83" s="545"/>
      <c r="U83" s="549" t="s">
        <v>129</v>
      </c>
      <c r="V83" s="550">
        <f>C84</f>
        <v>0</v>
      </c>
      <c r="W83" s="550">
        <f t="shared" ref="W83:X83" si="46">W79+W80+W81+W82</f>
        <v>0</v>
      </c>
      <c r="X83" s="550">
        <f t="shared" si="46"/>
        <v>0</v>
      </c>
      <c r="Y83" s="550">
        <f>D84</f>
        <v>32630</v>
      </c>
      <c r="Z83" s="550">
        <f t="shared" ref="Z83:AA83" si="47">Z79+Z80+Z81+Z82</f>
        <v>0</v>
      </c>
      <c r="AA83" s="550">
        <f t="shared" si="47"/>
        <v>0</v>
      </c>
    </row>
    <row r="84" ht="13.5" customHeight="1">
      <c r="A84" s="46"/>
      <c r="B84" s="549" t="s">
        <v>129</v>
      </c>
      <c r="C84" s="550">
        <f t="shared" ref="C84:F84" si="48">C80+C81+C82+C83</f>
        <v>0</v>
      </c>
      <c r="D84" s="550">
        <f t="shared" si="48"/>
        <v>32630</v>
      </c>
      <c r="E84" s="550">
        <f t="shared" si="48"/>
        <v>0</v>
      </c>
      <c r="F84" s="550">
        <f t="shared" si="48"/>
        <v>0</v>
      </c>
      <c r="G84" s="550"/>
      <c r="H84" s="552">
        <f>H80+H81+H82+H83</f>
        <v>0</v>
      </c>
      <c r="T84" s="46"/>
      <c r="U84" s="553" t="s">
        <v>186</v>
      </c>
      <c r="V84" s="554">
        <f>V79+V83-W83-X83</f>
        <v>238110</v>
      </c>
      <c r="W84" s="554"/>
      <c r="X84" s="554"/>
      <c r="Y84" s="554">
        <f>Y79+Y83-Z83-AA83</f>
        <v>235040</v>
      </c>
      <c r="Z84" s="554"/>
      <c r="AA84" s="554"/>
    </row>
    <row r="85" ht="13.5" customHeight="1">
      <c r="A85" s="536">
        <f>A80+1</f>
        <v>17</v>
      </c>
      <c r="B85" s="133">
        <v>31284.0</v>
      </c>
      <c r="C85" s="133">
        <v>31280.0</v>
      </c>
      <c r="D85" s="133"/>
      <c r="E85" s="133"/>
      <c r="F85" s="133"/>
      <c r="G85" s="133"/>
      <c r="H85" s="538"/>
      <c r="T85" s="543">
        <f>T80+1</f>
        <v>17</v>
      </c>
      <c r="U85" s="133"/>
      <c r="V85" s="133"/>
      <c r="W85" s="133"/>
      <c r="X85" s="133"/>
      <c r="Y85" s="133"/>
      <c r="Z85" s="133"/>
      <c r="AA85" s="133"/>
    </row>
    <row r="86" ht="13.5" customHeight="1">
      <c r="A86" s="545"/>
      <c r="B86" s="133"/>
      <c r="C86" s="133"/>
      <c r="D86" s="133"/>
      <c r="E86" s="133"/>
      <c r="F86" s="133"/>
      <c r="G86" s="133"/>
      <c r="H86" s="538"/>
      <c r="T86" s="545"/>
      <c r="U86" s="133"/>
      <c r="V86" s="133"/>
      <c r="W86" s="133"/>
      <c r="X86" s="133"/>
      <c r="Y86" s="133"/>
      <c r="Z86" s="133"/>
      <c r="AA86" s="133"/>
    </row>
    <row r="87" ht="13.5" customHeight="1">
      <c r="A87" s="545"/>
      <c r="B87" s="133"/>
      <c r="C87" s="133"/>
      <c r="D87" s="133"/>
      <c r="E87" s="133"/>
      <c r="F87" s="133"/>
      <c r="G87" s="133"/>
      <c r="H87" s="538"/>
      <c r="T87" s="545"/>
      <c r="U87" s="133"/>
      <c r="V87" s="133"/>
      <c r="W87" s="133"/>
      <c r="X87" s="133"/>
      <c r="Y87" s="133"/>
      <c r="Z87" s="133"/>
      <c r="AA87" s="133"/>
    </row>
    <row r="88" ht="13.5" customHeight="1">
      <c r="A88" s="545"/>
      <c r="B88" s="133"/>
      <c r="C88" s="133"/>
      <c r="D88" s="133"/>
      <c r="E88" s="133"/>
      <c r="F88" s="133"/>
      <c r="G88" s="133"/>
      <c r="H88" s="538"/>
      <c r="T88" s="545"/>
      <c r="U88" s="549" t="s">
        <v>129</v>
      </c>
      <c r="V88" s="550">
        <f>C89</f>
        <v>31280</v>
      </c>
      <c r="W88" s="550">
        <f t="shared" ref="W88:X88" si="49">W84+W85+W86+W87</f>
        <v>0</v>
      </c>
      <c r="X88" s="550">
        <f t="shared" si="49"/>
        <v>0</v>
      </c>
      <c r="Y88" s="550">
        <f>D89</f>
        <v>0</v>
      </c>
      <c r="Z88" s="550">
        <f t="shared" ref="Z88:AA88" si="50">Z84+Z85+Z86+Z87</f>
        <v>0</v>
      </c>
      <c r="AA88" s="550">
        <f t="shared" si="50"/>
        <v>0</v>
      </c>
    </row>
    <row r="89" ht="13.5" customHeight="1">
      <c r="A89" s="46"/>
      <c r="B89" s="549" t="s">
        <v>129</v>
      </c>
      <c r="C89" s="550">
        <f t="shared" ref="C89:F89" si="51">C85+C86+C87+C88</f>
        <v>31280</v>
      </c>
      <c r="D89" s="550">
        <f t="shared" si="51"/>
        <v>0</v>
      </c>
      <c r="E89" s="550">
        <f t="shared" si="51"/>
        <v>0</v>
      </c>
      <c r="F89" s="550">
        <f t="shared" si="51"/>
        <v>0</v>
      </c>
      <c r="G89" s="551"/>
      <c r="H89" s="552">
        <f>H85+H86+H87+H88</f>
        <v>0</v>
      </c>
      <c r="T89" s="46"/>
      <c r="U89" s="553" t="s">
        <v>186</v>
      </c>
      <c r="V89" s="554">
        <f>V84+V88-W88-X88</f>
        <v>269390</v>
      </c>
      <c r="W89" s="554"/>
      <c r="X89" s="554"/>
      <c r="Y89" s="554">
        <f>Y84+Y88-Z88-AA88</f>
        <v>235040</v>
      </c>
      <c r="Z89" s="554"/>
      <c r="AA89" s="554"/>
    </row>
    <row r="90" ht="13.5" customHeight="1">
      <c r="A90" s="536">
        <f>A85+1</f>
        <v>18</v>
      </c>
      <c r="B90" s="133">
        <v>31302.0</v>
      </c>
      <c r="C90" s="133"/>
      <c r="D90" s="133">
        <v>33500.0</v>
      </c>
      <c r="E90" s="133"/>
      <c r="F90" s="133"/>
      <c r="G90" s="537"/>
      <c r="H90" s="538"/>
      <c r="T90" s="543">
        <f>T85+1</f>
        <v>18</v>
      </c>
      <c r="U90" s="133"/>
      <c r="V90" s="133"/>
      <c r="W90" s="133"/>
      <c r="X90" s="133"/>
      <c r="Y90" s="133"/>
      <c r="Z90" s="133"/>
      <c r="AA90" s="133"/>
    </row>
    <row r="91" ht="13.5" customHeight="1">
      <c r="A91" s="545"/>
      <c r="B91" s="133"/>
      <c r="C91" s="133"/>
      <c r="D91" s="133"/>
      <c r="E91" s="133"/>
      <c r="F91" s="133"/>
      <c r="G91" s="537"/>
      <c r="H91" s="538"/>
      <c r="T91" s="545"/>
      <c r="U91" s="133"/>
      <c r="V91" s="133"/>
      <c r="W91" s="133"/>
      <c r="X91" s="133"/>
      <c r="Y91" s="133"/>
      <c r="Z91" s="133"/>
      <c r="AA91" s="133"/>
    </row>
    <row r="92" ht="13.5" customHeight="1">
      <c r="A92" s="545"/>
      <c r="B92" s="133"/>
      <c r="C92" s="133"/>
      <c r="D92" s="133"/>
      <c r="E92" s="133"/>
      <c r="F92" s="133"/>
      <c r="G92" s="537"/>
      <c r="H92" s="538"/>
      <c r="T92" s="545"/>
      <c r="U92" s="133"/>
      <c r="V92" s="133"/>
      <c r="W92" s="133"/>
      <c r="X92" s="133"/>
      <c r="Y92" s="133"/>
      <c r="Z92" s="133"/>
      <c r="AA92" s="133"/>
    </row>
    <row r="93" ht="13.5" customHeight="1">
      <c r="A93" s="545"/>
      <c r="B93" s="133"/>
      <c r="C93" s="133"/>
      <c r="D93" s="133"/>
      <c r="E93" s="133"/>
      <c r="F93" s="133"/>
      <c r="G93" s="537"/>
      <c r="H93" s="538"/>
      <c r="T93" s="545"/>
      <c r="U93" s="549" t="s">
        <v>129</v>
      </c>
      <c r="V93" s="550">
        <f>C94</f>
        <v>0</v>
      </c>
      <c r="W93" s="550">
        <f t="shared" ref="W93:X93" si="52">W89+W90+W91+W92</f>
        <v>0</v>
      </c>
      <c r="X93" s="550">
        <f t="shared" si="52"/>
        <v>0</v>
      </c>
      <c r="Y93" s="550">
        <f>D94</f>
        <v>33500</v>
      </c>
      <c r="Z93" s="550">
        <f t="shared" ref="Z93:AA93" si="53">Z89+Z90+Z91+Z92</f>
        <v>0</v>
      </c>
      <c r="AA93" s="550">
        <f t="shared" si="53"/>
        <v>0</v>
      </c>
    </row>
    <row r="94" ht="13.5" customHeight="1">
      <c r="A94" s="46"/>
      <c r="B94" s="563" t="s">
        <v>129</v>
      </c>
      <c r="C94" s="550">
        <f t="shared" ref="C94:F94" si="54">C90+C91+C92+C93</f>
        <v>0</v>
      </c>
      <c r="D94" s="550">
        <f t="shared" si="54"/>
        <v>33500</v>
      </c>
      <c r="E94" s="550">
        <f t="shared" si="54"/>
        <v>0</v>
      </c>
      <c r="F94" s="550">
        <f t="shared" si="54"/>
        <v>0</v>
      </c>
      <c r="G94" s="562"/>
      <c r="H94" s="552">
        <f>H90+H91+H92+H93</f>
        <v>0</v>
      </c>
      <c r="T94" s="46"/>
      <c r="U94" s="553" t="s">
        <v>186</v>
      </c>
      <c r="V94" s="554">
        <f>V89+V93-W93-X93</f>
        <v>269390</v>
      </c>
      <c r="W94" s="554"/>
      <c r="X94" s="554"/>
      <c r="Y94" s="554">
        <f>Y89+Y93-Z93-AA93</f>
        <v>268540</v>
      </c>
      <c r="Z94" s="554"/>
      <c r="AA94" s="554"/>
    </row>
    <row r="95" ht="13.5" customHeight="1">
      <c r="A95" s="536">
        <f>A90+1</f>
        <v>19</v>
      </c>
      <c r="B95" s="133">
        <v>31324.0</v>
      </c>
      <c r="C95" s="133"/>
      <c r="D95" s="133"/>
      <c r="E95" s="133">
        <v>33140.0</v>
      </c>
      <c r="F95" s="133"/>
      <c r="G95" s="133"/>
      <c r="H95" s="538"/>
      <c r="T95" s="543">
        <f>T90+1</f>
        <v>19</v>
      </c>
      <c r="U95" s="133"/>
      <c r="V95" s="133"/>
      <c r="W95" s="133"/>
      <c r="X95" s="133"/>
      <c r="Y95" s="133"/>
      <c r="Z95" s="133"/>
      <c r="AA95" s="133"/>
    </row>
    <row r="96" ht="13.5" customHeight="1">
      <c r="A96" s="545"/>
      <c r="B96" s="133">
        <v>31326.0</v>
      </c>
      <c r="C96" s="133">
        <v>34300.0</v>
      </c>
      <c r="D96" s="133"/>
      <c r="E96" s="133"/>
      <c r="F96" s="133"/>
      <c r="G96" s="133"/>
      <c r="H96" s="538"/>
      <c r="T96" s="545"/>
      <c r="U96" s="133"/>
      <c r="V96" s="133"/>
      <c r="W96" s="133"/>
      <c r="X96" s="133"/>
      <c r="Y96" s="133"/>
      <c r="Z96" s="133"/>
      <c r="AA96" s="133"/>
    </row>
    <row r="97" ht="13.5" customHeight="1">
      <c r="A97" s="545"/>
      <c r="B97" s="133"/>
      <c r="C97" s="133"/>
      <c r="D97" s="133"/>
      <c r="E97" s="133"/>
      <c r="F97" s="133"/>
      <c r="G97" s="133"/>
      <c r="H97" s="538"/>
      <c r="T97" s="545"/>
      <c r="U97" s="133"/>
      <c r="V97" s="133"/>
      <c r="W97" s="133"/>
      <c r="X97" s="133"/>
      <c r="Y97" s="133"/>
      <c r="Z97" s="133"/>
      <c r="AA97" s="133"/>
    </row>
    <row r="98" ht="13.5" customHeight="1">
      <c r="A98" s="545"/>
      <c r="B98" s="133"/>
      <c r="C98" s="133"/>
      <c r="D98" s="133"/>
      <c r="E98" s="133"/>
      <c r="F98" s="133"/>
      <c r="G98" s="133"/>
      <c r="H98" s="538"/>
      <c r="T98" s="545"/>
      <c r="U98" s="549" t="s">
        <v>129</v>
      </c>
      <c r="V98" s="550">
        <f>C99</f>
        <v>34300</v>
      </c>
      <c r="W98" s="550">
        <f t="shared" ref="W98:X98" si="55">W94+W95+W96+W97</f>
        <v>0</v>
      </c>
      <c r="X98" s="550">
        <f t="shared" si="55"/>
        <v>0</v>
      </c>
      <c r="Y98" s="550">
        <f>D99</f>
        <v>0</v>
      </c>
      <c r="Z98" s="550">
        <f t="shared" ref="Z98:AA98" si="56">Z94+Z95+Z96+Z97</f>
        <v>0</v>
      </c>
      <c r="AA98" s="550">
        <f t="shared" si="56"/>
        <v>0</v>
      </c>
    </row>
    <row r="99" ht="13.5" customHeight="1">
      <c r="A99" s="46"/>
      <c r="B99" s="549" t="s">
        <v>129</v>
      </c>
      <c r="C99" s="550">
        <f t="shared" ref="C99:F99" si="57">C95+C96+C97+C98</f>
        <v>34300</v>
      </c>
      <c r="D99" s="550">
        <f t="shared" si="57"/>
        <v>0</v>
      </c>
      <c r="E99" s="550">
        <f t="shared" si="57"/>
        <v>33140</v>
      </c>
      <c r="F99" s="550">
        <f t="shared" si="57"/>
        <v>0</v>
      </c>
      <c r="G99" s="550"/>
      <c r="H99" s="552">
        <f>H95+H96+H97+H98</f>
        <v>0</v>
      </c>
      <c r="T99" s="46"/>
      <c r="U99" s="553" t="s">
        <v>186</v>
      </c>
      <c r="V99" s="554">
        <f>V94+V98-W98-X98</f>
        <v>303690</v>
      </c>
      <c r="W99" s="554"/>
      <c r="X99" s="554"/>
      <c r="Y99" s="554">
        <f>Y94+Y98-Z98-AA98</f>
        <v>268540</v>
      </c>
      <c r="Z99" s="554"/>
      <c r="AA99" s="554"/>
    </row>
    <row r="100" ht="13.5" customHeight="1">
      <c r="A100" s="536">
        <f>A95+1</f>
        <v>20</v>
      </c>
      <c r="B100" s="133"/>
      <c r="C100" s="133"/>
      <c r="D100" s="133"/>
      <c r="E100" s="133"/>
      <c r="F100" s="133"/>
      <c r="G100" s="133"/>
      <c r="H100" s="538"/>
      <c r="T100" s="543">
        <f>T95+1</f>
        <v>20</v>
      </c>
      <c r="U100" s="133"/>
      <c r="V100" s="133"/>
      <c r="W100" s="133"/>
      <c r="X100" s="133"/>
      <c r="Y100" s="133"/>
      <c r="Z100" s="133"/>
      <c r="AA100" s="133"/>
    </row>
    <row r="101" ht="13.5" customHeight="1">
      <c r="A101" s="545"/>
      <c r="B101" s="133"/>
      <c r="C101" s="133"/>
      <c r="D101" s="133"/>
      <c r="E101" s="133"/>
      <c r="F101" s="133"/>
      <c r="G101" s="133"/>
      <c r="H101" s="538"/>
      <c r="T101" s="545"/>
      <c r="U101" s="133"/>
      <c r="V101" s="133"/>
      <c r="W101" s="133"/>
      <c r="X101" s="133"/>
      <c r="Y101" s="133"/>
      <c r="Z101" s="133"/>
      <c r="AA101" s="133"/>
    </row>
    <row r="102" ht="13.5" customHeight="1">
      <c r="A102" s="545"/>
      <c r="B102" s="133"/>
      <c r="C102" s="133"/>
      <c r="D102" s="133"/>
      <c r="E102" s="133"/>
      <c r="F102" s="133"/>
      <c r="G102" s="537"/>
      <c r="H102" s="538"/>
      <c r="T102" s="545"/>
      <c r="U102" s="133"/>
      <c r="V102" s="133"/>
      <c r="W102" s="133"/>
      <c r="X102" s="133"/>
      <c r="Y102" s="133"/>
      <c r="Z102" s="133"/>
      <c r="AA102" s="133"/>
    </row>
    <row r="103" ht="13.5" customHeight="1">
      <c r="A103" s="545"/>
      <c r="B103" s="133"/>
      <c r="C103" s="133"/>
      <c r="D103" s="133"/>
      <c r="E103" s="133"/>
      <c r="F103" s="133"/>
      <c r="G103" s="537"/>
      <c r="H103" s="538"/>
      <c r="T103" s="545"/>
      <c r="U103" s="549" t="s">
        <v>129</v>
      </c>
      <c r="V103" s="550">
        <f>C105</f>
        <v>32760</v>
      </c>
      <c r="W103" s="550">
        <f t="shared" ref="W103:X103" si="58">W99+W100+W101+W102</f>
        <v>0</v>
      </c>
      <c r="X103" s="550">
        <f t="shared" si="58"/>
        <v>0</v>
      </c>
      <c r="Y103" s="550" t="str">
        <f>D105</f>
        <v/>
      </c>
      <c r="Z103" s="550">
        <f t="shared" ref="Z103:AA103" si="59">Z99+Z100+Z101+Z102</f>
        <v>0</v>
      </c>
      <c r="AA103" s="550">
        <f t="shared" si="59"/>
        <v>0</v>
      </c>
    </row>
    <row r="104" ht="13.5" customHeight="1">
      <c r="A104" s="46"/>
      <c r="B104" s="549" t="s">
        <v>129</v>
      </c>
      <c r="C104" s="550">
        <f t="shared" ref="C104:F104" si="60">C100+C101+C102+C103</f>
        <v>0</v>
      </c>
      <c r="D104" s="550">
        <f t="shared" si="60"/>
        <v>0</v>
      </c>
      <c r="E104" s="550">
        <f t="shared" si="60"/>
        <v>0</v>
      </c>
      <c r="F104" s="550">
        <f t="shared" si="60"/>
        <v>0</v>
      </c>
      <c r="G104" s="551"/>
      <c r="H104" s="552">
        <f>H100+H101+H102+H103</f>
        <v>0</v>
      </c>
      <c r="T104" s="46"/>
      <c r="U104" s="553" t="s">
        <v>186</v>
      </c>
      <c r="V104" s="554">
        <f>V99+V103-W103-X103</f>
        <v>336450</v>
      </c>
      <c r="W104" s="554"/>
      <c r="X104" s="554"/>
      <c r="Y104" s="554">
        <f>Y99+Y103-Z103-AA103</f>
        <v>268540</v>
      </c>
      <c r="Z104" s="554"/>
      <c r="AA104" s="554"/>
    </row>
    <row r="105" ht="13.5" customHeight="1">
      <c r="A105" s="536">
        <f>A100+1</f>
        <v>21</v>
      </c>
      <c r="B105" s="133">
        <v>31361.0</v>
      </c>
      <c r="C105" s="133">
        <v>32760.0</v>
      </c>
      <c r="D105" s="133"/>
      <c r="E105" s="133"/>
      <c r="F105" s="133"/>
      <c r="G105" s="125"/>
      <c r="H105" s="538"/>
      <c r="T105" s="543">
        <f>T100+1</f>
        <v>21</v>
      </c>
      <c r="U105" s="133"/>
      <c r="V105" s="133"/>
      <c r="W105" s="133"/>
      <c r="X105" s="133"/>
      <c r="Y105" s="133"/>
      <c r="Z105" s="133"/>
      <c r="AA105" s="133"/>
    </row>
    <row r="106" ht="13.5" customHeight="1">
      <c r="A106" s="545"/>
      <c r="B106" s="133">
        <v>31368.0</v>
      </c>
      <c r="C106" s="133">
        <v>33570.0</v>
      </c>
      <c r="D106" s="133"/>
      <c r="E106" s="133"/>
      <c r="F106" s="133"/>
      <c r="G106" s="125"/>
      <c r="H106" s="538"/>
      <c r="T106" s="545"/>
      <c r="U106" s="133"/>
      <c r="V106" s="133"/>
      <c r="W106" s="133"/>
      <c r="X106" s="133"/>
      <c r="Y106" s="133"/>
      <c r="Z106" s="133"/>
      <c r="AA106" s="133"/>
    </row>
    <row r="107" ht="13.5" customHeight="1">
      <c r="A107" s="545"/>
      <c r="B107" s="133"/>
      <c r="C107" s="133"/>
      <c r="D107" s="133"/>
      <c r="E107" s="133"/>
      <c r="F107" s="133"/>
      <c r="G107" s="60"/>
      <c r="H107" s="538"/>
      <c r="T107" s="545"/>
      <c r="U107" s="133"/>
      <c r="V107" s="133"/>
      <c r="W107" s="133"/>
      <c r="X107" s="133"/>
      <c r="Y107" s="133"/>
      <c r="Z107" s="133"/>
      <c r="AA107" s="133"/>
    </row>
    <row r="108" ht="13.5" customHeight="1">
      <c r="A108" s="545"/>
      <c r="B108" s="133"/>
      <c r="C108" s="133"/>
      <c r="D108" s="133"/>
      <c r="E108" s="133"/>
      <c r="F108" s="133"/>
      <c r="G108" s="60"/>
      <c r="H108" s="538"/>
      <c r="T108" s="545"/>
      <c r="U108" s="549" t="s">
        <v>129</v>
      </c>
      <c r="V108" s="550" t="str">
        <f>C110</f>
        <v/>
      </c>
      <c r="W108" s="550">
        <f t="shared" ref="W108:X108" si="61">W104+W105+W106+W107</f>
        <v>0</v>
      </c>
      <c r="X108" s="550">
        <f t="shared" si="61"/>
        <v>0</v>
      </c>
      <c r="Y108" s="550" t="str">
        <f>D110</f>
        <v/>
      </c>
      <c r="Z108" s="550">
        <f t="shared" ref="Z108:AA108" si="62">Z104+Z105+Z106+Z107</f>
        <v>0</v>
      </c>
      <c r="AA108" s="550">
        <f t="shared" si="62"/>
        <v>0</v>
      </c>
    </row>
    <row r="109" ht="13.5" customHeight="1">
      <c r="A109" s="46"/>
      <c r="B109" s="549" t="s">
        <v>129</v>
      </c>
      <c r="C109" s="550">
        <f t="shared" ref="C109:F109" si="63">C105+C106+C107+C108</f>
        <v>66330</v>
      </c>
      <c r="D109" s="550">
        <f t="shared" si="63"/>
        <v>0</v>
      </c>
      <c r="E109" s="550">
        <f t="shared" si="63"/>
        <v>0</v>
      </c>
      <c r="F109" s="550">
        <f t="shared" si="63"/>
        <v>0</v>
      </c>
      <c r="G109" s="550"/>
      <c r="H109" s="552">
        <f>H105+H106+H107+H108</f>
        <v>0</v>
      </c>
      <c r="T109" s="46"/>
      <c r="U109" s="553" t="s">
        <v>186</v>
      </c>
      <c r="V109" s="554">
        <f>V104+V108-W108-X108</f>
        <v>336450</v>
      </c>
      <c r="W109" s="554"/>
      <c r="X109" s="554"/>
      <c r="Y109" s="554">
        <f>Y104+Y108-Z108-AA108</f>
        <v>268540</v>
      </c>
      <c r="Z109" s="554"/>
      <c r="AA109" s="554"/>
    </row>
    <row r="110" ht="13.5" customHeight="1">
      <c r="A110" s="536">
        <f>A105+1</f>
        <v>22</v>
      </c>
      <c r="B110" s="133"/>
      <c r="C110" s="133"/>
      <c r="D110" s="133"/>
      <c r="E110" s="133"/>
      <c r="F110" s="133"/>
      <c r="G110" s="133"/>
      <c r="H110" s="538"/>
      <c r="T110" s="543">
        <f>T105+1</f>
        <v>22</v>
      </c>
      <c r="U110" s="133"/>
      <c r="V110" s="133"/>
      <c r="W110" s="133"/>
      <c r="X110" s="133"/>
      <c r="Y110" s="133"/>
      <c r="Z110" s="133"/>
      <c r="AA110" s="133"/>
    </row>
    <row r="111" ht="13.5" customHeight="1">
      <c r="A111" s="545"/>
      <c r="B111" s="133"/>
      <c r="C111" s="133"/>
      <c r="D111" s="133"/>
      <c r="E111" s="133"/>
      <c r="F111" s="133"/>
      <c r="G111" s="133"/>
      <c r="H111" s="538"/>
      <c r="T111" s="545"/>
      <c r="U111" s="133"/>
      <c r="V111" s="133"/>
      <c r="W111" s="133"/>
      <c r="X111" s="133"/>
      <c r="Y111" s="133"/>
      <c r="Z111" s="133"/>
      <c r="AA111" s="133"/>
    </row>
    <row r="112" ht="13.5" customHeight="1">
      <c r="A112" s="545"/>
      <c r="B112" s="133"/>
      <c r="C112" s="133"/>
      <c r="D112" s="133"/>
      <c r="E112" s="133"/>
      <c r="F112" s="133"/>
      <c r="G112" s="133"/>
      <c r="H112" s="538"/>
      <c r="T112" s="545"/>
      <c r="U112" s="133"/>
      <c r="V112" s="133"/>
      <c r="W112" s="133"/>
      <c r="X112" s="133"/>
      <c r="Y112" s="133"/>
      <c r="Z112" s="133"/>
      <c r="AA112" s="133"/>
    </row>
    <row r="113" ht="13.5" customHeight="1">
      <c r="A113" s="545"/>
      <c r="B113" s="133"/>
      <c r="C113" s="133"/>
      <c r="D113" s="133"/>
      <c r="E113" s="133"/>
      <c r="F113" s="133"/>
      <c r="G113" s="133"/>
      <c r="H113" s="538"/>
      <c r="T113" s="545"/>
      <c r="U113" s="549" t="s">
        <v>129</v>
      </c>
      <c r="V113" s="550">
        <f>C115</f>
        <v>33020</v>
      </c>
      <c r="W113" s="550">
        <f t="shared" ref="W113:X113" si="64">W109+W110+W111+W112</f>
        <v>0</v>
      </c>
      <c r="X113" s="550">
        <f t="shared" si="64"/>
        <v>0</v>
      </c>
      <c r="Y113" s="550" t="str">
        <f>D115</f>
        <v/>
      </c>
      <c r="Z113" s="550">
        <f t="shared" ref="Z113:AA113" si="65">Z109+Z110+Z111+Z112</f>
        <v>0</v>
      </c>
      <c r="AA113" s="550">
        <f t="shared" si="65"/>
        <v>0</v>
      </c>
    </row>
    <row r="114" ht="13.5" customHeight="1">
      <c r="A114" s="46"/>
      <c r="B114" s="549" t="s">
        <v>129</v>
      </c>
      <c r="C114" s="550">
        <f t="shared" ref="C114:F114" si="66">C110+C111+C112+C113</f>
        <v>0</v>
      </c>
      <c r="D114" s="550">
        <f t="shared" si="66"/>
        <v>0</v>
      </c>
      <c r="E114" s="550">
        <f t="shared" si="66"/>
        <v>0</v>
      </c>
      <c r="F114" s="550">
        <f t="shared" si="66"/>
        <v>0</v>
      </c>
      <c r="G114" s="550"/>
      <c r="H114" s="552">
        <f>H110+H111+H112+H113</f>
        <v>0</v>
      </c>
      <c r="T114" s="46"/>
      <c r="U114" s="553" t="s">
        <v>186</v>
      </c>
      <c r="V114" s="554">
        <f>V109+V113-W113-X113</f>
        <v>369470</v>
      </c>
      <c r="W114" s="554"/>
      <c r="X114" s="554"/>
      <c r="Y114" s="554">
        <f>Y109+Y113-Z113-AA113</f>
        <v>268540</v>
      </c>
      <c r="Z114" s="554"/>
      <c r="AA114" s="554"/>
    </row>
    <row r="115" ht="13.5" customHeight="1">
      <c r="A115" s="536">
        <f>A110+1</f>
        <v>23</v>
      </c>
      <c r="B115" s="133">
        <v>31374.0</v>
      </c>
      <c r="C115" s="133">
        <v>33020.0</v>
      </c>
      <c r="D115" s="133"/>
      <c r="E115" s="133"/>
      <c r="F115" s="133"/>
      <c r="G115" s="133"/>
      <c r="H115" s="538"/>
      <c r="T115" s="543">
        <f>T110+1</f>
        <v>23</v>
      </c>
      <c r="U115" s="133"/>
      <c r="V115" s="133"/>
      <c r="W115" s="133"/>
      <c r="X115" s="133"/>
      <c r="Y115" s="133"/>
      <c r="Z115" s="133"/>
      <c r="AA115" s="133"/>
    </row>
    <row r="116" ht="13.5" customHeight="1">
      <c r="A116" s="545"/>
      <c r="B116" s="133">
        <v>31375.0</v>
      </c>
      <c r="C116" s="133">
        <v>34990.0</v>
      </c>
      <c r="D116" s="133"/>
      <c r="E116" s="133"/>
      <c r="F116" s="133"/>
      <c r="G116" s="133"/>
      <c r="H116" s="538"/>
      <c r="T116" s="545"/>
      <c r="U116" s="133"/>
      <c r="V116" s="133"/>
      <c r="W116" s="133"/>
      <c r="X116" s="133"/>
      <c r="Y116" s="133"/>
      <c r="Z116" s="133"/>
      <c r="AA116" s="133"/>
    </row>
    <row r="117" ht="13.5" customHeight="1">
      <c r="A117" s="545"/>
      <c r="B117" s="133"/>
      <c r="C117" s="133"/>
      <c r="D117" s="133"/>
      <c r="E117" s="133"/>
      <c r="F117" s="133"/>
      <c r="G117" s="133"/>
      <c r="H117" s="538"/>
      <c r="T117" s="545"/>
      <c r="U117" s="133"/>
      <c r="V117" s="133"/>
      <c r="W117" s="133"/>
      <c r="X117" s="133"/>
      <c r="Y117" s="133"/>
      <c r="Z117" s="133"/>
      <c r="AA117" s="133"/>
    </row>
    <row r="118" ht="13.5" customHeight="1">
      <c r="A118" s="545"/>
      <c r="B118" s="133"/>
      <c r="C118" s="133"/>
      <c r="D118" s="133"/>
      <c r="E118" s="133"/>
      <c r="F118" s="133"/>
      <c r="G118" s="133"/>
      <c r="H118" s="538"/>
      <c r="T118" s="545"/>
      <c r="U118" s="549" t="s">
        <v>129</v>
      </c>
      <c r="V118" s="550">
        <f>C120</f>
        <v>32930</v>
      </c>
      <c r="W118" s="550">
        <f t="shared" ref="W118:X118" si="67">W114+W115+W116+W117</f>
        <v>0</v>
      </c>
      <c r="X118" s="550">
        <f t="shared" si="67"/>
        <v>0</v>
      </c>
      <c r="Y118" s="550" t="str">
        <f>D120</f>
        <v/>
      </c>
      <c r="Z118" s="550">
        <f t="shared" ref="Z118:AA118" si="68">Z114+Z115+Z116+Z117</f>
        <v>0</v>
      </c>
      <c r="AA118" s="550">
        <f t="shared" si="68"/>
        <v>0</v>
      </c>
    </row>
    <row r="119" ht="13.5" customHeight="1">
      <c r="A119" s="46"/>
      <c r="B119" s="549" t="s">
        <v>129</v>
      </c>
      <c r="C119" s="550">
        <f t="shared" ref="C119:F119" si="69">C115+C116+C117+C118</f>
        <v>68010</v>
      </c>
      <c r="D119" s="550">
        <f t="shared" si="69"/>
        <v>0</v>
      </c>
      <c r="E119" s="550">
        <f t="shared" si="69"/>
        <v>0</v>
      </c>
      <c r="F119" s="550">
        <f t="shared" si="69"/>
        <v>0</v>
      </c>
      <c r="G119" s="550"/>
      <c r="H119" s="552">
        <f>H115+H116+H117+H118</f>
        <v>0</v>
      </c>
      <c r="T119" s="46"/>
      <c r="U119" s="553" t="s">
        <v>186</v>
      </c>
      <c r="V119" s="554">
        <f>V114+V118-W118-X118</f>
        <v>402400</v>
      </c>
      <c r="W119" s="554"/>
      <c r="X119" s="554"/>
      <c r="Y119" s="554">
        <f>Y114+Y118-Z118-AA118</f>
        <v>268540</v>
      </c>
      <c r="Z119" s="554"/>
      <c r="AA119" s="554"/>
    </row>
    <row r="120" ht="13.5" customHeight="1">
      <c r="A120" s="536">
        <f>A115+1</f>
        <v>24</v>
      </c>
      <c r="B120" s="133">
        <v>31398.0</v>
      </c>
      <c r="C120" s="133">
        <v>32930.0</v>
      </c>
      <c r="D120" s="133"/>
      <c r="E120" s="133"/>
      <c r="F120" s="133"/>
      <c r="G120" s="537"/>
      <c r="H120" s="538"/>
      <c r="T120" s="543">
        <f>T115+1</f>
        <v>24</v>
      </c>
      <c r="U120" s="133"/>
      <c r="V120" s="133"/>
      <c r="W120" s="133"/>
      <c r="X120" s="133"/>
      <c r="Y120" s="133"/>
      <c r="Z120" s="133"/>
      <c r="AA120" s="133"/>
    </row>
    <row r="121" ht="13.5" customHeight="1">
      <c r="A121" s="545"/>
      <c r="B121" s="133"/>
      <c r="C121" s="133"/>
      <c r="D121" s="133"/>
      <c r="E121" s="133"/>
      <c r="F121" s="133"/>
      <c r="G121" s="537"/>
      <c r="H121" s="538"/>
      <c r="T121" s="545"/>
      <c r="U121" s="133"/>
      <c r="V121" s="133"/>
      <c r="W121" s="133"/>
      <c r="X121" s="133"/>
      <c r="Y121" s="133"/>
      <c r="Z121" s="133"/>
      <c r="AA121" s="133"/>
    </row>
    <row r="122" ht="13.5" customHeight="1">
      <c r="A122" s="545"/>
      <c r="B122" s="133"/>
      <c r="C122" s="133"/>
      <c r="D122" s="133"/>
      <c r="E122" s="133"/>
      <c r="F122" s="133"/>
      <c r="G122" s="537"/>
      <c r="H122" s="538"/>
      <c r="T122" s="545"/>
      <c r="U122" s="133"/>
      <c r="V122" s="133"/>
      <c r="W122" s="133"/>
      <c r="X122" s="133"/>
      <c r="Y122" s="133"/>
      <c r="Z122" s="133"/>
      <c r="AA122" s="133"/>
    </row>
    <row r="123" ht="13.5" customHeight="1">
      <c r="A123" s="545"/>
      <c r="B123" s="133"/>
      <c r="C123" s="133"/>
      <c r="D123" s="133"/>
      <c r="E123" s="133"/>
      <c r="F123" s="133"/>
      <c r="G123" s="125"/>
      <c r="H123" s="538"/>
      <c r="T123" s="545"/>
      <c r="U123" s="549" t="s">
        <v>129</v>
      </c>
      <c r="V123" s="550" t="str">
        <f>C125</f>
        <v/>
      </c>
      <c r="W123" s="550">
        <f t="shared" ref="W123:X123" si="70">W119+W120+W121+W122</f>
        <v>0</v>
      </c>
      <c r="X123" s="550">
        <f t="shared" si="70"/>
        <v>0</v>
      </c>
      <c r="Y123" s="550">
        <f>D125</f>
        <v>31790</v>
      </c>
      <c r="Z123" s="550">
        <f t="shared" ref="Z123:AA123" si="71">Z119+Z120+Z121+Z122</f>
        <v>0</v>
      </c>
      <c r="AA123" s="550">
        <f t="shared" si="71"/>
        <v>0</v>
      </c>
    </row>
    <row r="124" ht="13.5" customHeight="1">
      <c r="A124" s="46"/>
      <c r="B124" s="549" t="s">
        <v>129</v>
      </c>
      <c r="C124" s="550">
        <f t="shared" ref="C124:F124" si="72">C120+C121+C122+C123</f>
        <v>32930</v>
      </c>
      <c r="D124" s="550">
        <f t="shared" si="72"/>
        <v>0</v>
      </c>
      <c r="E124" s="550">
        <f t="shared" si="72"/>
        <v>0</v>
      </c>
      <c r="F124" s="550">
        <f t="shared" si="72"/>
        <v>0</v>
      </c>
      <c r="G124" s="550"/>
      <c r="H124" s="552">
        <f>H120+H121+H122+H123</f>
        <v>0</v>
      </c>
      <c r="T124" s="46"/>
      <c r="U124" s="553" t="s">
        <v>186</v>
      </c>
      <c r="V124" s="554">
        <f>V119+V123-W123-X123</f>
        <v>402400</v>
      </c>
      <c r="W124" s="554"/>
      <c r="X124" s="554"/>
      <c r="Y124" s="554">
        <f>Y123+Y119-Z123-AA123</f>
        <v>300330</v>
      </c>
      <c r="Z124" s="554"/>
      <c r="AA124" s="554"/>
    </row>
    <row r="125" ht="13.5" customHeight="1">
      <c r="A125" s="536">
        <f>A120+1</f>
        <v>25</v>
      </c>
      <c r="B125" s="133">
        <v>31402.0</v>
      </c>
      <c r="C125" s="133"/>
      <c r="D125" s="133">
        <v>31790.0</v>
      </c>
      <c r="E125" s="133"/>
      <c r="F125" s="133"/>
      <c r="G125" s="60"/>
      <c r="H125" s="538"/>
      <c r="T125" s="543">
        <f>T120+1</f>
        <v>25</v>
      </c>
      <c r="U125" s="133"/>
      <c r="V125" s="133"/>
      <c r="W125" s="133"/>
      <c r="X125" s="133"/>
      <c r="Y125" s="133"/>
      <c r="Z125" s="133"/>
      <c r="AA125" s="133"/>
    </row>
    <row r="126" ht="13.5" customHeight="1">
      <c r="A126" s="545"/>
      <c r="B126" s="133"/>
      <c r="C126" s="133"/>
      <c r="D126" s="133"/>
      <c r="E126" s="133"/>
      <c r="F126" s="133"/>
      <c r="G126" s="60"/>
      <c r="H126" s="538"/>
      <c r="T126" s="545"/>
      <c r="U126" s="133"/>
      <c r="V126" s="133"/>
      <c r="W126" s="133"/>
      <c r="X126" s="133"/>
      <c r="Y126" s="133"/>
      <c r="Z126" s="133"/>
      <c r="AA126" s="133"/>
    </row>
    <row r="127" ht="13.5" customHeight="1">
      <c r="A127" s="545"/>
      <c r="B127" s="133"/>
      <c r="C127" s="133"/>
      <c r="D127" s="133"/>
      <c r="E127" s="133"/>
      <c r="F127" s="133"/>
      <c r="G127" s="133"/>
      <c r="H127" s="538"/>
      <c r="T127" s="545"/>
      <c r="U127" s="133"/>
      <c r="V127" s="133"/>
      <c r="W127" s="133"/>
      <c r="X127" s="133"/>
      <c r="Y127" s="133"/>
      <c r="Z127" s="133"/>
      <c r="AA127" s="133"/>
    </row>
    <row r="128" ht="13.5" customHeight="1">
      <c r="A128" s="545"/>
      <c r="B128" s="133"/>
      <c r="C128" s="133"/>
      <c r="D128" s="133"/>
      <c r="E128" s="133"/>
      <c r="F128" s="133"/>
      <c r="G128" s="133"/>
      <c r="H128" s="538"/>
      <c r="T128" s="545"/>
      <c r="U128" s="549" t="s">
        <v>129</v>
      </c>
      <c r="V128" s="550" t="str">
        <f>C130</f>
        <v/>
      </c>
      <c r="W128" s="550">
        <f t="shared" ref="W128:X128" si="73">W124+W125+W126+W127</f>
        <v>0</v>
      </c>
      <c r="X128" s="550">
        <f t="shared" si="73"/>
        <v>0</v>
      </c>
      <c r="Y128" s="550">
        <f>D130</f>
        <v>31790</v>
      </c>
      <c r="Z128" s="550">
        <f t="shared" ref="Z128:AA128" si="74">Z124+Z125+Z126+Z127</f>
        <v>0</v>
      </c>
      <c r="AA128" s="550">
        <f t="shared" si="74"/>
        <v>0</v>
      </c>
    </row>
    <row r="129" ht="13.5" customHeight="1">
      <c r="A129" s="46"/>
      <c r="B129" s="549" t="s">
        <v>129</v>
      </c>
      <c r="C129" s="550">
        <f t="shared" ref="C129:F129" si="75">C125+C126+C127+C128</f>
        <v>0</v>
      </c>
      <c r="D129" s="550">
        <f t="shared" si="75"/>
        <v>31790</v>
      </c>
      <c r="E129" s="550">
        <f t="shared" si="75"/>
        <v>0</v>
      </c>
      <c r="F129" s="550">
        <f t="shared" si="75"/>
        <v>0</v>
      </c>
      <c r="G129" s="550"/>
      <c r="H129" s="552">
        <f>H125+H126+H127+H128</f>
        <v>0</v>
      </c>
      <c r="T129" s="46"/>
      <c r="U129" s="553" t="s">
        <v>186</v>
      </c>
      <c r="V129" s="554">
        <f>V124+V128-W128-X128</f>
        <v>402400</v>
      </c>
      <c r="W129" s="554"/>
      <c r="X129" s="554"/>
      <c r="Y129" s="554">
        <f>Y124+Y128-Z128-AA128</f>
        <v>332120</v>
      </c>
      <c r="Z129" s="554"/>
      <c r="AA129" s="554"/>
    </row>
    <row r="130" ht="13.5" customHeight="1">
      <c r="A130" s="536">
        <f>A125+1</f>
        <v>26</v>
      </c>
      <c r="B130" s="133">
        <v>31412.0</v>
      </c>
      <c r="C130" s="133"/>
      <c r="D130" s="133">
        <v>31790.0</v>
      </c>
      <c r="E130" s="133"/>
      <c r="F130" s="133"/>
      <c r="G130" s="133"/>
      <c r="H130" s="538"/>
      <c r="T130" s="543">
        <f>T125+1</f>
        <v>26</v>
      </c>
      <c r="U130" s="133"/>
      <c r="V130" s="133"/>
      <c r="W130" s="133"/>
      <c r="X130" s="133"/>
      <c r="Y130" s="133"/>
      <c r="Z130" s="133"/>
      <c r="AA130" s="133"/>
    </row>
    <row r="131" ht="13.5" customHeight="1">
      <c r="A131" s="545"/>
      <c r="B131" s="133">
        <v>31427.0</v>
      </c>
      <c r="C131" s="133"/>
      <c r="D131" s="133">
        <v>26550.0</v>
      </c>
      <c r="E131" s="133"/>
      <c r="F131" s="133"/>
      <c r="G131" s="133"/>
      <c r="H131" s="538"/>
      <c r="T131" s="545"/>
      <c r="U131" s="133"/>
      <c r="V131" s="133"/>
      <c r="W131" s="133"/>
      <c r="X131" s="133"/>
      <c r="Y131" s="133"/>
      <c r="Z131" s="133"/>
      <c r="AA131" s="133"/>
    </row>
    <row r="132" ht="13.5" customHeight="1">
      <c r="A132" s="545"/>
      <c r="B132" s="133"/>
      <c r="C132" s="133"/>
      <c r="D132" s="133"/>
      <c r="E132" s="133"/>
      <c r="F132" s="133"/>
      <c r="G132" s="133"/>
      <c r="H132" s="538"/>
      <c r="T132" s="545"/>
      <c r="U132" s="133"/>
      <c r="V132" s="133"/>
      <c r="W132" s="133"/>
      <c r="X132" s="133"/>
      <c r="Y132" s="133"/>
      <c r="Z132" s="133"/>
      <c r="AA132" s="133"/>
    </row>
    <row r="133" ht="13.5" customHeight="1">
      <c r="A133" s="545"/>
      <c r="B133" s="133"/>
      <c r="C133" s="133"/>
      <c r="D133" s="133"/>
      <c r="E133" s="133"/>
      <c r="F133" s="133"/>
      <c r="G133" s="133"/>
      <c r="H133" s="538"/>
      <c r="T133" s="545"/>
      <c r="U133" s="549" t="s">
        <v>129</v>
      </c>
      <c r="V133" s="550">
        <f>C135</f>
        <v>32360</v>
      </c>
      <c r="W133" s="550">
        <f t="shared" ref="W133:X133" si="76">W129+W130+W131+W132</f>
        <v>0</v>
      </c>
      <c r="X133" s="550">
        <f t="shared" si="76"/>
        <v>0</v>
      </c>
      <c r="Y133" s="550" t="str">
        <f>D135</f>
        <v/>
      </c>
      <c r="Z133" s="550">
        <f t="shared" ref="Z133:AA133" si="77">Z129+Z130+Z131+Z132</f>
        <v>0</v>
      </c>
      <c r="AA133" s="550">
        <f t="shared" si="77"/>
        <v>0</v>
      </c>
    </row>
    <row r="134" ht="13.5" customHeight="1">
      <c r="A134" s="46"/>
      <c r="B134" s="549" t="s">
        <v>129</v>
      </c>
      <c r="C134" s="550">
        <f t="shared" ref="C134:F134" si="78">C130+C131+C132+C133</f>
        <v>0</v>
      </c>
      <c r="D134" s="550">
        <f t="shared" si="78"/>
        <v>58340</v>
      </c>
      <c r="E134" s="550">
        <f t="shared" si="78"/>
        <v>0</v>
      </c>
      <c r="F134" s="550">
        <f t="shared" si="78"/>
        <v>0</v>
      </c>
      <c r="G134" s="550"/>
      <c r="H134" s="552">
        <f>H130+H131+H132+H133</f>
        <v>0</v>
      </c>
      <c r="T134" s="46"/>
      <c r="U134" s="553" t="s">
        <v>186</v>
      </c>
      <c r="V134" s="554">
        <f>V129+V133-W133-X133</f>
        <v>434760</v>
      </c>
      <c r="W134" s="554"/>
      <c r="X134" s="554"/>
      <c r="Y134" s="554">
        <f>Y129+Y133-Z133-AA133</f>
        <v>332120</v>
      </c>
      <c r="Z134" s="554"/>
      <c r="AA134" s="554"/>
    </row>
    <row r="135" ht="13.5" customHeight="1">
      <c r="A135" s="536">
        <f>A130+1</f>
        <v>27</v>
      </c>
      <c r="B135" s="133">
        <v>31451.0</v>
      </c>
      <c r="C135" s="133">
        <v>32360.0</v>
      </c>
      <c r="D135" s="133"/>
      <c r="E135" s="133"/>
      <c r="F135" s="133"/>
      <c r="G135" s="133"/>
      <c r="H135" s="538"/>
      <c r="T135" s="543">
        <f>T130+1</f>
        <v>27</v>
      </c>
      <c r="U135" s="133"/>
      <c r="V135" s="133"/>
      <c r="W135" s="133"/>
      <c r="X135" s="133"/>
      <c r="Y135" s="133"/>
      <c r="Z135" s="133"/>
      <c r="AA135" s="133"/>
    </row>
    <row r="136" ht="13.5" customHeight="1">
      <c r="A136" s="545"/>
      <c r="B136" s="133"/>
      <c r="C136" s="133"/>
      <c r="D136" s="133"/>
      <c r="E136" s="133"/>
      <c r="F136" s="133"/>
      <c r="G136" s="133"/>
      <c r="H136" s="538"/>
      <c r="T136" s="545"/>
      <c r="U136" s="133"/>
      <c r="V136" s="133"/>
      <c r="W136" s="133"/>
      <c r="X136" s="133"/>
      <c r="Y136" s="133"/>
      <c r="Z136" s="133"/>
      <c r="AA136" s="133"/>
    </row>
    <row r="137" ht="13.5" customHeight="1">
      <c r="A137" s="545"/>
      <c r="B137" s="133"/>
      <c r="C137" s="133"/>
      <c r="D137" s="133"/>
      <c r="E137" s="133"/>
      <c r="F137" s="133"/>
      <c r="G137" s="133"/>
      <c r="H137" s="538"/>
      <c r="T137" s="545"/>
      <c r="U137" s="133"/>
      <c r="V137" s="133"/>
      <c r="W137" s="133"/>
      <c r="X137" s="133"/>
      <c r="Y137" s="133"/>
      <c r="Z137" s="133"/>
      <c r="AA137" s="133"/>
    </row>
    <row r="138" ht="13.5" customHeight="1">
      <c r="A138" s="545"/>
      <c r="B138" s="133"/>
      <c r="C138" s="133"/>
      <c r="D138" s="133"/>
      <c r="E138" s="133"/>
      <c r="F138" s="133"/>
      <c r="G138" s="537"/>
      <c r="H138" s="538"/>
      <c r="T138" s="545"/>
      <c r="U138" s="549" t="s">
        <v>129</v>
      </c>
      <c r="V138" s="550" t="str">
        <f>C140</f>
        <v/>
      </c>
      <c r="W138" s="550">
        <f t="shared" ref="W138:X138" si="79">W134+W135+W136+W137</f>
        <v>0</v>
      </c>
      <c r="X138" s="550">
        <f t="shared" si="79"/>
        <v>0</v>
      </c>
      <c r="Y138" s="550" t="str">
        <f>D140</f>
        <v/>
      </c>
      <c r="Z138" s="550">
        <f t="shared" ref="Z138:AA138" si="80">Z134+Z135+Z136+Z137</f>
        <v>0</v>
      </c>
      <c r="AA138" s="550">
        <f t="shared" si="80"/>
        <v>0</v>
      </c>
    </row>
    <row r="139" ht="13.5" customHeight="1">
      <c r="A139" s="46"/>
      <c r="B139" s="549" t="s">
        <v>129</v>
      </c>
      <c r="C139" s="550">
        <f t="shared" ref="C139:F139" si="81">C135+C136+C137+C138</f>
        <v>32360</v>
      </c>
      <c r="D139" s="550">
        <f t="shared" si="81"/>
        <v>0</v>
      </c>
      <c r="E139" s="550">
        <f t="shared" si="81"/>
        <v>0</v>
      </c>
      <c r="F139" s="550">
        <f t="shared" si="81"/>
        <v>0</v>
      </c>
      <c r="G139" s="550"/>
      <c r="H139" s="552">
        <f>H135+H136+H137+H138</f>
        <v>0</v>
      </c>
      <c r="T139" s="46"/>
      <c r="U139" s="553" t="s">
        <v>186</v>
      </c>
      <c r="V139" s="554">
        <f>V134+V138-W138-X138</f>
        <v>434760</v>
      </c>
      <c r="W139" s="554"/>
      <c r="X139" s="554"/>
      <c r="Y139" s="554">
        <f>Y134+Y138-Z138-AA138</f>
        <v>332120</v>
      </c>
      <c r="Z139" s="554"/>
      <c r="AA139" s="554"/>
    </row>
    <row r="140" ht="13.5" customHeight="1">
      <c r="A140" s="536">
        <f>A135+1</f>
        <v>28</v>
      </c>
      <c r="B140" s="133"/>
      <c r="C140" s="133"/>
      <c r="D140" s="133"/>
      <c r="E140" s="133"/>
      <c r="F140" s="133"/>
      <c r="G140" s="133"/>
      <c r="H140" s="538"/>
      <c r="T140" s="543">
        <f>T135+1</f>
        <v>28</v>
      </c>
      <c r="U140" s="133"/>
      <c r="V140" s="133"/>
      <c r="W140" s="133"/>
      <c r="X140" s="133"/>
      <c r="Y140" s="133"/>
      <c r="Z140" s="133"/>
      <c r="AA140" s="133"/>
    </row>
    <row r="141" ht="13.5" customHeight="1">
      <c r="A141" s="545"/>
      <c r="B141" s="133"/>
      <c r="C141" s="133"/>
      <c r="D141" s="133"/>
      <c r="E141" s="133"/>
      <c r="F141" s="133"/>
      <c r="G141" s="133"/>
      <c r="H141" s="538"/>
      <c r="T141" s="545"/>
      <c r="U141" s="133"/>
      <c r="V141" s="133"/>
      <c r="W141" s="133"/>
      <c r="X141" s="133"/>
      <c r="Y141" s="133"/>
      <c r="Z141" s="133"/>
      <c r="AA141" s="133"/>
    </row>
    <row r="142" ht="13.5" customHeight="1">
      <c r="A142" s="545"/>
      <c r="B142" s="133"/>
      <c r="C142" s="133"/>
      <c r="D142" s="133"/>
      <c r="E142" s="133"/>
      <c r="F142" s="133"/>
      <c r="G142" s="133"/>
      <c r="H142" s="538"/>
      <c r="T142" s="545"/>
      <c r="U142" s="133"/>
      <c r="V142" s="133"/>
      <c r="W142" s="133"/>
      <c r="X142" s="133"/>
      <c r="Y142" s="133"/>
      <c r="Z142" s="133"/>
      <c r="AA142" s="133"/>
    </row>
    <row r="143" ht="13.5" customHeight="1">
      <c r="A143" s="545"/>
      <c r="B143" s="133"/>
      <c r="C143" s="133"/>
      <c r="D143" s="133"/>
      <c r="E143" s="133"/>
      <c r="F143" s="133"/>
      <c r="G143" s="537"/>
      <c r="H143" s="538"/>
      <c r="T143" s="545"/>
      <c r="U143" s="549" t="s">
        <v>129</v>
      </c>
      <c r="V143" s="550" t="str">
        <f>C145</f>
        <v/>
      </c>
      <c r="W143" s="550">
        <f t="shared" ref="W143:X143" si="82">W139+W140+W141+W142</f>
        <v>0</v>
      </c>
      <c r="X143" s="550">
        <f t="shared" si="82"/>
        <v>0</v>
      </c>
      <c r="Y143" s="550" t="str">
        <f>D145</f>
        <v/>
      </c>
      <c r="Z143" s="550">
        <f t="shared" ref="Z143:AA143" si="83">Z139+Z140+Z141+Z142</f>
        <v>0</v>
      </c>
      <c r="AA143" s="550">
        <f t="shared" si="83"/>
        <v>0</v>
      </c>
    </row>
    <row r="144" ht="13.5" customHeight="1">
      <c r="A144" s="46"/>
      <c r="B144" s="549" t="s">
        <v>129</v>
      </c>
      <c r="C144" s="550">
        <f t="shared" ref="C144:F144" si="84">C140+C141+C142+C143</f>
        <v>0</v>
      </c>
      <c r="D144" s="550">
        <f t="shared" si="84"/>
        <v>0</v>
      </c>
      <c r="E144" s="550">
        <f t="shared" si="84"/>
        <v>0</v>
      </c>
      <c r="F144" s="550">
        <f t="shared" si="84"/>
        <v>0</v>
      </c>
      <c r="G144" s="550"/>
      <c r="H144" s="552">
        <f>H140+H141+H142+H143</f>
        <v>0</v>
      </c>
      <c r="T144" s="46"/>
      <c r="U144" s="553" t="s">
        <v>186</v>
      </c>
      <c r="V144" s="554">
        <f>V139+V143-W143-X143</f>
        <v>434760</v>
      </c>
      <c r="W144" s="554"/>
      <c r="X144" s="554"/>
      <c r="Y144" s="554">
        <f>Y139+Y143-Z143-AA143</f>
        <v>332120</v>
      </c>
      <c r="Z144" s="554"/>
      <c r="AA144" s="554"/>
    </row>
    <row r="145" ht="13.5" customHeight="1">
      <c r="A145" s="536">
        <f>A140+1</f>
        <v>29</v>
      </c>
      <c r="B145" s="133"/>
      <c r="C145" s="133"/>
      <c r="D145" s="133"/>
      <c r="E145" s="133"/>
      <c r="F145" s="133"/>
      <c r="G145" s="133"/>
      <c r="H145" s="538"/>
      <c r="T145" s="543">
        <f>T140+1</f>
        <v>29</v>
      </c>
      <c r="U145" s="133"/>
      <c r="V145" s="133"/>
      <c r="W145" s="133"/>
      <c r="X145" s="133"/>
      <c r="Y145" s="133"/>
      <c r="Z145" s="133"/>
      <c r="AA145" s="133"/>
    </row>
    <row r="146" ht="13.5" customHeight="1">
      <c r="A146" s="545"/>
      <c r="B146" s="133"/>
      <c r="C146" s="133"/>
      <c r="D146" s="133"/>
      <c r="E146" s="133"/>
      <c r="F146" s="133"/>
      <c r="G146" s="133"/>
      <c r="H146" s="538"/>
      <c r="T146" s="545"/>
      <c r="U146" s="133"/>
      <c r="V146" s="133"/>
      <c r="W146" s="133"/>
      <c r="X146" s="133"/>
      <c r="Y146" s="133"/>
      <c r="Z146" s="133"/>
      <c r="AA146" s="133"/>
    </row>
    <row r="147" ht="13.5" customHeight="1">
      <c r="A147" s="545"/>
      <c r="B147" s="133"/>
      <c r="C147" s="133"/>
      <c r="D147" s="133"/>
      <c r="E147" s="133"/>
      <c r="F147" s="133"/>
      <c r="G147" s="133"/>
      <c r="H147" s="538"/>
      <c r="T147" s="545"/>
      <c r="U147" s="133"/>
      <c r="V147" s="133"/>
      <c r="W147" s="133"/>
      <c r="X147" s="133"/>
      <c r="Y147" s="133"/>
      <c r="Z147" s="133"/>
      <c r="AA147" s="133"/>
    </row>
    <row r="148" ht="13.5" customHeight="1">
      <c r="A148" s="545"/>
      <c r="B148" s="133"/>
      <c r="C148" s="133"/>
      <c r="D148" s="133"/>
      <c r="E148" s="133"/>
      <c r="F148" s="133"/>
      <c r="G148" s="133"/>
      <c r="H148" s="538"/>
      <c r="T148" s="545"/>
      <c r="U148" s="549" t="s">
        <v>129</v>
      </c>
      <c r="V148" s="550">
        <f>C150</f>
        <v>35530</v>
      </c>
      <c r="W148" s="550">
        <f t="shared" ref="W148:X148" si="85">W144+W145+W146+W147</f>
        <v>0</v>
      </c>
      <c r="X148" s="550">
        <f t="shared" si="85"/>
        <v>0</v>
      </c>
      <c r="Y148" s="550" t="str">
        <f>D150</f>
        <v/>
      </c>
      <c r="Z148" s="550">
        <f t="shared" ref="Z148:AA148" si="86">Z144+Z145+Z146+Z147</f>
        <v>0</v>
      </c>
      <c r="AA148" s="550">
        <f t="shared" si="86"/>
        <v>0</v>
      </c>
    </row>
    <row r="149" ht="13.5" customHeight="1">
      <c r="A149" s="46"/>
      <c r="B149" s="549" t="s">
        <v>129</v>
      </c>
      <c r="C149" s="550">
        <f t="shared" ref="C149:F149" si="87">C145+C146+C147+C148</f>
        <v>0</v>
      </c>
      <c r="D149" s="550">
        <f t="shared" si="87"/>
        <v>0</v>
      </c>
      <c r="E149" s="550">
        <f t="shared" si="87"/>
        <v>0</v>
      </c>
      <c r="F149" s="550">
        <f t="shared" si="87"/>
        <v>0</v>
      </c>
      <c r="G149" s="550"/>
      <c r="H149" s="552">
        <f>H145+H146+H147+H148</f>
        <v>0</v>
      </c>
      <c r="T149" s="46"/>
      <c r="U149" s="553" t="s">
        <v>186</v>
      </c>
      <c r="V149" s="554">
        <f>V144+V148-W148-X148</f>
        <v>470290</v>
      </c>
      <c r="W149" s="554"/>
      <c r="X149" s="554"/>
      <c r="Y149" s="554">
        <f>Y144+Y148-Z148-AA148</f>
        <v>332120</v>
      </c>
      <c r="Z149" s="554"/>
      <c r="AA149" s="554"/>
    </row>
    <row r="150" ht="13.5" customHeight="1">
      <c r="A150" s="536">
        <f>A145+1</f>
        <v>30</v>
      </c>
      <c r="B150" s="133">
        <v>31482.0</v>
      </c>
      <c r="C150" s="133">
        <v>35530.0</v>
      </c>
      <c r="D150" s="133"/>
      <c r="E150" s="133"/>
      <c r="F150" s="133"/>
      <c r="G150" s="133"/>
      <c r="H150" s="538"/>
      <c r="T150" s="543">
        <f>T145+1</f>
        <v>30</v>
      </c>
      <c r="U150" s="133"/>
      <c r="V150" s="133"/>
      <c r="W150" s="133"/>
      <c r="X150" s="133"/>
      <c r="Y150" s="133"/>
      <c r="Z150" s="133"/>
      <c r="AA150" s="133"/>
    </row>
    <row r="151" ht="13.5" customHeight="1">
      <c r="A151" s="545"/>
      <c r="B151" s="133"/>
      <c r="C151" s="133"/>
      <c r="D151" s="133"/>
      <c r="E151" s="133"/>
      <c r="F151" s="133"/>
      <c r="G151" s="133"/>
      <c r="H151" s="538"/>
      <c r="T151" s="545"/>
      <c r="U151" s="133"/>
      <c r="V151" s="133"/>
      <c r="W151" s="133"/>
      <c r="X151" s="133"/>
      <c r="Y151" s="133"/>
      <c r="Z151" s="133"/>
      <c r="AA151" s="133"/>
    </row>
    <row r="152" ht="13.5" customHeight="1">
      <c r="A152" s="545"/>
      <c r="B152" s="133"/>
      <c r="C152" s="133"/>
      <c r="D152" s="133"/>
      <c r="E152" s="133"/>
      <c r="F152" s="133"/>
      <c r="G152" s="133"/>
      <c r="H152" s="538"/>
      <c r="T152" s="545"/>
      <c r="U152" s="133"/>
      <c r="V152" s="133"/>
      <c r="W152" s="133"/>
      <c r="X152" s="133"/>
      <c r="Y152" s="133"/>
      <c r="Z152" s="133"/>
      <c r="AA152" s="133"/>
    </row>
    <row r="153" ht="13.5" customHeight="1">
      <c r="A153" s="545"/>
      <c r="B153" s="133"/>
      <c r="C153" s="133"/>
      <c r="D153" s="133"/>
      <c r="E153" s="133"/>
      <c r="F153" s="133"/>
      <c r="G153" s="133"/>
      <c r="H153" s="538"/>
      <c r="T153" s="545"/>
      <c r="U153" s="549" t="s">
        <v>129</v>
      </c>
      <c r="V153" s="550">
        <f>C155</f>
        <v>32850</v>
      </c>
      <c r="W153" s="550">
        <f t="shared" ref="W153:X153" si="88">W149+W150+W151+W152</f>
        <v>0</v>
      </c>
      <c r="X153" s="550">
        <f t="shared" si="88"/>
        <v>0</v>
      </c>
      <c r="Y153" s="550" t="str">
        <f>D155</f>
        <v/>
      </c>
      <c r="Z153" s="550">
        <f t="shared" ref="Z153:AA153" si="89">Z149+Z150+Z151+Z152</f>
        <v>0</v>
      </c>
      <c r="AA153" s="550">
        <f t="shared" si="89"/>
        <v>0</v>
      </c>
    </row>
    <row r="154" ht="13.5" customHeight="1">
      <c r="A154" s="46"/>
      <c r="B154" s="549" t="s">
        <v>129</v>
      </c>
      <c r="C154" s="550">
        <f t="shared" ref="C154:F154" si="90">C150+C151+C152+C153</f>
        <v>35530</v>
      </c>
      <c r="D154" s="550">
        <f t="shared" si="90"/>
        <v>0</v>
      </c>
      <c r="E154" s="550">
        <f t="shared" si="90"/>
        <v>0</v>
      </c>
      <c r="F154" s="550">
        <f t="shared" si="90"/>
        <v>0</v>
      </c>
      <c r="G154" s="550"/>
      <c r="H154" s="552">
        <f>H150+H151+H152+H153</f>
        <v>0</v>
      </c>
      <c r="T154" s="46"/>
      <c r="U154" s="553" t="s">
        <v>186</v>
      </c>
      <c r="V154" s="554">
        <f>V149+V153-W153-X153</f>
        <v>503140</v>
      </c>
      <c r="W154" s="554"/>
      <c r="X154" s="554"/>
      <c r="Y154" s="554">
        <f>Y149+Y153-Z153-AA153</f>
        <v>332120</v>
      </c>
      <c r="Z154" s="554"/>
      <c r="AA154" s="554"/>
    </row>
    <row r="155" ht="13.5" customHeight="1">
      <c r="A155" s="536">
        <f>A150+1</f>
        <v>31</v>
      </c>
      <c r="B155" s="133">
        <v>31495.0</v>
      </c>
      <c r="C155" s="133">
        <v>32850.0</v>
      </c>
      <c r="D155" s="133"/>
      <c r="E155" s="133"/>
      <c r="F155" s="133"/>
      <c r="G155" s="133"/>
      <c r="H155" s="538"/>
      <c r="T155" s="543">
        <f>T150+1</f>
        <v>31</v>
      </c>
      <c r="U155" s="133"/>
      <c r="V155" s="133"/>
      <c r="W155" s="133"/>
      <c r="X155" s="133"/>
      <c r="Y155" s="133"/>
      <c r="Z155" s="133"/>
      <c r="AA155" s="133"/>
    </row>
    <row r="156" ht="13.5" customHeight="1">
      <c r="A156" s="545"/>
      <c r="B156" s="133"/>
      <c r="C156" s="133"/>
      <c r="D156" s="133"/>
      <c r="E156" s="133"/>
      <c r="F156" s="133"/>
      <c r="G156" s="133"/>
      <c r="H156" s="538"/>
      <c r="T156" s="545"/>
      <c r="U156" s="133"/>
      <c r="V156" s="133"/>
      <c r="W156" s="133"/>
      <c r="X156" s="133"/>
      <c r="Y156" s="133"/>
      <c r="Z156" s="133"/>
      <c r="AA156" s="133"/>
    </row>
    <row r="157" ht="13.5" customHeight="1">
      <c r="A157" s="545"/>
      <c r="B157" s="133"/>
      <c r="C157" s="133"/>
      <c r="D157" s="133"/>
      <c r="E157" s="133"/>
      <c r="F157" s="133"/>
      <c r="G157" s="133"/>
      <c r="H157" s="538"/>
      <c r="T157" s="545"/>
      <c r="U157" s="133"/>
      <c r="V157" s="133"/>
      <c r="W157" s="133"/>
      <c r="X157" s="133"/>
      <c r="Y157" s="133"/>
      <c r="Z157" s="133"/>
      <c r="AA157" s="133"/>
    </row>
    <row r="158" ht="13.5" customHeight="1">
      <c r="A158" s="545"/>
      <c r="B158" s="133"/>
      <c r="C158" s="133"/>
      <c r="D158" s="133"/>
      <c r="E158" s="133"/>
      <c r="F158" s="133"/>
      <c r="G158" s="133"/>
      <c r="H158" s="538"/>
      <c r="T158" s="545"/>
      <c r="U158" s="549" t="s">
        <v>129</v>
      </c>
      <c r="V158" s="550">
        <f>C160</f>
        <v>571700</v>
      </c>
      <c r="W158" s="550">
        <f t="shared" ref="W158:X158" si="91">W154+W155+W156+W157</f>
        <v>0</v>
      </c>
      <c r="X158" s="550">
        <f t="shared" si="91"/>
        <v>0</v>
      </c>
      <c r="Y158" s="550">
        <f>D160</f>
        <v>358670</v>
      </c>
      <c r="Z158" s="550">
        <f t="shared" ref="Z158:AA158" si="92">Z154+Z155+Z156+Z157</f>
        <v>0</v>
      </c>
      <c r="AA158" s="550">
        <f t="shared" si="92"/>
        <v>0</v>
      </c>
    </row>
    <row r="159" ht="13.5" customHeight="1">
      <c r="A159" s="46"/>
      <c r="B159" s="549" t="s">
        <v>129</v>
      </c>
      <c r="C159" s="550">
        <f t="shared" ref="C159:F159" si="93">C155+C156+C157+C158</f>
        <v>32850</v>
      </c>
      <c r="D159" s="550">
        <f t="shared" si="93"/>
        <v>0</v>
      </c>
      <c r="E159" s="550">
        <f t="shared" si="93"/>
        <v>0</v>
      </c>
      <c r="F159" s="550">
        <f t="shared" si="93"/>
        <v>0</v>
      </c>
      <c r="G159" s="550"/>
      <c r="H159" s="552">
        <f>H155+H156+H157+H158</f>
        <v>0</v>
      </c>
      <c r="T159" s="46"/>
      <c r="U159" s="553" t="s">
        <v>186</v>
      </c>
      <c r="V159" s="554">
        <f>V154+V158-W158-X158</f>
        <v>1074840</v>
      </c>
      <c r="W159" s="554"/>
      <c r="X159" s="554"/>
      <c r="Y159" s="554">
        <f>Y154+Y158-Z158-AA158</f>
        <v>690790</v>
      </c>
      <c r="Z159" s="554"/>
      <c r="AA159" s="554"/>
    </row>
    <row r="160" ht="30.75" customHeight="1">
      <c r="A160" s="564" t="s">
        <v>190</v>
      </c>
      <c r="B160" s="128"/>
      <c r="C160" s="565">
        <f t="shared" ref="C160:F160" si="94">C9+C14+C19+C24+C29+C34+C39+C44+C49+C54+C59+C64+C69+C74+C79+C84+C89+C94+C99+C104+C109+C114+C119+C124+C129+C134+C139+C144+C149+C154+C159</f>
        <v>571700</v>
      </c>
      <c r="D160" s="565">
        <f t="shared" si="94"/>
        <v>358670</v>
      </c>
      <c r="E160" s="565">
        <f t="shared" si="94"/>
        <v>67230</v>
      </c>
      <c r="F160" s="565">
        <f t="shared" si="94"/>
        <v>65050</v>
      </c>
      <c r="G160" s="566">
        <f>H9+H14+H19+H24+H29+H34+H39+H44+H49+H54+H59+H64+H69+H74+H79+H84+H89+H94+H94+H99+H104+H109+H114+H119+H124+H129+H134+H139+H129+H134+H139+H144+H149+H154+H159</f>
        <v>0</v>
      </c>
      <c r="H160" s="128"/>
      <c r="T160" s="564" t="s">
        <v>191</v>
      </c>
      <c r="U160" s="128"/>
      <c r="V160" s="565" t="str">
        <f>V138</f>
        <v/>
      </c>
      <c r="W160" s="565" t="str">
        <f t="shared" ref="W160:X160" si="95">W137</f>
        <v/>
      </c>
      <c r="X160" s="565" t="str">
        <f t="shared" si="95"/>
        <v/>
      </c>
      <c r="Y160" s="565" t="str">
        <f>Y138</f>
        <v/>
      </c>
      <c r="Z160" s="565" t="str">
        <f t="shared" ref="Z160:AA160" si="96">Z137</f>
        <v/>
      </c>
      <c r="AA160" s="565" t="str">
        <f t="shared" si="96"/>
        <v/>
      </c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9">
    <mergeCell ref="T85:T89"/>
    <mergeCell ref="T90:T94"/>
    <mergeCell ref="T50:T54"/>
    <mergeCell ref="T55:T59"/>
    <mergeCell ref="T60:T64"/>
    <mergeCell ref="T65:T69"/>
    <mergeCell ref="T70:T74"/>
    <mergeCell ref="T75:T79"/>
    <mergeCell ref="T80:T84"/>
    <mergeCell ref="A80:A84"/>
    <mergeCell ref="A85:A89"/>
    <mergeCell ref="A90:A94"/>
    <mergeCell ref="A95:A99"/>
    <mergeCell ref="T95:T99"/>
    <mergeCell ref="T100:T104"/>
    <mergeCell ref="T105:T109"/>
    <mergeCell ref="A135:A139"/>
    <mergeCell ref="A140:A144"/>
    <mergeCell ref="A145:A149"/>
    <mergeCell ref="A150:A154"/>
    <mergeCell ref="A155:A159"/>
    <mergeCell ref="A160:B160"/>
    <mergeCell ref="G160:H160"/>
    <mergeCell ref="A100:A104"/>
    <mergeCell ref="A105:A109"/>
    <mergeCell ref="A110:A114"/>
    <mergeCell ref="A115:A119"/>
    <mergeCell ref="A120:A124"/>
    <mergeCell ref="A125:A129"/>
    <mergeCell ref="A130:A134"/>
    <mergeCell ref="T155:T159"/>
    <mergeCell ref="T160:U160"/>
    <mergeCell ref="T120:T124"/>
    <mergeCell ref="T125:T129"/>
    <mergeCell ref="T130:T134"/>
    <mergeCell ref="T135:T139"/>
    <mergeCell ref="T140:T144"/>
    <mergeCell ref="T145:T149"/>
    <mergeCell ref="T150:T154"/>
    <mergeCell ref="P3:P4"/>
    <mergeCell ref="Q3:R3"/>
    <mergeCell ref="T3:AA3"/>
    <mergeCell ref="B1:N2"/>
    <mergeCell ref="A2:A4"/>
    <mergeCell ref="B3:F3"/>
    <mergeCell ref="G3:H3"/>
    <mergeCell ref="J3:J4"/>
    <mergeCell ref="K3:L3"/>
    <mergeCell ref="A5:A9"/>
    <mergeCell ref="M3:N3"/>
    <mergeCell ref="T5:T9"/>
    <mergeCell ref="T10:T14"/>
    <mergeCell ref="T15:T19"/>
    <mergeCell ref="T20:T24"/>
    <mergeCell ref="T25:T29"/>
    <mergeCell ref="T30:T34"/>
    <mergeCell ref="A10:A14"/>
    <mergeCell ref="A15:A19"/>
    <mergeCell ref="A20:A24"/>
    <mergeCell ref="A25:A29"/>
    <mergeCell ref="A30:A34"/>
    <mergeCell ref="A35:A39"/>
    <mergeCell ref="A40:A44"/>
    <mergeCell ref="T35:T39"/>
    <mergeCell ref="J37:K37"/>
    <mergeCell ref="P37:Q37"/>
    <mergeCell ref="J38:K38"/>
    <mergeCell ref="L38:M38"/>
    <mergeCell ref="T40:T44"/>
    <mergeCell ref="T45:T49"/>
    <mergeCell ref="A45:A49"/>
    <mergeCell ref="A50:A54"/>
    <mergeCell ref="A55:A59"/>
    <mergeCell ref="A60:A64"/>
    <mergeCell ref="A65:A69"/>
    <mergeCell ref="A70:A74"/>
    <mergeCell ref="A75:A79"/>
    <mergeCell ref="T110:T114"/>
    <mergeCell ref="T115:T119"/>
  </mergeCells>
  <dataValidations>
    <dataValidation type="decimal" operator="notEqual" allowBlank="1" showErrorMessage="1" sqref="B16 U16">
      <formula1>1.0</formula1>
    </dataValidation>
  </dataValidations>
  <printOptions/>
  <pageMargins bottom="0.7875" footer="0.0" header="0.0" left="0.511805555555556" right="0.511805555555556" top="0.78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29"/>
    <col customWidth="1" min="2" max="26" width="8.86"/>
  </cols>
  <sheetData>
    <row r="1" ht="13.5" customHeight="1">
      <c r="A1" s="567" t="s">
        <v>192</v>
      </c>
    </row>
    <row r="2" ht="13.5" customHeight="1">
      <c r="A2" s="137" t="s">
        <v>193</v>
      </c>
    </row>
    <row r="3" ht="13.5" customHeight="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</row>
    <row r="4" ht="13.5" customHeight="1">
      <c r="A4" s="568" t="s">
        <v>173</v>
      </c>
      <c r="B4" s="568" t="s">
        <v>194</v>
      </c>
      <c r="C4" s="569" t="s">
        <v>40</v>
      </c>
      <c r="D4" s="570"/>
      <c r="E4" s="570"/>
      <c r="F4" s="571"/>
      <c r="G4" s="569" t="s">
        <v>195</v>
      </c>
      <c r="H4" s="570"/>
      <c r="I4" s="570"/>
      <c r="J4" s="570"/>
      <c r="K4" s="572"/>
    </row>
    <row r="5" ht="13.5" customHeight="1">
      <c r="A5" s="573"/>
      <c r="B5" s="573"/>
      <c r="C5" s="574" t="s">
        <v>196</v>
      </c>
      <c r="D5" s="574" t="s">
        <v>197</v>
      </c>
      <c r="E5" s="574" t="s">
        <v>198</v>
      </c>
      <c r="F5" s="574" t="s">
        <v>199</v>
      </c>
      <c r="G5" s="574" t="s">
        <v>196</v>
      </c>
      <c r="H5" s="574" t="s">
        <v>197</v>
      </c>
      <c r="I5" s="574" t="s">
        <v>200</v>
      </c>
      <c r="J5" s="574" t="s">
        <v>198</v>
      </c>
      <c r="K5" s="574" t="s">
        <v>199</v>
      </c>
    </row>
    <row r="6" ht="13.5" customHeight="1">
      <c r="A6" s="575"/>
      <c r="B6" s="575"/>
      <c r="C6" s="576" t="s">
        <v>201</v>
      </c>
      <c r="D6" s="576" t="s">
        <v>202</v>
      </c>
      <c r="E6" s="576" t="s">
        <v>203</v>
      </c>
      <c r="F6" s="576" t="s">
        <v>203</v>
      </c>
      <c r="G6" s="576" t="s">
        <v>201</v>
      </c>
      <c r="H6" s="576" t="s">
        <v>202</v>
      </c>
      <c r="I6" s="576" t="s">
        <v>203</v>
      </c>
      <c r="J6" s="576" t="s">
        <v>203</v>
      </c>
      <c r="K6" s="576" t="s">
        <v>203</v>
      </c>
    </row>
    <row r="7" ht="13.5" customHeight="1">
      <c r="A7" s="439"/>
      <c r="B7" s="439"/>
      <c r="C7" s="439"/>
      <c r="D7" s="439"/>
      <c r="E7" s="439"/>
      <c r="F7" s="439"/>
      <c r="G7" s="439"/>
      <c r="H7" s="439"/>
      <c r="I7" s="439"/>
      <c r="J7" s="439"/>
      <c r="K7" s="439"/>
    </row>
    <row r="8" ht="13.5" customHeight="1">
      <c r="A8" s="577">
        <v>1.0</v>
      </c>
      <c r="B8" s="578" t="s">
        <v>204</v>
      </c>
      <c r="C8" s="579">
        <f>'1'!B7</f>
        <v>115</v>
      </c>
      <c r="D8" s="579">
        <f>'1'!F7</f>
        <v>7.5</v>
      </c>
      <c r="E8" s="580" t="s">
        <v>205</v>
      </c>
      <c r="F8" s="580" t="s">
        <v>205</v>
      </c>
      <c r="G8" s="579">
        <f>'1'!E7</f>
        <v>6</v>
      </c>
      <c r="H8" s="579">
        <f>'1'!I7</f>
        <v>0.5</v>
      </c>
      <c r="I8" s="579">
        <f>'1'!O7</f>
        <v>3.6</v>
      </c>
      <c r="J8" s="580" t="s">
        <v>205</v>
      </c>
      <c r="K8" s="580" t="s">
        <v>205</v>
      </c>
    </row>
    <row r="9" ht="13.5" customHeight="1">
      <c r="A9" s="573"/>
      <c r="B9" s="578" t="s">
        <v>206</v>
      </c>
      <c r="C9" s="579">
        <f>'1'!B11</f>
        <v>108</v>
      </c>
      <c r="D9" s="579">
        <f>'1'!F11</f>
        <v>7</v>
      </c>
      <c r="E9" s="579">
        <f>'1'!F37</f>
        <v>1</v>
      </c>
      <c r="F9" s="579">
        <f>'1'!I37</f>
        <v>0.15</v>
      </c>
      <c r="G9" s="579">
        <f>'1'!E11</f>
        <v>6</v>
      </c>
      <c r="H9" s="579">
        <f>'1'!I11</f>
        <v>0.5</v>
      </c>
      <c r="I9" s="579">
        <f>'1'!O11</f>
        <v>3.8</v>
      </c>
      <c r="J9" s="579">
        <f>'1'!H37</f>
        <v>0.1</v>
      </c>
      <c r="K9" s="579">
        <f>'1'!K37</f>
        <v>0.03</v>
      </c>
    </row>
    <row r="10" ht="13.5" customHeight="1">
      <c r="A10" s="575"/>
      <c r="B10" s="581" t="s">
        <v>207</v>
      </c>
      <c r="C10" s="579">
        <f>'1'!B15</f>
        <v>108</v>
      </c>
      <c r="D10" s="579">
        <f>'1'!F15</f>
        <v>7.6</v>
      </c>
      <c r="E10" s="580" t="s">
        <v>205</v>
      </c>
      <c r="F10" s="580" t="s">
        <v>205</v>
      </c>
      <c r="G10" s="579">
        <f>'1'!E15</f>
        <v>6</v>
      </c>
      <c r="H10" s="579">
        <f>'1'!I15</f>
        <v>0.5</v>
      </c>
      <c r="I10" s="579">
        <f>'1'!O15</f>
        <v>3.5</v>
      </c>
      <c r="J10" s="580" t="s">
        <v>205</v>
      </c>
      <c r="K10" s="580" t="s">
        <v>205</v>
      </c>
    </row>
    <row r="11" ht="13.5" customHeight="1">
      <c r="A11" s="439"/>
      <c r="B11" s="439"/>
      <c r="C11" s="439"/>
      <c r="D11" s="439"/>
      <c r="E11" s="439"/>
      <c r="F11" s="439"/>
      <c r="G11" s="439"/>
      <c r="H11" s="439"/>
      <c r="I11" s="439"/>
      <c r="J11" s="439"/>
      <c r="K11" s="439"/>
    </row>
    <row r="12" ht="13.5" customHeight="1">
      <c r="A12" s="577">
        <f>A8+1</f>
        <v>2</v>
      </c>
      <c r="B12" s="582" t="s">
        <v>204</v>
      </c>
      <c r="C12" s="579">
        <f>'2'!B7</f>
        <v>125</v>
      </c>
      <c r="D12" s="579">
        <f>'2'!F7</f>
        <v>11</v>
      </c>
      <c r="E12" s="580" t="s">
        <v>205</v>
      </c>
      <c r="F12" s="580" t="s">
        <v>205</v>
      </c>
      <c r="G12" s="579">
        <f>'2'!E7</f>
        <v>5</v>
      </c>
      <c r="H12" s="579">
        <f>'2'!I7</f>
        <v>0.4</v>
      </c>
      <c r="I12" s="579">
        <f>'2'!O7</f>
        <v>3.6</v>
      </c>
      <c r="J12" s="580" t="s">
        <v>205</v>
      </c>
      <c r="K12" s="580" t="s">
        <v>205</v>
      </c>
    </row>
    <row r="13" ht="13.5" customHeight="1">
      <c r="A13" s="573"/>
      <c r="B13" s="578" t="s">
        <v>206</v>
      </c>
      <c r="C13" s="579">
        <f>'2'!B11</f>
        <v>209</v>
      </c>
      <c r="D13" s="579">
        <f>'2'!F11</f>
        <v>76</v>
      </c>
      <c r="E13" s="579">
        <f>'2'!F37</f>
        <v>1.2</v>
      </c>
      <c r="F13" s="579">
        <f>'2'!I37</f>
        <v>0.15</v>
      </c>
      <c r="G13" s="579">
        <f>'2'!E11</f>
        <v>3.2</v>
      </c>
      <c r="H13" s="579">
        <f>'2'!I11</f>
        <v>0.4</v>
      </c>
      <c r="I13" s="579">
        <f>'2'!O11</f>
        <v>3.5</v>
      </c>
      <c r="J13" s="579">
        <f>'2'!H37</f>
        <v>0.2</v>
      </c>
      <c r="K13" s="579">
        <f>'2'!K37</f>
        <v>0</v>
      </c>
    </row>
    <row r="14" ht="13.5" customHeight="1">
      <c r="A14" s="575"/>
      <c r="B14" s="581" t="s">
        <v>207</v>
      </c>
      <c r="C14" s="579">
        <f>'2'!B15</f>
        <v>230</v>
      </c>
      <c r="D14" s="579">
        <f>'2'!F15</f>
        <v>143</v>
      </c>
      <c r="E14" s="580" t="s">
        <v>205</v>
      </c>
      <c r="F14" s="580" t="s">
        <v>205</v>
      </c>
      <c r="G14" s="579">
        <f>'2'!E15</f>
        <v>6.3</v>
      </c>
      <c r="H14" s="579">
        <f>'2'!I15</f>
        <v>0.7</v>
      </c>
      <c r="I14" s="579">
        <f>'2'!O15</f>
        <v>3.6</v>
      </c>
      <c r="J14" s="580" t="s">
        <v>205</v>
      </c>
      <c r="K14" s="580" t="s">
        <v>205</v>
      </c>
    </row>
    <row r="15" ht="13.5" customHeight="1">
      <c r="A15" s="583"/>
    </row>
    <row r="16" ht="13.5" customHeight="1">
      <c r="A16" s="577">
        <f>A12+1</f>
        <v>3</v>
      </c>
      <c r="B16" s="582" t="s">
        <v>204</v>
      </c>
      <c r="C16" s="579">
        <f>'3'!B7</f>
        <v>246</v>
      </c>
      <c r="D16" s="579">
        <f>'3'!F7</f>
        <v>226</v>
      </c>
      <c r="E16" s="580" t="s">
        <v>205</v>
      </c>
      <c r="F16" s="580" t="s">
        <v>205</v>
      </c>
      <c r="G16" s="579">
        <f>'3'!E7</f>
        <v>7.3</v>
      </c>
      <c r="H16" s="579">
        <f>'3'!I7</f>
        <v>0.9</v>
      </c>
      <c r="I16" s="579">
        <f>'3'!O7</f>
        <v>3.6</v>
      </c>
      <c r="J16" s="580" t="s">
        <v>205</v>
      </c>
      <c r="K16" s="580" t="s">
        <v>205</v>
      </c>
    </row>
    <row r="17" ht="13.5" customHeight="1">
      <c r="A17" s="573"/>
      <c r="B17" s="578" t="s">
        <v>206</v>
      </c>
      <c r="C17" s="579">
        <f>'3'!B11</f>
        <v>319</v>
      </c>
      <c r="D17" s="579">
        <f>'3'!F11</f>
        <v>157</v>
      </c>
      <c r="E17" s="579">
        <f>'3'!F37</f>
        <v>1</v>
      </c>
      <c r="F17" s="579">
        <f>'3'!I37</f>
        <v>0.1</v>
      </c>
      <c r="G17" s="579">
        <f>'3'!E11</f>
        <v>4</v>
      </c>
      <c r="H17" s="579">
        <f>'3'!I11</f>
        <v>0.7</v>
      </c>
      <c r="I17" s="579">
        <f>'3'!O11</f>
        <v>3.6</v>
      </c>
      <c r="J17" s="579">
        <f>'3'!H37</f>
        <v>0.2</v>
      </c>
      <c r="K17" s="579">
        <f>'3'!K37</f>
        <v>0</v>
      </c>
    </row>
    <row r="18" ht="13.5" customHeight="1">
      <c r="A18" s="575"/>
      <c r="B18" s="581" t="s">
        <v>207</v>
      </c>
      <c r="C18" s="579">
        <f>'3'!B15</f>
        <v>320</v>
      </c>
      <c r="D18" s="579">
        <f>'3'!F15</f>
        <v>142</v>
      </c>
      <c r="E18" s="580" t="s">
        <v>205</v>
      </c>
      <c r="F18" s="580" t="s">
        <v>205</v>
      </c>
      <c r="G18" s="579">
        <f>'3'!E15</f>
        <v>9</v>
      </c>
      <c r="H18" s="579">
        <f>'3'!I15</f>
        <v>1.2</v>
      </c>
      <c r="I18" s="579">
        <f>'3'!O15</f>
        <v>3.6</v>
      </c>
      <c r="J18" s="580" t="s">
        <v>205</v>
      </c>
      <c r="K18" s="580" t="s">
        <v>205</v>
      </c>
    </row>
    <row r="19" ht="13.5" customHeight="1">
      <c r="A19" s="583"/>
    </row>
    <row r="20" ht="13.5" customHeight="1">
      <c r="A20" s="577">
        <f>A16+1</f>
        <v>4</v>
      </c>
      <c r="B20" s="582" t="s">
        <v>204</v>
      </c>
      <c r="C20" s="579">
        <f>'4'!B7</f>
        <v>322</v>
      </c>
      <c r="D20" s="579">
        <f>'4'!F7</f>
        <v>119</v>
      </c>
      <c r="E20" s="580" t="s">
        <v>205</v>
      </c>
      <c r="F20" s="580" t="s">
        <v>205</v>
      </c>
      <c r="G20" s="579">
        <f>'4'!E7</f>
        <v>8</v>
      </c>
      <c r="H20" s="579">
        <f>'4'!I7</f>
        <v>0.8</v>
      </c>
      <c r="I20" s="579">
        <f>'4'!O7</f>
        <v>3.5</v>
      </c>
      <c r="J20" s="580" t="s">
        <v>205</v>
      </c>
      <c r="K20" s="580" t="s">
        <v>205</v>
      </c>
    </row>
    <row r="21" ht="13.5" customHeight="1">
      <c r="A21" s="573"/>
      <c r="B21" s="578" t="s">
        <v>206</v>
      </c>
      <c r="C21" s="584" t="str">
        <f>'4'!B11</f>
        <v/>
      </c>
      <c r="D21" s="584" t="str">
        <f>'4'!F11</f>
        <v/>
      </c>
      <c r="E21" s="584" t="str">
        <f>'4'!F37</f>
        <v/>
      </c>
      <c r="F21" s="584" t="str">
        <f>'4'!I37</f>
        <v/>
      </c>
      <c r="G21" s="584" t="str">
        <f>'4'!E11</f>
        <v/>
      </c>
      <c r="H21" s="584" t="str">
        <f>'4'!I11</f>
        <v/>
      </c>
      <c r="I21" s="584" t="str">
        <f>'4'!O11</f>
        <v/>
      </c>
      <c r="J21" s="584" t="str">
        <f>'4'!H37</f>
        <v/>
      </c>
      <c r="K21" s="584" t="str">
        <f>'4'!K37</f>
        <v/>
      </c>
    </row>
    <row r="22" ht="13.5" customHeight="1">
      <c r="A22" s="575"/>
      <c r="B22" s="581" t="s">
        <v>207</v>
      </c>
      <c r="C22" s="579" t="str">
        <f>'4'!B15</f>
        <v/>
      </c>
      <c r="D22" s="579" t="str">
        <f>'4'!F15</f>
        <v/>
      </c>
      <c r="E22" s="580" t="s">
        <v>205</v>
      </c>
      <c r="F22" s="580" t="s">
        <v>205</v>
      </c>
      <c r="G22" s="579" t="str">
        <f>'4'!E15</f>
        <v/>
      </c>
      <c r="H22" s="579" t="str">
        <f>'4'!I15</f>
        <v/>
      </c>
      <c r="I22" s="579" t="str">
        <f>'4'!O15</f>
        <v/>
      </c>
      <c r="J22" s="580" t="s">
        <v>205</v>
      </c>
      <c r="K22" s="580" t="s">
        <v>205</v>
      </c>
    </row>
    <row r="23" ht="13.5" customHeight="1">
      <c r="A23" s="583"/>
    </row>
    <row r="24" ht="13.5" customHeight="1">
      <c r="A24" s="577">
        <f>A20+1</f>
        <v>5</v>
      </c>
      <c r="B24" s="582" t="s">
        <v>204</v>
      </c>
      <c r="C24" s="585">
        <f>'5'!B7</f>
        <v>294</v>
      </c>
      <c r="D24" s="585">
        <f>'5'!F7</f>
        <v>89</v>
      </c>
      <c r="E24" s="580" t="s">
        <v>205</v>
      </c>
      <c r="F24" s="580" t="s">
        <v>205</v>
      </c>
      <c r="G24" s="585">
        <f>'5'!E7</f>
        <v>6</v>
      </c>
      <c r="H24" s="585">
        <f>'5'!I7</f>
        <v>0.6</v>
      </c>
      <c r="I24" s="585">
        <f>'5'!O7</f>
        <v>3.8</v>
      </c>
      <c r="J24" s="580" t="s">
        <v>205</v>
      </c>
      <c r="K24" s="580" t="s">
        <v>205</v>
      </c>
    </row>
    <row r="25" ht="13.5" customHeight="1">
      <c r="A25" s="573"/>
      <c r="B25" s="578" t="s">
        <v>206</v>
      </c>
      <c r="C25" s="579">
        <f>'5'!B11</f>
        <v>265</v>
      </c>
      <c r="D25" s="579">
        <f>'5'!F11</f>
        <v>56</v>
      </c>
      <c r="E25" s="579">
        <f>'5'!F37</f>
        <v>1.4</v>
      </c>
      <c r="F25" s="579">
        <f>'5'!I37</f>
        <v>0.15</v>
      </c>
      <c r="G25" s="579">
        <f>'5'!E11</f>
        <v>5</v>
      </c>
      <c r="H25" s="579">
        <f>'5'!I11</f>
        <v>0.6</v>
      </c>
      <c r="I25" s="579">
        <f>'5'!O11</f>
        <v>3.8</v>
      </c>
      <c r="J25" s="579">
        <f>'5'!H37</f>
        <v>0.1</v>
      </c>
      <c r="K25" s="579">
        <f>'5'!K37</f>
        <v>0.03</v>
      </c>
    </row>
    <row r="26" ht="13.5" customHeight="1">
      <c r="A26" s="575"/>
      <c r="B26" s="581" t="s">
        <v>207</v>
      </c>
      <c r="C26" s="586">
        <f>'5'!B15</f>
        <v>268</v>
      </c>
      <c r="D26" s="586">
        <f>'5'!F15</f>
        <v>58</v>
      </c>
      <c r="E26" s="580" t="s">
        <v>205</v>
      </c>
      <c r="F26" s="580" t="s">
        <v>205</v>
      </c>
      <c r="G26" s="586">
        <f>'5'!E15</f>
        <v>7</v>
      </c>
      <c r="H26" s="586">
        <f>'5'!I15</f>
        <v>0.6</v>
      </c>
      <c r="I26" s="586">
        <f>'5'!O15</f>
        <v>3.6</v>
      </c>
      <c r="J26" s="580" t="s">
        <v>205</v>
      </c>
      <c r="K26" s="580" t="s">
        <v>205</v>
      </c>
    </row>
    <row r="27" ht="13.5" customHeight="1">
      <c r="A27" s="583"/>
    </row>
    <row r="28" ht="13.5" customHeight="1">
      <c r="A28" s="577">
        <f>A24+1</f>
        <v>6</v>
      </c>
      <c r="B28" s="578" t="s">
        <v>204</v>
      </c>
      <c r="C28" s="585">
        <f>'6'!B7</f>
        <v>286</v>
      </c>
      <c r="D28" s="585">
        <f>'6'!F7</f>
        <v>62</v>
      </c>
      <c r="E28" s="580" t="s">
        <v>205</v>
      </c>
      <c r="F28" s="580" t="s">
        <v>205</v>
      </c>
      <c r="G28" s="585">
        <f>'6'!E7</f>
        <v>6</v>
      </c>
      <c r="H28" s="585">
        <f>'6'!I7</f>
        <v>0.6</v>
      </c>
      <c r="I28" s="585">
        <f>'6'!O7</f>
        <v>3.8</v>
      </c>
      <c r="J28" s="580" t="s">
        <v>205</v>
      </c>
      <c r="K28" s="580" t="s">
        <v>205</v>
      </c>
    </row>
    <row r="29" ht="13.5" customHeight="1">
      <c r="A29" s="573"/>
      <c r="B29" s="578" t="s">
        <v>206</v>
      </c>
      <c r="C29" s="579">
        <f>'6'!B11</f>
        <v>230</v>
      </c>
      <c r="D29" s="579">
        <f>'6'!F11</f>
        <v>49.6</v>
      </c>
      <c r="E29" s="579">
        <f>'6'!F37</f>
        <v>1.4</v>
      </c>
      <c r="F29" s="579">
        <f>'6'!I37</f>
        <v>0.06</v>
      </c>
      <c r="G29" s="579">
        <f>'6'!E11</f>
        <v>4.2</v>
      </c>
      <c r="H29" s="579">
        <f>'6'!I11</f>
        <v>0.5</v>
      </c>
      <c r="I29" s="579">
        <f>'6'!O11</f>
        <v>2.8</v>
      </c>
      <c r="J29" s="579">
        <f>'6'!H37</f>
        <v>0.2</v>
      </c>
      <c r="K29" s="579">
        <f>'6'!K37</f>
        <v>0</v>
      </c>
    </row>
    <row r="30" ht="13.5" customHeight="1">
      <c r="A30" s="575"/>
      <c r="B30" s="581" t="s">
        <v>207</v>
      </c>
      <c r="C30" s="586">
        <f>'6'!B15</f>
        <v>183</v>
      </c>
      <c r="D30" s="586">
        <f>'6'!F15</f>
        <v>49.2</v>
      </c>
      <c r="E30" s="580" t="s">
        <v>205</v>
      </c>
      <c r="F30" s="580" t="s">
        <v>205</v>
      </c>
      <c r="G30" s="586">
        <f>'6'!E15</f>
        <v>3.1</v>
      </c>
      <c r="H30" s="586">
        <f>'6'!I15</f>
        <v>0.6</v>
      </c>
      <c r="I30" s="586">
        <f>'6'!O15</f>
        <v>3</v>
      </c>
      <c r="J30" s="580" t="s">
        <v>205</v>
      </c>
      <c r="K30" s="580" t="s">
        <v>205</v>
      </c>
    </row>
    <row r="31" ht="13.5" customHeight="1">
      <c r="A31" s="583"/>
    </row>
    <row r="32" ht="13.5" customHeight="1">
      <c r="A32" s="577">
        <f>A28+1</f>
        <v>7</v>
      </c>
      <c r="B32" s="578" t="s">
        <v>204</v>
      </c>
      <c r="C32" s="585">
        <f>'7'!B7</f>
        <v>220</v>
      </c>
      <c r="D32" s="585">
        <f>'7'!F7</f>
        <v>49.3</v>
      </c>
      <c r="E32" s="580" t="s">
        <v>205</v>
      </c>
      <c r="F32" s="580" t="s">
        <v>205</v>
      </c>
      <c r="G32" s="585">
        <f>'7'!E7</f>
        <v>6.8</v>
      </c>
      <c r="H32" s="585">
        <f>'7'!I7</f>
        <v>0.6</v>
      </c>
      <c r="I32" s="585">
        <f>'7'!O7</f>
        <v>3.6</v>
      </c>
      <c r="J32" s="580" t="s">
        <v>205</v>
      </c>
      <c r="K32" s="580" t="s">
        <v>205</v>
      </c>
    </row>
    <row r="33" ht="13.5" customHeight="1">
      <c r="A33" s="573"/>
      <c r="B33" s="578" t="s">
        <v>206</v>
      </c>
      <c r="C33" s="579">
        <f>'7'!B11</f>
        <v>238</v>
      </c>
      <c r="D33" s="579">
        <f>'7'!F11</f>
        <v>33</v>
      </c>
      <c r="E33" s="579">
        <f>'7'!F37</f>
        <v>1.4</v>
      </c>
      <c r="F33" s="579">
        <f>'7'!I37</f>
        <v>0.15</v>
      </c>
      <c r="G33" s="579">
        <f>'7'!E11</f>
        <v>8</v>
      </c>
      <c r="H33" s="579">
        <f>'7'!I11</f>
        <v>0.6</v>
      </c>
      <c r="I33" s="579">
        <f>'7'!O11</f>
        <v>3.6</v>
      </c>
      <c r="J33" s="579">
        <f>'7'!H37</f>
        <v>0.1</v>
      </c>
      <c r="K33" s="579">
        <f>'7'!K37</f>
        <v>0.03</v>
      </c>
    </row>
    <row r="34" ht="13.5" customHeight="1">
      <c r="A34" s="575"/>
      <c r="B34" s="581" t="s">
        <v>207</v>
      </c>
      <c r="C34" s="586">
        <f>'7'!B15</f>
        <v>243</v>
      </c>
      <c r="D34" s="586">
        <f>'7'!F15</f>
        <v>37</v>
      </c>
      <c r="E34" s="580" t="s">
        <v>205</v>
      </c>
      <c r="F34" s="580" t="s">
        <v>205</v>
      </c>
      <c r="G34" s="586">
        <f>'7'!E15</f>
        <v>8</v>
      </c>
      <c r="H34" s="586">
        <f>'7'!I15</f>
        <v>0.7</v>
      </c>
      <c r="I34" s="586">
        <f>'7'!O15</f>
        <v>3.6</v>
      </c>
      <c r="J34" s="580" t="s">
        <v>205</v>
      </c>
      <c r="K34" s="580" t="s">
        <v>205</v>
      </c>
    </row>
    <row r="35" ht="13.5" customHeight="1">
      <c r="A35" s="583"/>
    </row>
    <row r="36" ht="13.5" customHeight="1">
      <c r="A36" s="577">
        <f>A32+1</f>
        <v>8</v>
      </c>
      <c r="B36" s="578" t="s">
        <v>204</v>
      </c>
      <c r="C36" s="585">
        <f>'8'!B7</f>
        <v>244</v>
      </c>
      <c r="D36" s="585">
        <f>'8'!F7</f>
        <v>38</v>
      </c>
      <c r="E36" s="580" t="s">
        <v>205</v>
      </c>
      <c r="F36" s="580" t="s">
        <v>205</v>
      </c>
      <c r="G36" s="585">
        <f>'8'!E7</f>
        <v>7</v>
      </c>
      <c r="H36" s="585">
        <f>'8'!I7</f>
        <v>0.6</v>
      </c>
      <c r="I36" s="585">
        <f>'8'!O7</f>
        <v>3.6</v>
      </c>
      <c r="J36" s="580" t="s">
        <v>205</v>
      </c>
      <c r="K36" s="580" t="s">
        <v>205</v>
      </c>
    </row>
    <row r="37" ht="13.5" customHeight="1">
      <c r="A37" s="573"/>
      <c r="B37" s="578" t="s">
        <v>206</v>
      </c>
      <c r="C37" s="579">
        <f>'8'!B11</f>
        <v>219</v>
      </c>
      <c r="D37" s="579">
        <f>'8'!F11</f>
        <v>29</v>
      </c>
      <c r="E37" s="579">
        <f>'8'!F37</f>
        <v>1</v>
      </c>
      <c r="F37" s="579">
        <f>'8'!I37</f>
        <v>0.1</v>
      </c>
      <c r="G37" s="579">
        <f>'8'!E11</f>
        <v>5</v>
      </c>
      <c r="H37" s="579">
        <f>'8'!I11</f>
        <v>0.6</v>
      </c>
      <c r="I37" s="579">
        <f>'8'!O11</f>
        <v>3.3</v>
      </c>
      <c r="J37" s="579">
        <f>'8'!H37</f>
        <v>0.1</v>
      </c>
      <c r="K37" s="579">
        <f>'8'!K37</f>
        <v>0.03</v>
      </c>
    </row>
    <row r="38" ht="13.5" customHeight="1">
      <c r="A38" s="575"/>
      <c r="B38" s="581" t="s">
        <v>207</v>
      </c>
      <c r="C38" s="586">
        <f>'8'!B15</f>
        <v>224</v>
      </c>
      <c r="D38" s="586">
        <f>'8'!F15</f>
        <v>28</v>
      </c>
      <c r="E38" s="580" t="s">
        <v>205</v>
      </c>
      <c r="F38" s="580" t="s">
        <v>205</v>
      </c>
      <c r="G38" s="586">
        <f>'8'!E15</f>
        <v>7</v>
      </c>
      <c r="H38" s="586">
        <f>'8'!I15</f>
        <v>0.6</v>
      </c>
      <c r="I38" s="586">
        <f>'8'!O15</f>
        <v>3.3</v>
      </c>
      <c r="J38" s="580" t="s">
        <v>205</v>
      </c>
      <c r="K38" s="580" t="s">
        <v>205</v>
      </c>
    </row>
    <row r="39" ht="13.5" customHeight="1">
      <c r="A39" s="583"/>
    </row>
    <row r="40" ht="13.5" customHeight="1">
      <c r="A40" s="577">
        <f>A36+1</f>
        <v>9</v>
      </c>
      <c r="B40" s="578" t="s">
        <v>204</v>
      </c>
      <c r="C40" s="585">
        <f>'9'!B7</f>
        <v>223</v>
      </c>
      <c r="D40" s="585">
        <f>'9'!F7</f>
        <v>32</v>
      </c>
      <c r="E40" s="580" t="s">
        <v>205</v>
      </c>
      <c r="F40" s="580" t="s">
        <v>205</v>
      </c>
      <c r="G40" s="585">
        <f>'9'!E7</f>
        <v>7</v>
      </c>
      <c r="H40" s="585">
        <f>'9'!I7</f>
        <v>0.8</v>
      </c>
      <c r="I40" s="585">
        <f>'9'!O7</f>
        <v>3.3</v>
      </c>
      <c r="J40" s="580" t="s">
        <v>205</v>
      </c>
      <c r="K40" s="580" t="s">
        <v>205</v>
      </c>
    </row>
    <row r="41" ht="13.5" customHeight="1">
      <c r="A41" s="573"/>
      <c r="B41" s="578" t="s">
        <v>206</v>
      </c>
      <c r="C41" s="579">
        <f>'9'!B11</f>
        <v>112</v>
      </c>
      <c r="D41" s="579">
        <f>'9'!F11</f>
        <v>27</v>
      </c>
      <c r="E41" s="579">
        <f>'9'!F37</f>
        <v>1.2</v>
      </c>
      <c r="F41" s="579">
        <f>'9'!I37</f>
        <v>0.2</v>
      </c>
      <c r="G41" s="579">
        <f>'9'!E11</f>
        <v>6</v>
      </c>
      <c r="H41" s="579">
        <f>'9'!I11</f>
        <v>0.5</v>
      </c>
      <c r="I41" s="579">
        <f>'9'!O11</f>
        <v>3.5</v>
      </c>
      <c r="J41" s="579">
        <f>'9'!H37</f>
        <v>0.1</v>
      </c>
      <c r="K41" s="579">
        <f>'9'!K37</f>
        <v>0.03</v>
      </c>
    </row>
    <row r="42" ht="13.5" customHeight="1">
      <c r="A42" s="575"/>
      <c r="B42" s="581" t="s">
        <v>207</v>
      </c>
      <c r="C42" s="586">
        <f>'9'!B15</f>
        <v>116</v>
      </c>
      <c r="D42" s="586">
        <f>'9'!F15</f>
        <v>30</v>
      </c>
      <c r="E42" s="580" t="s">
        <v>205</v>
      </c>
      <c r="F42" s="580" t="s">
        <v>205</v>
      </c>
      <c r="G42" s="586">
        <f>'9'!E15</f>
        <v>5</v>
      </c>
      <c r="H42" s="586">
        <f>'9'!I15</f>
        <v>0.5</v>
      </c>
      <c r="I42" s="586">
        <f>'9'!O15</f>
        <v>3.5</v>
      </c>
      <c r="J42" s="580" t="s">
        <v>205</v>
      </c>
      <c r="K42" s="580" t="s">
        <v>205</v>
      </c>
    </row>
    <row r="43" ht="13.5" customHeight="1">
      <c r="A43" s="583"/>
    </row>
    <row r="44" ht="13.5" customHeight="1">
      <c r="A44" s="577">
        <f>A40+1</f>
        <v>10</v>
      </c>
      <c r="B44" s="578" t="s">
        <v>204</v>
      </c>
      <c r="C44" s="585">
        <f>'10'!B7</f>
        <v>114</v>
      </c>
      <c r="D44" s="585">
        <f>'10'!F7</f>
        <v>27</v>
      </c>
      <c r="E44" s="580" t="s">
        <v>205</v>
      </c>
      <c r="F44" s="580" t="s">
        <v>205</v>
      </c>
      <c r="G44" s="585">
        <f>'10'!E7</f>
        <v>4</v>
      </c>
      <c r="H44" s="585">
        <f>'10'!I7</f>
        <v>0.4</v>
      </c>
      <c r="I44" s="585">
        <f>'10'!O7</f>
        <v>3.6</v>
      </c>
      <c r="J44" s="580" t="s">
        <v>205</v>
      </c>
      <c r="K44" s="580" t="s">
        <v>205</v>
      </c>
    </row>
    <row r="45" ht="13.5" customHeight="1">
      <c r="A45" s="573"/>
      <c r="B45" s="578" t="s">
        <v>206</v>
      </c>
      <c r="C45" s="579">
        <f>'10'!B11</f>
        <v>102</v>
      </c>
      <c r="D45" s="579">
        <f>'10'!F11</f>
        <v>20</v>
      </c>
      <c r="E45" s="579">
        <f>'10'!F37</f>
        <v>1</v>
      </c>
      <c r="F45" s="579">
        <f>'10'!I37</f>
        <v>0.1</v>
      </c>
      <c r="G45" s="579">
        <f>'10'!E11</f>
        <v>3</v>
      </c>
      <c r="H45" s="579">
        <f>'10'!I11</f>
        <v>0.5</v>
      </c>
      <c r="I45" s="579">
        <f>'10'!O11</f>
        <v>3.6</v>
      </c>
      <c r="J45" s="579">
        <f>'10'!H37</f>
        <v>0.2</v>
      </c>
      <c r="K45" s="579">
        <f>'10'!K37</f>
        <v>0</v>
      </c>
    </row>
    <row r="46" ht="13.5" customHeight="1">
      <c r="A46" s="575"/>
      <c r="B46" s="581" t="s">
        <v>207</v>
      </c>
      <c r="C46" s="586">
        <f>'10'!B15</f>
        <v>104</v>
      </c>
      <c r="D46" s="586">
        <f>'10'!F15</f>
        <v>22</v>
      </c>
      <c r="E46" s="580" t="s">
        <v>205</v>
      </c>
      <c r="F46" s="580" t="s">
        <v>205</v>
      </c>
      <c r="G46" s="586">
        <f>'10'!E15</f>
        <v>4</v>
      </c>
      <c r="H46" s="586">
        <f>'10'!I15</f>
        <v>0.6</v>
      </c>
      <c r="I46" s="586">
        <f>'10'!O15</f>
        <v>3.6</v>
      </c>
      <c r="J46" s="580" t="s">
        <v>205</v>
      </c>
      <c r="K46" s="580" t="s">
        <v>205</v>
      </c>
    </row>
    <row r="47" ht="13.5" customHeight="1">
      <c r="A47" s="583"/>
    </row>
    <row r="48" ht="13.5" customHeight="1">
      <c r="A48" s="577">
        <f>A44+1</f>
        <v>11</v>
      </c>
      <c r="B48" s="578" t="s">
        <v>204</v>
      </c>
      <c r="C48" s="585">
        <f>'11'!B7</f>
        <v>112</v>
      </c>
      <c r="D48" s="585">
        <f>'11'!F7</f>
        <v>22.6</v>
      </c>
      <c r="E48" s="580" t="s">
        <v>205</v>
      </c>
      <c r="F48" s="580" t="s">
        <v>205</v>
      </c>
      <c r="G48" s="585">
        <f>'11'!E7</f>
        <v>3.6</v>
      </c>
      <c r="H48" s="585">
        <f>'11'!I7</f>
        <v>0.6</v>
      </c>
      <c r="I48" s="585">
        <f>'11'!O7</f>
        <v>3.6</v>
      </c>
      <c r="J48" s="580" t="s">
        <v>205</v>
      </c>
      <c r="K48" s="580" t="s">
        <v>205</v>
      </c>
    </row>
    <row r="49" ht="13.5" customHeight="1">
      <c r="A49" s="573"/>
      <c r="B49" s="578" t="s">
        <v>206</v>
      </c>
      <c r="C49" s="579">
        <f>'11'!B11</f>
        <v>84</v>
      </c>
      <c r="D49" s="579">
        <f>'11'!F11</f>
        <v>15</v>
      </c>
      <c r="E49" s="579">
        <f>'11'!F37</f>
        <v>1</v>
      </c>
      <c r="F49" s="579">
        <f>'11'!I37</f>
        <v>0.1</v>
      </c>
      <c r="G49" s="579">
        <f>'11'!E11</f>
        <v>5</v>
      </c>
      <c r="H49" s="579">
        <f>'11'!I11</f>
        <v>0.6</v>
      </c>
      <c r="I49" s="579">
        <f>'11'!O11</f>
        <v>3.6</v>
      </c>
      <c r="J49" s="579">
        <f>'11'!H37</f>
        <v>0.1</v>
      </c>
      <c r="K49" s="579">
        <f>'11'!K37</f>
        <v>0</v>
      </c>
    </row>
    <row r="50" ht="13.5" customHeight="1">
      <c r="A50" s="575"/>
      <c r="B50" s="581" t="s">
        <v>207</v>
      </c>
      <c r="C50" s="586">
        <f>'11'!B15</f>
        <v>103</v>
      </c>
      <c r="D50" s="586">
        <f>'11'!F15</f>
        <v>19</v>
      </c>
      <c r="E50" s="580" t="s">
        <v>205</v>
      </c>
      <c r="F50" s="580" t="s">
        <v>205</v>
      </c>
      <c r="G50" s="586">
        <f>'11'!E15</f>
        <v>4</v>
      </c>
      <c r="H50" s="586">
        <f>'11'!I15</f>
        <v>0.6</v>
      </c>
      <c r="I50" s="586">
        <f>'11'!O15</f>
        <v>3.6</v>
      </c>
      <c r="J50" s="580" t="s">
        <v>205</v>
      </c>
      <c r="K50" s="580" t="s">
        <v>205</v>
      </c>
    </row>
    <row r="51" ht="13.5" customHeight="1">
      <c r="A51" s="583"/>
    </row>
    <row r="52" ht="13.5" customHeight="1">
      <c r="A52" s="577">
        <f>A48+1</f>
        <v>12</v>
      </c>
      <c r="B52" s="578" t="s">
        <v>204</v>
      </c>
      <c r="C52" s="585">
        <f>'12'!B7</f>
        <v>115</v>
      </c>
      <c r="D52" s="585">
        <f>'12'!F7</f>
        <v>24</v>
      </c>
      <c r="E52" s="580" t="s">
        <v>205</v>
      </c>
      <c r="F52" s="580" t="s">
        <v>205</v>
      </c>
      <c r="G52" s="585">
        <f>'12'!E7</f>
        <v>4</v>
      </c>
      <c r="H52" s="585">
        <f>'12'!I7</f>
        <v>0.6</v>
      </c>
      <c r="I52" s="585">
        <f>'12'!O7</f>
        <v>3.6</v>
      </c>
      <c r="J52" s="580" t="s">
        <v>205</v>
      </c>
      <c r="K52" s="580" t="s">
        <v>205</v>
      </c>
    </row>
    <row r="53" ht="13.5" customHeight="1">
      <c r="A53" s="573"/>
      <c r="B53" s="578" t="s">
        <v>206</v>
      </c>
      <c r="C53" s="579">
        <f>'12'!B11</f>
        <v>88</v>
      </c>
      <c r="D53" s="579">
        <f>'12'!F11</f>
        <v>16</v>
      </c>
      <c r="E53" s="579">
        <f>'12'!F37</f>
        <v>1</v>
      </c>
      <c r="F53" s="579">
        <f>'12'!I37</f>
        <v>0.15</v>
      </c>
      <c r="G53" s="579">
        <f>'12'!E11</f>
        <v>4</v>
      </c>
      <c r="H53" s="579">
        <f>'12'!I11</f>
        <v>0.5</v>
      </c>
      <c r="I53" s="579">
        <f>'12'!O11</f>
        <v>3.5</v>
      </c>
      <c r="J53" s="579">
        <f>'12'!H37</f>
        <v>0.1</v>
      </c>
      <c r="K53" s="579">
        <f>'12'!K37</f>
        <v>0.03</v>
      </c>
    </row>
    <row r="54" ht="13.5" customHeight="1">
      <c r="A54" s="575"/>
      <c r="B54" s="581" t="s">
        <v>207</v>
      </c>
      <c r="C54" s="586">
        <f>'12'!B15</f>
        <v>87</v>
      </c>
      <c r="D54" s="586">
        <f>'12'!F15</f>
        <v>17</v>
      </c>
      <c r="E54" s="580" t="s">
        <v>205</v>
      </c>
      <c r="F54" s="580" t="s">
        <v>205</v>
      </c>
      <c r="G54" s="586">
        <f>'12'!E15</f>
        <v>5</v>
      </c>
      <c r="H54" s="586">
        <f>'12'!I15</f>
        <v>0.4</v>
      </c>
      <c r="I54" s="586">
        <f>'12'!O15</f>
        <v>3.5</v>
      </c>
      <c r="J54" s="580" t="s">
        <v>205</v>
      </c>
      <c r="K54" s="580" t="s">
        <v>205</v>
      </c>
    </row>
    <row r="55" ht="13.5" customHeight="1">
      <c r="A55" s="583"/>
    </row>
    <row r="56" ht="13.5" customHeight="1">
      <c r="A56" s="577">
        <f>A52+1</f>
        <v>13</v>
      </c>
      <c r="B56" s="578" t="s">
        <v>204</v>
      </c>
      <c r="C56" s="585">
        <f>'13'!B7</f>
        <v>97</v>
      </c>
      <c r="D56" s="585">
        <f>'13'!F7</f>
        <v>20</v>
      </c>
      <c r="E56" s="580" t="s">
        <v>205</v>
      </c>
      <c r="F56" s="580" t="s">
        <v>205</v>
      </c>
      <c r="G56" s="585">
        <f>'13'!E7</f>
        <v>6</v>
      </c>
      <c r="H56" s="585">
        <f>'13'!I7</f>
        <v>0.5</v>
      </c>
      <c r="I56" s="585">
        <f>'13'!O7</f>
        <v>3.6</v>
      </c>
      <c r="J56" s="580" t="s">
        <v>205</v>
      </c>
      <c r="K56" s="580" t="s">
        <v>205</v>
      </c>
    </row>
    <row r="57" ht="13.5" customHeight="1">
      <c r="A57" s="573"/>
      <c r="B57" s="578" t="s">
        <v>206</v>
      </c>
      <c r="C57" s="579">
        <f>'13'!B11</f>
        <v>80</v>
      </c>
      <c r="D57" s="579">
        <f>'13'!F11</f>
        <v>13</v>
      </c>
      <c r="E57" s="579">
        <f>'13'!F37</f>
        <v>1</v>
      </c>
      <c r="F57" s="579">
        <f>'13'!I37</f>
        <v>0.1</v>
      </c>
      <c r="G57" s="579">
        <f>'13'!E11</f>
        <v>6</v>
      </c>
      <c r="H57" s="579">
        <f>'13'!I11</f>
        <v>0.7</v>
      </c>
      <c r="I57" s="579">
        <f>'13'!O11</f>
        <v>3.6</v>
      </c>
      <c r="J57" s="579">
        <f>'13'!H37</f>
        <v>0.1</v>
      </c>
      <c r="K57" s="579">
        <f>'13'!K37</f>
        <v>0.03</v>
      </c>
    </row>
    <row r="58" ht="13.5" customHeight="1">
      <c r="A58" s="575"/>
      <c r="B58" s="581" t="s">
        <v>207</v>
      </c>
      <c r="C58" s="586">
        <f>'13'!B15</f>
        <v>86</v>
      </c>
      <c r="D58" s="586">
        <f>'13'!F15</f>
        <v>14</v>
      </c>
      <c r="E58" s="580" t="s">
        <v>205</v>
      </c>
      <c r="F58" s="580" t="s">
        <v>205</v>
      </c>
      <c r="G58" s="586">
        <f>'13'!E15</f>
        <v>7</v>
      </c>
      <c r="H58" s="586">
        <f>'13'!I15</f>
        <v>0.6</v>
      </c>
      <c r="I58" s="586">
        <f>'13'!O15</f>
        <v>3.6</v>
      </c>
      <c r="J58" s="580" t="s">
        <v>205</v>
      </c>
      <c r="K58" s="580" t="s">
        <v>205</v>
      </c>
    </row>
    <row r="59" ht="13.5" customHeight="1">
      <c r="A59" s="583"/>
    </row>
    <row r="60" ht="13.5" customHeight="1">
      <c r="A60" s="577">
        <f>A56+1</f>
        <v>14</v>
      </c>
      <c r="B60" s="578" t="s">
        <v>204</v>
      </c>
      <c r="C60" s="585">
        <f>'14'!B7</f>
        <v>84</v>
      </c>
      <c r="D60" s="585">
        <f>'14'!F7</f>
        <v>13</v>
      </c>
      <c r="E60" s="580" t="s">
        <v>205</v>
      </c>
      <c r="F60" s="580" t="s">
        <v>205</v>
      </c>
      <c r="G60" s="585">
        <f>'14'!E7</f>
        <v>6</v>
      </c>
      <c r="H60" s="585">
        <f>'14'!I7</f>
        <v>0.5</v>
      </c>
      <c r="I60" s="585">
        <f>'14'!O7</f>
        <v>3.6</v>
      </c>
      <c r="J60" s="580" t="s">
        <v>205</v>
      </c>
      <c r="K60" s="580" t="s">
        <v>205</v>
      </c>
    </row>
    <row r="61" ht="13.5" customHeight="1">
      <c r="A61" s="573"/>
      <c r="B61" s="578" t="s">
        <v>206</v>
      </c>
      <c r="C61" s="579">
        <f>'14'!B11</f>
        <v>74</v>
      </c>
      <c r="D61" s="579">
        <f>'14'!F11</f>
        <v>12</v>
      </c>
      <c r="E61" s="579">
        <f>'14'!F37</f>
        <v>1</v>
      </c>
      <c r="F61" s="579">
        <f>'14'!I37</f>
        <v>0.1</v>
      </c>
      <c r="G61" s="579">
        <f>'14'!E11</f>
        <v>7</v>
      </c>
      <c r="H61" s="579">
        <f>'14'!I11</f>
        <v>0.5</v>
      </c>
      <c r="I61" s="579">
        <f>'14'!O11</f>
        <v>3</v>
      </c>
      <c r="J61" s="579">
        <f>'14'!H37</f>
        <v>0.1</v>
      </c>
      <c r="K61" s="579">
        <f>'14'!K37</f>
        <v>0.03</v>
      </c>
    </row>
    <row r="62" ht="13.5" customHeight="1">
      <c r="A62" s="575"/>
      <c r="B62" s="581" t="s">
        <v>207</v>
      </c>
      <c r="C62" s="586">
        <f>'14'!B15</f>
        <v>89</v>
      </c>
      <c r="D62" s="586">
        <f>'14'!F15</f>
        <v>17</v>
      </c>
      <c r="E62" s="580" t="s">
        <v>205</v>
      </c>
      <c r="F62" s="580" t="s">
        <v>205</v>
      </c>
      <c r="G62" s="586">
        <f>'14'!E15</f>
        <v>6</v>
      </c>
      <c r="H62" s="586">
        <f>'14'!I15</f>
        <v>0.5</v>
      </c>
      <c r="I62" s="586">
        <f>'14'!O15</f>
        <v>3</v>
      </c>
      <c r="J62" s="580" t="s">
        <v>205</v>
      </c>
      <c r="K62" s="580" t="s">
        <v>205</v>
      </c>
    </row>
    <row r="63" ht="13.5" customHeight="1">
      <c r="A63" s="583"/>
    </row>
    <row r="64" ht="13.5" customHeight="1">
      <c r="A64" s="577">
        <f>A60+1</f>
        <v>15</v>
      </c>
      <c r="B64" s="578" t="s">
        <v>204</v>
      </c>
      <c r="C64" s="585">
        <f>'15'!B7</f>
        <v>89</v>
      </c>
      <c r="D64" s="585">
        <f>'15'!F7</f>
        <v>14</v>
      </c>
      <c r="E64" s="580" t="s">
        <v>205</v>
      </c>
      <c r="F64" s="580" t="s">
        <v>205</v>
      </c>
      <c r="G64" s="585">
        <f>'15'!E7</f>
        <v>5</v>
      </c>
      <c r="H64" s="585">
        <f>'15'!I7</f>
        <v>0.5</v>
      </c>
      <c r="I64" s="585">
        <f>'15'!O7</f>
        <v>3.3</v>
      </c>
      <c r="J64" s="580" t="s">
        <v>205</v>
      </c>
      <c r="K64" s="580" t="s">
        <v>205</v>
      </c>
    </row>
    <row r="65" ht="13.5" customHeight="1">
      <c r="A65" s="573"/>
      <c r="B65" s="578" t="s">
        <v>206</v>
      </c>
      <c r="C65" s="579">
        <f>'15'!B11</f>
        <v>85</v>
      </c>
      <c r="D65" s="579">
        <f>'15'!F11</f>
        <v>13</v>
      </c>
      <c r="E65" s="579">
        <f>'15'!F37</f>
        <v>1</v>
      </c>
      <c r="F65" s="579">
        <f>'15'!I37</f>
        <v>0.15</v>
      </c>
      <c r="G65" s="579">
        <f>'15'!E11</f>
        <v>6</v>
      </c>
      <c r="H65" s="579">
        <f>'15'!I11</f>
        <v>0.5</v>
      </c>
      <c r="I65" s="579">
        <f>'15'!O11</f>
        <v>2.8</v>
      </c>
      <c r="J65" s="579">
        <f>'15'!H37</f>
        <v>0.1</v>
      </c>
      <c r="K65" s="579">
        <f>'15'!K37</f>
        <v>0.03</v>
      </c>
    </row>
    <row r="66" ht="13.5" customHeight="1">
      <c r="A66" s="575"/>
      <c r="B66" s="581" t="s">
        <v>207</v>
      </c>
      <c r="C66" s="586">
        <f>'15'!B15</f>
        <v>83</v>
      </c>
      <c r="D66" s="586">
        <f>'15'!F15</f>
        <v>13</v>
      </c>
      <c r="E66" s="580" t="s">
        <v>205</v>
      </c>
      <c r="F66" s="580" t="s">
        <v>205</v>
      </c>
      <c r="G66" s="586">
        <f>'15'!E15</f>
        <v>6</v>
      </c>
      <c r="H66" s="586">
        <f>'15'!I15</f>
        <v>0.5</v>
      </c>
      <c r="I66" s="586">
        <f>'15'!O15</f>
        <v>3.5</v>
      </c>
      <c r="J66" s="580" t="s">
        <v>205</v>
      </c>
      <c r="K66" s="580" t="s">
        <v>205</v>
      </c>
    </row>
    <row r="67" ht="13.5" customHeight="1">
      <c r="A67" s="583"/>
    </row>
    <row r="68" ht="13.5" customHeight="1">
      <c r="A68" s="577">
        <f>A64+1</f>
        <v>16</v>
      </c>
      <c r="B68" s="578" t="s">
        <v>204</v>
      </c>
      <c r="C68" s="585">
        <f>'16'!B7</f>
        <v>77</v>
      </c>
      <c r="D68" s="585">
        <f>'16'!F7</f>
        <v>11</v>
      </c>
      <c r="E68" s="580" t="s">
        <v>205</v>
      </c>
      <c r="F68" s="580" t="s">
        <v>205</v>
      </c>
      <c r="G68" s="585">
        <f>'16'!E7</f>
        <v>4</v>
      </c>
      <c r="H68" s="585">
        <f>'16'!I7</f>
        <v>0.5</v>
      </c>
      <c r="I68" s="585">
        <f>'16'!O7</f>
        <v>3.6</v>
      </c>
      <c r="J68" s="580" t="s">
        <v>205</v>
      </c>
      <c r="K68" s="580" t="s">
        <v>205</v>
      </c>
    </row>
    <row r="69" ht="13.5" customHeight="1">
      <c r="A69" s="573"/>
      <c r="B69" s="578" t="s">
        <v>206</v>
      </c>
      <c r="C69" s="579">
        <f>'16'!B11</f>
        <v>60</v>
      </c>
      <c r="D69" s="579">
        <f>'16'!F11</f>
        <v>5</v>
      </c>
      <c r="E69" s="579">
        <f>'16'!F37</f>
        <v>0.8</v>
      </c>
      <c r="F69" s="579">
        <f>'16'!I37</f>
        <v>0.15</v>
      </c>
      <c r="G69" s="579">
        <f>'16'!E11</f>
        <v>11</v>
      </c>
      <c r="H69" s="579">
        <f>'16'!I11</f>
        <v>0.5</v>
      </c>
      <c r="I69" s="579">
        <f>'16'!O11</f>
        <v>3.8</v>
      </c>
      <c r="J69" s="579">
        <f>'16'!H37</f>
        <v>0.1</v>
      </c>
      <c r="K69" s="579">
        <f>'16'!K37</f>
        <v>0</v>
      </c>
    </row>
    <row r="70" ht="13.5" customHeight="1">
      <c r="A70" s="575"/>
      <c r="B70" s="581" t="s">
        <v>207</v>
      </c>
      <c r="C70" s="586">
        <f>'16'!B15</f>
        <v>102</v>
      </c>
      <c r="D70" s="586">
        <f>'16'!F15</f>
        <v>14</v>
      </c>
      <c r="E70" s="580" t="s">
        <v>205</v>
      </c>
      <c r="F70" s="580" t="s">
        <v>205</v>
      </c>
      <c r="G70" s="586">
        <f>'16'!E15</f>
        <v>9</v>
      </c>
      <c r="H70" s="586">
        <f>'16'!I15</f>
        <v>0.6</v>
      </c>
      <c r="I70" s="586">
        <f>'16'!O15</f>
        <v>3.8</v>
      </c>
      <c r="J70" s="580" t="s">
        <v>205</v>
      </c>
      <c r="K70" s="580" t="s">
        <v>205</v>
      </c>
    </row>
    <row r="71" ht="13.5" customHeight="1">
      <c r="A71" s="583"/>
    </row>
    <row r="72" ht="13.5" customHeight="1">
      <c r="A72" s="577">
        <f>A68+1</f>
        <v>17</v>
      </c>
      <c r="B72" s="578" t="s">
        <v>204</v>
      </c>
      <c r="C72" s="585">
        <f>'17'!B7</f>
        <v>79</v>
      </c>
      <c r="D72" s="585">
        <f>'17'!F7</f>
        <v>11</v>
      </c>
      <c r="E72" s="580" t="s">
        <v>205</v>
      </c>
      <c r="F72" s="580" t="s">
        <v>205</v>
      </c>
      <c r="G72" s="585">
        <f>'17'!E7</f>
        <v>9</v>
      </c>
      <c r="H72" s="585">
        <f>'17'!I7</f>
        <v>0.7</v>
      </c>
      <c r="I72" s="585">
        <f>'17'!O7</f>
        <v>3.3</v>
      </c>
      <c r="J72" s="580" t="s">
        <v>205</v>
      </c>
      <c r="K72" s="580" t="s">
        <v>205</v>
      </c>
    </row>
    <row r="73" ht="13.5" customHeight="1">
      <c r="A73" s="573"/>
      <c r="B73" s="578" t="s">
        <v>206</v>
      </c>
      <c r="C73" s="579">
        <f>'17'!B11</f>
        <v>70</v>
      </c>
      <c r="D73" s="579">
        <f>'17'!F11</f>
        <v>10</v>
      </c>
      <c r="E73" s="579">
        <f>'17'!F37</f>
        <v>1</v>
      </c>
      <c r="F73" s="579">
        <f>'17'!I37</f>
        <v>0.15</v>
      </c>
      <c r="G73" s="579">
        <f>'17'!E11</f>
        <v>6</v>
      </c>
      <c r="H73" s="579">
        <f>'17'!I11</f>
        <v>0.7</v>
      </c>
      <c r="I73" s="579">
        <f>'17'!O11</f>
        <v>2.5</v>
      </c>
      <c r="J73" s="579">
        <f>'17'!H37</f>
        <v>0.1</v>
      </c>
      <c r="K73" s="579">
        <f>'17'!K37</f>
        <v>0.03</v>
      </c>
    </row>
    <row r="74" ht="13.5" customHeight="1">
      <c r="A74" s="575"/>
      <c r="B74" s="581" t="s">
        <v>207</v>
      </c>
      <c r="C74" s="586">
        <f>'17'!B15</f>
        <v>84</v>
      </c>
      <c r="D74" s="586">
        <f>'17'!F15</f>
        <v>12</v>
      </c>
      <c r="E74" s="580" t="s">
        <v>205</v>
      </c>
      <c r="F74" s="580" t="s">
        <v>205</v>
      </c>
      <c r="G74" s="586">
        <f>'17'!E15</f>
        <v>5</v>
      </c>
      <c r="H74" s="586">
        <f>'17'!I15</f>
        <v>0.5</v>
      </c>
      <c r="I74" s="586">
        <f>'17'!O15</f>
        <v>2.8</v>
      </c>
      <c r="J74" s="580" t="s">
        <v>205</v>
      </c>
      <c r="K74" s="580" t="s">
        <v>205</v>
      </c>
    </row>
    <row r="75" ht="13.5" customHeight="1">
      <c r="A75" s="583"/>
    </row>
    <row r="76" ht="13.5" customHeight="1">
      <c r="A76" s="577">
        <f>A72+1</f>
        <v>18</v>
      </c>
      <c r="B76" s="578" t="s">
        <v>204</v>
      </c>
      <c r="C76" s="585">
        <f>'18'!B7</f>
        <v>86</v>
      </c>
      <c r="D76" s="585">
        <f>'18'!F7</f>
        <v>17</v>
      </c>
      <c r="E76" s="580" t="s">
        <v>205</v>
      </c>
      <c r="F76" s="580" t="s">
        <v>205</v>
      </c>
      <c r="G76" s="585">
        <f>'18'!E7</f>
        <v>7</v>
      </c>
      <c r="H76" s="585">
        <f>'18'!I7</f>
        <v>0.9</v>
      </c>
      <c r="I76" s="585">
        <f>'18'!O7</f>
        <v>3</v>
      </c>
      <c r="J76" s="580" t="s">
        <v>205</v>
      </c>
      <c r="K76" s="580" t="s">
        <v>205</v>
      </c>
    </row>
    <row r="77" ht="13.5" customHeight="1">
      <c r="A77" s="573"/>
      <c r="B77" s="578" t="s">
        <v>206</v>
      </c>
      <c r="C77" s="579">
        <f>'18'!B11</f>
        <v>81</v>
      </c>
      <c r="D77" s="579">
        <f>'18'!F11</f>
        <v>12</v>
      </c>
      <c r="E77" s="579">
        <f>'18'!F37</f>
        <v>1</v>
      </c>
      <c r="F77" s="579">
        <f>'18'!I37</f>
        <v>0.15</v>
      </c>
      <c r="G77" s="579">
        <f>'18'!E11</f>
        <v>6</v>
      </c>
      <c r="H77" s="579">
        <f>'18'!I11</f>
        <v>0.6</v>
      </c>
      <c r="I77" s="579">
        <f>'18'!O11</f>
        <v>3</v>
      </c>
      <c r="J77" s="579">
        <f>'18'!H37</f>
        <v>0.1</v>
      </c>
      <c r="K77" s="579">
        <f>'18'!K37</f>
        <v>0.03</v>
      </c>
    </row>
    <row r="78" ht="13.5" customHeight="1">
      <c r="A78" s="575"/>
      <c r="B78" s="581" t="s">
        <v>207</v>
      </c>
      <c r="C78" s="586">
        <f>'18'!B15</f>
        <v>85</v>
      </c>
      <c r="D78" s="586">
        <f>'18'!F15</f>
        <v>15</v>
      </c>
      <c r="E78" s="580" t="s">
        <v>205</v>
      </c>
      <c r="F78" s="580" t="s">
        <v>205</v>
      </c>
      <c r="G78" s="586">
        <f>'18'!E15</f>
        <v>6</v>
      </c>
      <c r="H78" s="586">
        <f>'18'!I15</f>
        <v>0.5</v>
      </c>
      <c r="I78" s="586">
        <f>'18'!O15</f>
        <v>3</v>
      </c>
      <c r="J78" s="580" t="s">
        <v>205</v>
      </c>
      <c r="K78" s="580" t="s">
        <v>205</v>
      </c>
    </row>
    <row r="79" ht="13.5" customHeight="1">
      <c r="A79" s="583"/>
    </row>
    <row r="80" ht="13.5" customHeight="1">
      <c r="A80" s="577">
        <f>A76+1</f>
        <v>19</v>
      </c>
      <c r="B80" s="578" t="s">
        <v>204</v>
      </c>
      <c r="C80" s="585">
        <f>'19'!B7</f>
        <v>90</v>
      </c>
      <c r="D80" s="585">
        <f>'19'!F7</f>
        <v>18</v>
      </c>
      <c r="E80" s="580" t="s">
        <v>205</v>
      </c>
      <c r="F80" s="580" t="s">
        <v>205</v>
      </c>
      <c r="G80" s="585">
        <f>'19'!E7</f>
        <v>5</v>
      </c>
      <c r="H80" s="585">
        <f>'19'!I7</f>
        <v>0.6</v>
      </c>
      <c r="I80" s="585">
        <f>'19'!O7</f>
        <v>3.5</v>
      </c>
      <c r="J80" s="580" t="s">
        <v>205</v>
      </c>
      <c r="K80" s="580" t="s">
        <v>205</v>
      </c>
    </row>
    <row r="81" ht="13.5" customHeight="1">
      <c r="A81" s="573"/>
      <c r="B81" s="578" t="s">
        <v>206</v>
      </c>
      <c r="C81" s="579">
        <f>'19'!B11</f>
        <v>112</v>
      </c>
      <c r="D81" s="579">
        <f>'19'!F11</f>
        <v>27</v>
      </c>
      <c r="E81" s="579">
        <f>'19'!F37</f>
        <v>1.2</v>
      </c>
      <c r="F81" s="579">
        <f>'19'!I37</f>
        <v>0.1</v>
      </c>
      <c r="G81" s="579">
        <f>'19'!E11</f>
        <v>5</v>
      </c>
      <c r="H81" s="579">
        <f>'19'!I11</f>
        <v>0.6</v>
      </c>
      <c r="I81" s="579">
        <f>'19'!O11</f>
        <v>2.7</v>
      </c>
      <c r="J81" s="579">
        <f>'19'!H37</f>
        <v>0.1</v>
      </c>
      <c r="K81" s="579">
        <f>'19'!K37</f>
        <v>0</v>
      </c>
    </row>
    <row r="82" ht="13.5" customHeight="1">
      <c r="A82" s="575"/>
      <c r="B82" s="581" t="s">
        <v>207</v>
      </c>
      <c r="C82" s="586">
        <f>'19'!B15</f>
        <v>183</v>
      </c>
      <c r="D82" s="586">
        <f>'19'!F15</f>
        <v>76</v>
      </c>
      <c r="E82" s="580" t="s">
        <v>205</v>
      </c>
      <c r="F82" s="580" t="s">
        <v>205</v>
      </c>
      <c r="G82" s="586">
        <f>'19'!E15</f>
        <v>7</v>
      </c>
      <c r="H82" s="586">
        <f>'19'!I15</f>
        <v>0.7</v>
      </c>
      <c r="I82" s="586">
        <f>'19'!O15</f>
        <v>2.8</v>
      </c>
      <c r="J82" s="580" t="s">
        <v>205</v>
      </c>
      <c r="K82" s="580" t="s">
        <v>205</v>
      </c>
    </row>
    <row r="83" ht="13.5" customHeight="1">
      <c r="A83" s="583"/>
    </row>
    <row r="84" ht="13.5" customHeight="1">
      <c r="A84" s="577">
        <f>A80+1</f>
        <v>20</v>
      </c>
      <c r="B84" s="578" t="s">
        <v>204</v>
      </c>
      <c r="C84" s="585">
        <f>'20'!B7</f>
        <v>248</v>
      </c>
      <c r="D84" s="585">
        <f>'20'!F7</f>
        <v>110</v>
      </c>
      <c r="E84" s="580" t="s">
        <v>205</v>
      </c>
      <c r="F84" s="580" t="s">
        <v>205</v>
      </c>
      <c r="G84" s="585">
        <f>'20'!E7</f>
        <v>8</v>
      </c>
      <c r="H84" s="585">
        <f>'20'!I7</f>
        <v>0.8</v>
      </c>
      <c r="I84" s="585">
        <f>'20'!O7</f>
        <v>3.3</v>
      </c>
      <c r="J84" s="580" t="s">
        <v>205</v>
      </c>
      <c r="K84" s="580" t="s">
        <v>205</v>
      </c>
    </row>
    <row r="85" ht="13.5" customHeight="1">
      <c r="A85" s="573"/>
      <c r="B85" s="578" t="s">
        <v>206</v>
      </c>
      <c r="C85" s="579">
        <f>'20'!B11</f>
        <v>235</v>
      </c>
      <c r="D85" s="579">
        <f>'20'!F11</f>
        <v>96</v>
      </c>
      <c r="E85" s="579">
        <f>'20'!F37</f>
        <v>1</v>
      </c>
      <c r="F85" s="579">
        <f>'20'!I37</f>
        <v>0.15</v>
      </c>
      <c r="G85" s="579">
        <f>'20'!E11</f>
        <v>9</v>
      </c>
      <c r="H85" s="579">
        <f>'20'!I11</f>
        <v>0.6</v>
      </c>
      <c r="I85" s="579">
        <f>'20'!O11</f>
        <v>5</v>
      </c>
      <c r="J85" s="579">
        <f>'20'!H37</f>
        <v>0.1</v>
      </c>
      <c r="K85" s="579">
        <f>'20'!K37</f>
        <v>0.03</v>
      </c>
    </row>
    <row r="86" ht="13.5" customHeight="1">
      <c r="A86" s="575"/>
      <c r="B86" s="581" t="s">
        <v>207</v>
      </c>
      <c r="C86" s="586">
        <f>'20'!B15</f>
        <v>230</v>
      </c>
      <c r="D86" s="586">
        <f>'20'!F15</f>
        <v>101</v>
      </c>
      <c r="E86" s="580" t="s">
        <v>205</v>
      </c>
      <c r="F86" s="580" t="s">
        <v>205</v>
      </c>
      <c r="G86" s="586">
        <f>'20'!E15</f>
        <v>9</v>
      </c>
      <c r="H86" s="586">
        <f>'20'!I15</f>
        <v>1</v>
      </c>
      <c r="I86" s="586">
        <f>'20'!O15</f>
        <v>3.6</v>
      </c>
      <c r="J86" s="580" t="s">
        <v>205</v>
      </c>
      <c r="K86" s="580" t="s">
        <v>205</v>
      </c>
    </row>
    <row r="87" ht="13.5" customHeight="1">
      <c r="A87" s="583"/>
    </row>
    <row r="88" ht="13.5" customHeight="1">
      <c r="A88" s="577">
        <f>A84+1</f>
        <v>21</v>
      </c>
      <c r="B88" s="578" t="s">
        <v>204</v>
      </c>
      <c r="C88" s="585">
        <f>'21'!B7</f>
        <v>221</v>
      </c>
      <c r="D88" s="585">
        <f>'21'!F7</f>
        <v>88</v>
      </c>
      <c r="E88" s="580" t="s">
        <v>205</v>
      </c>
      <c r="F88" s="580" t="s">
        <v>205</v>
      </c>
      <c r="G88" s="585">
        <f>'21'!E7</f>
        <v>10</v>
      </c>
      <c r="H88" s="585">
        <f>'21'!I7</f>
        <v>0.9</v>
      </c>
      <c r="I88" s="585">
        <f>'21'!O7</f>
        <v>3.4</v>
      </c>
      <c r="J88" s="580" t="s">
        <v>205</v>
      </c>
      <c r="K88" s="580" t="s">
        <v>205</v>
      </c>
    </row>
    <row r="89" ht="13.5" customHeight="1">
      <c r="A89" s="573"/>
      <c r="B89" s="578" t="s">
        <v>206</v>
      </c>
      <c r="C89" s="579">
        <f>'21'!B11</f>
        <v>217</v>
      </c>
      <c r="D89" s="579">
        <f>'21'!F11</f>
        <v>83</v>
      </c>
      <c r="E89" s="579">
        <f>'21'!F37</f>
        <v>1.2</v>
      </c>
      <c r="F89" s="579">
        <f>'21'!I37</f>
        <v>0.1</v>
      </c>
      <c r="G89" s="579">
        <f>'21'!E11</f>
        <v>10</v>
      </c>
      <c r="H89" s="579">
        <f>'21'!I11</f>
        <v>0.5</v>
      </c>
      <c r="I89" s="579">
        <f>'21'!O11</f>
        <v>3.2</v>
      </c>
      <c r="J89" s="579">
        <f>'21'!H37</f>
        <v>0.2</v>
      </c>
      <c r="K89" s="579">
        <f>'21'!K37</f>
        <v>0.03</v>
      </c>
    </row>
    <row r="90" ht="13.5" customHeight="1">
      <c r="A90" s="575"/>
      <c r="B90" s="581" t="s">
        <v>207</v>
      </c>
      <c r="C90" s="586">
        <f>'21'!B15</f>
        <v>228</v>
      </c>
      <c r="D90" s="586">
        <f>'21'!F15</f>
        <v>85</v>
      </c>
      <c r="E90" s="580" t="s">
        <v>205</v>
      </c>
      <c r="F90" s="580" t="s">
        <v>205</v>
      </c>
      <c r="G90" s="586">
        <f>'21'!E15</f>
        <v>5</v>
      </c>
      <c r="H90" s="586">
        <f>'21'!I15</f>
        <v>0.5</v>
      </c>
      <c r="I90" s="586">
        <f>'21'!O15</f>
        <v>3.6</v>
      </c>
      <c r="J90" s="580" t="s">
        <v>205</v>
      </c>
      <c r="K90" s="580" t="s">
        <v>205</v>
      </c>
    </row>
    <row r="91" ht="13.5" customHeight="1">
      <c r="A91" s="583"/>
    </row>
    <row r="92" ht="13.5" customHeight="1">
      <c r="A92" s="577">
        <f>A88+1</f>
        <v>22</v>
      </c>
      <c r="B92" s="578" t="s">
        <v>204</v>
      </c>
      <c r="C92" s="585">
        <f>'22'!B7</f>
        <v>238</v>
      </c>
      <c r="D92" s="585">
        <f>'22'!F7</f>
        <v>88</v>
      </c>
      <c r="E92" s="580" t="s">
        <v>205</v>
      </c>
      <c r="F92" s="580" t="s">
        <v>205</v>
      </c>
      <c r="G92" s="585">
        <f>'22'!E7</f>
        <v>5</v>
      </c>
      <c r="H92" s="585">
        <f>'22'!I7</f>
        <v>0.5</v>
      </c>
      <c r="I92" s="585">
        <f>'22'!O7</f>
        <v>3.6</v>
      </c>
      <c r="J92" s="580" t="s">
        <v>205</v>
      </c>
      <c r="K92" s="580" t="s">
        <v>205</v>
      </c>
    </row>
    <row r="93" ht="13.5" customHeight="1">
      <c r="A93" s="573"/>
      <c r="B93" s="578" t="s">
        <v>206</v>
      </c>
      <c r="C93" s="579">
        <f>'22'!B11</f>
        <v>242</v>
      </c>
      <c r="D93" s="579">
        <f>'22'!F11</f>
        <v>99</v>
      </c>
      <c r="E93" s="579">
        <f>'22'!F37</f>
        <v>1</v>
      </c>
      <c r="F93" s="579">
        <f>'22'!I37</f>
        <v>0.1</v>
      </c>
      <c r="G93" s="579">
        <f>'22'!E11</f>
        <v>4</v>
      </c>
      <c r="H93" s="579">
        <f>'22'!I11</f>
        <v>0.5</v>
      </c>
      <c r="I93" s="579">
        <f>'22'!O11</f>
        <v>3.6</v>
      </c>
      <c r="J93" s="579">
        <f>'22'!H37</f>
        <v>0.1</v>
      </c>
      <c r="K93" s="579">
        <f>'22'!K37</f>
        <v>0</v>
      </c>
    </row>
    <row r="94" ht="13.5" customHeight="1">
      <c r="A94" s="575"/>
      <c r="B94" s="581" t="s">
        <v>207</v>
      </c>
      <c r="C94" s="586">
        <f>'22'!B15</f>
        <v>243</v>
      </c>
      <c r="D94" s="586">
        <f>'22'!F15</f>
        <v>95</v>
      </c>
      <c r="E94" s="580" t="s">
        <v>205</v>
      </c>
      <c r="F94" s="580" t="s">
        <v>205</v>
      </c>
      <c r="G94" s="586">
        <f>'22'!E15</f>
        <v>5</v>
      </c>
      <c r="H94" s="586">
        <f>'22'!I15</f>
        <v>0.5</v>
      </c>
      <c r="I94" s="586">
        <f>'22'!O15</f>
        <v>3.6</v>
      </c>
      <c r="J94" s="580" t="s">
        <v>205</v>
      </c>
      <c r="K94" s="580" t="s">
        <v>205</v>
      </c>
    </row>
    <row r="95" ht="13.5" customHeight="1">
      <c r="A95" s="583"/>
    </row>
    <row r="96" ht="13.5" customHeight="1">
      <c r="A96" s="577">
        <f>A92+1</f>
        <v>23</v>
      </c>
      <c r="B96" s="578" t="s">
        <v>204</v>
      </c>
      <c r="C96" s="585">
        <f>'23'!B7</f>
        <v>241</v>
      </c>
      <c r="D96" s="585">
        <f>'23'!F7</f>
        <v>92</v>
      </c>
      <c r="E96" s="580" t="s">
        <v>205</v>
      </c>
      <c r="F96" s="580" t="s">
        <v>205</v>
      </c>
      <c r="G96" s="585">
        <f>'23'!E7</f>
        <v>5</v>
      </c>
      <c r="H96" s="585">
        <f>'23'!I7</f>
        <v>0.6</v>
      </c>
      <c r="I96" s="585">
        <f>'23'!O7</f>
        <v>3.6</v>
      </c>
      <c r="J96" s="580" t="s">
        <v>205</v>
      </c>
      <c r="K96" s="580" t="s">
        <v>205</v>
      </c>
    </row>
    <row r="97" ht="13.5" customHeight="1">
      <c r="A97" s="573"/>
      <c r="B97" s="578" t="s">
        <v>206</v>
      </c>
      <c r="C97" s="579">
        <f>'23'!B11</f>
        <v>219</v>
      </c>
      <c r="D97" s="579">
        <f>'23'!F11</f>
        <v>77</v>
      </c>
      <c r="E97" s="579">
        <f>'23'!F37</f>
        <v>1</v>
      </c>
      <c r="F97" s="579">
        <f>'23'!I37</f>
        <v>0.15</v>
      </c>
      <c r="G97" s="579">
        <f>'23'!E11</f>
        <v>5</v>
      </c>
      <c r="H97" s="579">
        <f>'23'!I11</f>
        <v>0.6</v>
      </c>
      <c r="I97" s="579">
        <f>'23'!O11</f>
        <v>3.6</v>
      </c>
      <c r="J97" s="579">
        <f>'23'!H37</f>
        <v>0.1</v>
      </c>
      <c r="K97" s="579">
        <f>'23'!K37</f>
        <v>0</v>
      </c>
    </row>
    <row r="98" ht="13.5" customHeight="1">
      <c r="A98" s="575"/>
      <c r="B98" s="581" t="s">
        <v>207</v>
      </c>
      <c r="C98" s="586">
        <f>'23'!B15</f>
        <v>232</v>
      </c>
      <c r="D98" s="586">
        <f>'23'!F15</f>
        <v>83</v>
      </c>
      <c r="E98" s="580" t="s">
        <v>205</v>
      </c>
      <c r="F98" s="580" t="s">
        <v>205</v>
      </c>
      <c r="G98" s="586">
        <f>'23'!E15</f>
        <v>4</v>
      </c>
      <c r="H98" s="586">
        <f>'23'!I15</f>
        <v>0.5</v>
      </c>
      <c r="I98" s="586">
        <f>'23'!O15</f>
        <v>3.6</v>
      </c>
      <c r="J98" s="580" t="s">
        <v>205</v>
      </c>
      <c r="K98" s="580" t="s">
        <v>205</v>
      </c>
    </row>
    <row r="99" ht="13.5" customHeight="1">
      <c r="A99" s="583"/>
    </row>
    <row r="100" ht="13.5" customHeight="1">
      <c r="A100" s="577">
        <f>A96+1</f>
        <v>24</v>
      </c>
      <c r="B100" s="578" t="s">
        <v>204</v>
      </c>
      <c r="C100" s="585">
        <f>'24'!B7</f>
        <v>208</v>
      </c>
      <c r="D100" s="585">
        <f>'24'!F7</f>
        <v>73</v>
      </c>
      <c r="E100" s="580" t="s">
        <v>205</v>
      </c>
      <c r="F100" s="580" t="s">
        <v>205</v>
      </c>
      <c r="G100" s="585">
        <f>'24'!E7</f>
        <v>4</v>
      </c>
      <c r="H100" s="585">
        <f>'24'!I7</f>
        <v>0.7</v>
      </c>
      <c r="I100" s="585">
        <f>'24'!O7</f>
        <v>3.3</v>
      </c>
      <c r="J100" s="580" t="s">
        <v>205</v>
      </c>
      <c r="K100" s="580" t="s">
        <v>205</v>
      </c>
    </row>
    <row r="101" ht="13.5" customHeight="1">
      <c r="A101" s="573"/>
      <c r="B101" s="578" t="s">
        <v>206</v>
      </c>
      <c r="C101" s="579">
        <f>'24'!B11</f>
        <v>216</v>
      </c>
      <c r="D101" s="579">
        <f>'24'!F11</f>
        <v>70</v>
      </c>
      <c r="E101" s="579">
        <f>'24'!F37</f>
        <v>1.2</v>
      </c>
      <c r="F101" s="579">
        <f>'24'!I37</f>
        <v>0.15</v>
      </c>
      <c r="G101" s="579">
        <f>'24'!E11</f>
        <v>5</v>
      </c>
      <c r="H101" s="579">
        <f>'24'!I11</f>
        <v>0.5</v>
      </c>
      <c r="I101" s="579">
        <f>'24'!O11</f>
        <v>3.2</v>
      </c>
      <c r="J101" s="579">
        <f>'24'!H37</f>
        <v>0.1</v>
      </c>
      <c r="K101" s="579">
        <f>'24'!K37</f>
        <v>0.03</v>
      </c>
    </row>
    <row r="102" ht="13.5" customHeight="1">
      <c r="A102" s="575"/>
      <c r="B102" s="581" t="s">
        <v>207</v>
      </c>
      <c r="C102" s="586">
        <f>'24'!B15</f>
        <v>218</v>
      </c>
      <c r="D102" s="586">
        <f>'24'!F15</f>
        <v>70</v>
      </c>
      <c r="E102" s="580" t="s">
        <v>205</v>
      </c>
      <c r="F102" s="580" t="s">
        <v>205</v>
      </c>
      <c r="G102" s="586">
        <f>'24'!E15</f>
        <v>4</v>
      </c>
      <c r="H102" s="586">
        <f>'24'!I15</f>
        <v>0.5</v>
      </c>
      <c r="I102" s="586">
        <f>'24'!O15</f>
        <v>3</v>
      </c>
      <c r="J102" s="580" t="s">
        <v>205</v>
      </c>
      <c r="K102" s="580" t="s">
        <v>205</v>
      </c>
    </row>
    <row r="103" ht="13.5" customHeight="1">
      <c r="A103" s="583"/>
    </row>
    <row r="104" ht="13.5" customHeight="1">
      <c r="A104" s="577">
        <f>A100+1</f>
        <v>25</v>
      </c>
      <c r="B104" s="578" t="s">
        <v>204</v>
      </c>
      <c r="C104" s="585">
        <f>'25'!B7</f>
        <v>212</v>
      </c>
      <c r="D104" s="585">
        <f>'25'!F7</f>
        <v>66</v>
      </c>
      <c r="E104" s="580" t="s">
        <v>205</v>
      </c>
      <c r="F104" s="580" t="s">
        <v>205</v>
      </c>
      <c r="G104" s="585">
        <f>'25'!E7</f>
        <v>4</v>
      </c>
      <c r="H104" s="585">
        <f>'25'!I7</f>
        <v>0.5</v>
      </c>
      <c r="I104" s="585">
        <f>'25'!O7</f>
        <v>3.5</v>
      </c>
      <c r="J104" s="580" t="s">
        <v>205</v>
      </c>
      <c r="K104" s="580" t="s">
        <v>205</v>
      </c>
    </row>
    <row r="105" ht="13.5" customHeight="1">
      <c r="A105" s="573"/>
      <c r="B105" s="578" t="s">
        <v>206</v>
      </c>
      <c r="C105" s="579">
        <f>'25'!B11</f>
        <v>171</v>
      </c>
      <c r="D105" s="579">
        <f>'25'!F11</f>
        <v>51</v>
      </c>
      <c r="E105" s="579">
        <f>'25'!F37</f>
        <v>1</v>
      </c>
      <c r="F105" s="579">
        <f>'25'!I37</f>
        <v>0.15</v>
      </c>
      <c r="G105" s="579">
        <f>'25'!E11</f>
        <v>5</v>
      </c>
      <c r="H105" s="579">
        <f>'25'!I11</f>
        <v>0.5</v>
      </c>
      <c r="I105" s="579">
        <f>'25'!O11</f>
        <v>3.6</v>
      </c>
      <c r="J105" s="579">
        <f>'25'!H37</f>
        <v>0.1</v>
      </c>
      <c r="K105" s="579">
        <f>'25'!K37</f>
        <v>0.03</v>
      </c>
    </row>
    <row r="106" ht="13.5" customHeight="1">
      <c r="A106" s="575"/>
      <c r="B106" s="581" t="s">
        <v>207</v>
      </c>
      <c r="C106" s="586">
        <f>'25'!B15</f>
        <v>173</v>
      </c>
      <c r="D106" s="586">
        <f>'25'!F15</f>
        <v>48</v>
      </c>
      <c r="E106" s="580" t="s">
        <v>205</v>
      </c>
      <c r="F106" s="580" t="s">
        <v>205</v>
      </c>
      <c r="G106" s="586">
        <f>'25'!E15</f>
        <v>6</v>
      </c>
      <c r="H106" s="586">
        <f>'25'!I15</f>
        <v>0.5</v>
      </c>
      <c r="I106" s="586">
        <f>'25'!O15</f>
        <v>3.6</v>
      </c>
      <c r="J106" s="580" t="s">
        <v>205</v>
      </c>
      <c r="K106" s="580" t="s">
        <v>205</v>
      </c>
    </row>
    <row r="107" ht="13.5" customHeight="1">
      <c r="A107" s="583"/>
    </row>
    <row r="108" ht="13.5" customHeight="1">
      <c r="A108" s="577">
        <f>A104+1</f>
        <v>26</v>
      </c>
      <c r="B108" s="578" t="s">
        <v>204</v>
      </c>
      <c r="C108" s="585">
        <f>'26'!B7</f>
        <v>165</v>
      </c>
      <c r="D108" s="585">
        <f>'26'!F7</f>
        <v>45</v>
      </c>
      <c r="E108" s="580" t="s">
        <v>205</v>
      </c>
      <c r="F108" s="580" t="s">
        <v>205</v>
      </c>
      <c r="G108" s="585">
        <f>'26'!E7</f>
        <v>5</v>
      </c>
      <c r="H108" s="585">
        <f>'26'!I7</f>
        <v>0.5</v>
      </c>
      <c r="I108" s="585">
        <f>'26'!O7</f>
        <v>3.6</v>
      </c>
      <c r="J108" s="580" t="s">
        <v>205</v>
      </c>
      <c r="K108" s="580" t="s">
        <v>205</v>
      </c>
    </row>
    <row r="109" ht="13.5" customHeight="1">
      <c r="A109" s="573"/>
      <c r="B109" s="578" t="s">
        <v>206</v>
      </c>
      <c r="C109" s="579">
        <f>'26'!B11</f>
        <v>153</v>
      </c>
      <c r="D109" s="579">
        <f>'26'!F11</f>
        <v>43</v>
      </c>
      <c r="E109" s="579">
        <f>'26'!F37</f>
        <v>1</v>
      </c>
      <c r="F109" s="579">
        <f>'26'!I37</f>
        <v>0.15</v>
      </c>
      <c r="G109" s="579">
        <f>'26'!E11</f>
        <v>6</v>
      </c>
      <c r="H109" s="579">
        <f>'26'!I11</f>
        <v>0.5</v>
      </c>
      <c r="I109" s="579">
        <f>'26'!O11</f>
        <v>3.6</v>
      </c>
      <c r="J109" s="579">
        <f>'26'!H37</f>
        <v>0.1</v>
      </c>
      <c r="K109" s="579">
        <f>'26'!K37</f>
        <v>0.03</v>
      </c>
    </row>
    <row r="110" ht="13.5" customHeight="1">
      <c r="A110" s="575"/>
      <c r="B110" s="581" t="s">
        <v>207</v>
      </c>
      <c r="C110" s="586">
        <f>'26'!B15</f>
        <v>147</v>
      </c>
      <c r="D110" s="586">
        <f>'26'!F15</f>
        <v>38</v>
      </c>
      <c r="E110" s="580" t="s">
        <v>205</v>
      </c>
      <c r="F110" s="580" t="s">
        <v>205</v>
      </c>
      <c r="G110" s="586">
        <f>'26'!E15</f>
        <v>5</v>
      </c>
      <c r="H110" s="586">
        <f>'26'!I15</f>
        <v>0.5</v>
      </c>
      <c r="I110" s="586">
        <f>'26'!O15</f>
        <v>3.6</v>
      </c>
      <c r="J110" s="580" t="s">
        <v>205</v>
      </c>
      <c r="K110" s="580" t="s">
        <v>205</v>
      </c>
    </row>
    <row r="111" ht="13.5" customHeight="1">
      <c r="A111" s="583"/>
    </row>
    <row r="112" ht="13.5" customHeight="1">
      <c r="A112" s="577">
        <f>A108+1</f>
        <v>27</v>
      </c>
      <c r="B112" s="578" t="s">
        <v>204</v>
      </c>
      <c r="C112" s="585">
        <f>'27'!B7</f>
        <v>147</v>
      </c>
      <c r="D112" s="585">
        <f>'27'!F7</f>
        <v>37</v>
      </c>
      <c r="E112" s="580" t="s">
        <v>205</v>
      </c>
      <c r="F112" s="580" t="s">
        <v>205</v>
      </c>
      <c r="G112" s="585">
        <f>'27'!E7</f>
        <v>5</v>
      </c>
      <c r="H112" s="585">
        <f>'27'!I7</f>
        <v>0.6</v>
      </c>
      <c r="I112" s="585">
        <f>'27'!O7</f>
        <v>3.3</v>
      </c>
      <c r="J112" s="580" t="s">
        <v>205</v>
      </c>
      <c r="K112" s="580" t="s">
        <v>205</v>
      </c>
    </row>
    <row r="113" ht="13.5" customHeight="1">
      <c r="A113" s="573"/>
      <c r="B113" s="578" t="s">
        <v>206</v>
      </c>
      <c r="C113" s="579">
        <f>'27'!B11</f>
        <v>132</v>
      </c>
      <c r="D113" s="579">
        <f>'27'!F11</f>
        <v>30</v>
      </c>
      <c r="E113" s="579">
        <f>'27'!F37</f>
        <v>1</v>
      </c>
      <c r="F113" s="579">
        <f>'27'!I37</f>
        <v>0.15</v>
      </c>
      <c r="G113" s="579">
        <f>'27'!E11</f>
        <v>4</v>
      </c>
      <c r="H113" s="579">
        <f>'27'!I11</f>
        <v>0.4</v>
      </c>
      <c r="I113" s="579">
        <f>'27'!O11</f>
        <v>3.2</v>
      </c>
      <c r="J113" s="579">
        <f>'27'!H37</f>
        <v>0.1</v>
      </c>
      <c r="K113" s="579">
        <f>'27'!K37</f>
        <v>0.03</v>
      </c>
    </row>
    <row r="114" ht="13.5" customHeight="1">
      <c r="A114" s="575"/>
      <c r="B114" s="581" t="s">
        <v>207</v>
      </c>
      <c r="C114" s="586">
        <f>'27'!B15</f>
        <v>138</v>
      </c>
      <c r="D114" s="586">
        <f>'27'!F15</f>
        <v>32</v>
      </c>
      <c r="E114" s="580" t="s">
        <v>205</v>
      </c>
      <c r="F114" s="580" t="s">
        <v>205</v>
      </c>
      <c r="G114" s="586">
        <f>'27'!E15</f>
        <v>4</v>
      </c>
      <c r="H114" s="586">
        <f>'27'!I15</f>
        <v>0.5</v>
      </c>
      <c r="I114" s="586">
        <f>'27'!O15</f>
        <v>3</v>
      </c>
      <c r="J114" s="580" t="s">
        <v>205</v>
      </c>
      <c r="K114" s="580" t="s">
        <v>205</v>
      </c>
    </row>
    <row r="115" ht="13.5" customHeight="1">
      <c r="A115" s="583"/>
    </row>
    <row r="116" ht="13.5" customHeight="1">
      <c r="A116" s="577">
        <f>A112+1</f>
        <v>28</v>
      </c>
      <c r="B116" s="578" t="s">
        <v>204</v>
      </c>
      <c r="C116" s="585">
        <f>'28'!B7</f>
        <v>145</v>
      </c>
      <c r="D116" s="585">
        <f>'28'!F7</f>
        <v>31</v>
      </c>
      <c r="E116" s="580" t="s">
        <v>205</v>
      </c>
      <c r="F116" s="580" t="s">
        <v>205</v>
      </c>
      <c r="G116" s="585">
        <f>'28'!E7</f>
        <v>5</v>
      </c>
      <c r="H116" s="585">
        <f>'28'!I7</f>
        <v>0.4</v>
      </c>
      <c r="I116" s="585">
        <f>'28'!O7</f>
        <v>3.5</v>
      </c>
      <c r="J116" s="580" t="s">
        <v>205</v>
      </c>
      <c r="K116" s="580" t="s">
        <v>205</v>
      </c>
    </row>
    <row r="117" ht="13.5" customHeight="1">
      <c r="A117" s="573"/>
      <c r="B117" s="578" t="s">
        <v>206</v>
      </c>
      <c r="C117" s="579">
        <f>'28'!B11</f>
        <v>133</v>
      </c>
      <c r="D117" s="579">
        <f>'28'!F11</f>
        <v>22</v>
      </c>
      <c r="E117" s="579">
        <f>'28'!F37</f>
        <v>1.2</v>
      </c>
      <c r="F117" s="579">
        <f>'28'!I37</f>
        <v>0.1</v>
      </c>
      <c r="G117" s="579">
        <f>'28'!E11</f>
        <v>5</v>
      </c>
      <c r="H117" s="579">
        <f>'28'!I11</f>
        <v>0.3</v>
      </c>
      <c r="I117" s="579">
        <f>'28'!O11</f>
        <v>2.5</v>
      </c>
      <c r="J117" s="579">
        <f>'28'!H37</f>
        <v>0.1</v>
      </c>
      <c r="K117" s="579">
        <f>'28'!K37</f>
        <v>0</v>
      </c>
    </row>
    <row r="118" ht="13.5" customHeight="1">
      <c r="A118" s="575"/>
      <c r="B118" s="581" t="s">
        <v>207</v>
      </c>
      <c r="C118" s="586">
        <f>'28'!B15</f>
        <v>139</v>
      </c>
      <c r="D118" s="586">
        <f>'28'!F15</f>
        <v>29</v>
      </c>
      <c r="E118" s="580" t="s">
        <v>205</v>
      </c>
      <c r="F118" s="580" t="s">
        <v>205</v>
      </c>
      <c r="G118" s="586">
        <f>'28'!E15</f>
        <v>5</v>
      </c>
      <c r="H118" s="586">
        <f>'28'!I15</f>
        <v>0.3</v>
      </c>
      <c r="I118" s="586">
        <f>'28'!O15</f>
        <v>3</v>
      </c>
      <c r="J118" s="580" t="s">
        <v>205</v>
      </c>
      <c r="K118" s="580" t="s">
        <v>205</v>
      </c>
    </row>
    <row r="119" ht="13.5" customHeight="1">
      <c r="A119" s="583"/>
    </row>
    <row r="120" ht="13.5" customHeight="1">
      <c r="A120" s="577">
        <f>A116+1</f>
        <v>29</v>
      </c>
      <c r="B120" s="578" t="s">
        <v>204</v>
      </c>
      <c r="C120" s="585">
        <f>'29'!B7</f>
        <v>121</v>
      </c>
      <c r="D120" s="585">
        <f>'29'!F7</f>
        <v>23</v>
      </c>
      <c r="E120" s="580" t="s">
        <v>205</v>
      </c>
      <c r="F120" s="580" t="s">
        <v>205</v>
      </c>
      <c r="G120" s="585">
        <f>'29'!E7</f>
        <v>6</v>
      </c>
      <c r="H120" s="585">
        <f>'29'!I7</f>
        <v>0.3</v>
      </c>
      <c r="I120" s="585">
        <f>'29'!O7</f>
        <v>3</v>
      </c>
      <c r="J120" s="580" t="s">
        <v>205</v>
      </c>
      <c r="K120" s="580" t="s">
        <v>205</v>
      </c>
    </row>
    <row r="121" ht="13.5" customHeight="1">
      <c r="A121" s="573"/>
      <c r="B121" s="578" t="s">
        <v>206</v>
      </c>
      <c r="C121" s="579">
        <f>'29'!B11</f>
        <v>105</v>
      </c>
      <c r="D121" s="579">
        <f>'29'!F11</f>
        <v>19</v>
      </c>
      <c r="E121" s="579">
        <f>'29'!F37</f>
        <v>1</v>
      </c>
      <c r="F121" s="579">
        <f>'29'!I37</f>
        <v>0.1</v>
      </c>
      <c r="G121" s="579">
        <f>'29'!E11</f>
        <v>8</v>
      </c>
      <c r="H121" s="579">
        <f>'29'!I11</f>
        <v>0.5</v>
      </c>
      <c r="I121" s="579">
        <f>'29'!O11</f>
        <v>2.8</v>
      </c>
      <c r="J121" s="579">
        <f>'29'!H37</f>
        <v>0.1</v>
      </c>
      <c r="K121" s="579">
        <f>'29'!K37</f>
        <v>0</v>
      </c>
    </row>
    <row r="122" ht="13.5" customHeight="1">
      <c r="A122" s="575"/>
      <c r="B122" s="581" t="s">
        <v>207</v>
      </c>
      <c r="C122" s="586">
        <f>'29'!B15</f>
        <v>111</v>
      </c>
      <c r="D122" s="586">
        <f>'29'!F15</f>
        <v>23</v>
      </c>
      <c r="E122" s="580" t="s">
        <v>205</v>
      </c>
      <c r="F122" s="580" t="s">
        <v>205</v>
      </c>
      <c r="G122" s="586">
        <f>'29'!E15</f>
        <v>7</v>
      </c>
      <c r="H122" s="586">
        <f>'29'!I15</f>
        <v>0.5</v>
      </c>
      <c r="I122" s="586">
        <f>'29'!O15</f>
        <v>2.5</v>
      </c>
      <c r="J122" s="580" t="s">
        <v>205</v>
      </c>
      <c r="K122" s="580" t="s">
        <v>205</v>
      </c>
    </row>
    <row r="123" ht="13.5" customHeight="1">
      <c r="A123" s="583"/>
    </row>
    <row r="124" ht="13.5" customHeight="1">
      <c r="A124" s="577">
        <f>A120+1</f>
        <v>30</v>
      </c>
      <c r="B124" s="578" t="s">
        <v>204</v>
      </c>
      <c r="C124" s="585">
        <f>'30'!B7</f>
        <v>108</v>
      </c>
      <c r="D124" s="585">
        <f>'30'!F7</f>
        <v>19</v>
      </c>
      <c r="E124" s="580" t="s">
        <v>205</v>
      </c>
      <c r="F124" s="580" t="s">
        <v>205</v>
      </c>
      <c r="G124" s="585">
        <f>'30'!E7</f>
        <v>6</v>
      </c>
      <c r="H124" s="585">
        <f>'30'!I7</f>
        <v>0.6</v>
      </c>
      <c r="I124" s="585">
        <f>'30'!O7</f>
        <v>3</v>
      </c>
      <c r="J124" s="580" t="s">
        <v>205</v>
      </c>
      <c r="K124" s="580" t="s">
        <v>205</v>
      </c>
    </row>
    <row r="125" ht="13.5" customHeight="1">
      <c r="A125" s="573"/>
      <c r="B125" s="578" t="s">
        <v>206</v>
      </c>
      <c r="C125" s="579">
        <f>'30'!B11</f>
        <v>99</v>
      </c>
      <c r="D125" s="579">
        <f>'30'!F11</f>
        <v>17</v>
      </c>
      <c r="E125" s="579">
        <f>'30'!F37</f>
        <v>1</v>
      </c>
      <c r="F125" s="579">
        <f>'30'!I37</f>
        <v>0.15</v>
      </c>
      <c r="G125" s="579">
        <f>'30'!E11</f>
        <v>7</v>
      </c>
      <c r="H125" s="579">
        <f>'30'!I11</f>
        <v>0.5</v>
      </c>
      <c r="I125" s="579">
        <f>'30'!O11</f>
        <v>3.8</v>
      </c>
      <c r="J125" s="579">
        <f>'30'!H37</f>
        <v>0.1</v>
      </c>
      <c r="K125" s="579">
        <f>'30'!K37</f>
        <v>0.03</v>
      </c>
    </row>
    <row r="126" ht="13.5" customHeight="1">
      <c r="A126" s="575"/>
      <c r="B126" s="581" t="s">
        <v>207</v>
      </c>
      <c r="C126" s="586">
        <f>'30'!B15</f>
        <v>107</v>
      </c>
      <c r="D126" s="586">
        <f>'30'!F15</f>
        <v>18</v>
      </c>
      <c r="E126" s="580" t="s">
        <v>205</v>
      </c>
      <c r="F126" s="580" t="s">
        <v>205</v>
      </c>
      <c r="G126" s="586">
        <f>'30'!E15</f>
        <v>7</v>
      </c>
      <c r="H126" s="586">
        <f>'30'!I15</f>
        <v>0.5</v>
      </c>
      <c r="I126" s="586">
        <f>'30'!O15</f>
        <v>3.2</v>
      </c>
      <c r="J126" s="580" t="s">
        <v>205</v>
      </c>
      <c r="K126" s="580" t="s">
        <v>205</v>
      </c>
    </row>
    <row r="127" ht="13.5" customHeight="1">
      <c r="A127" s="583"/>
    </row>
    <row r="128" ht="13.5" customHeight="1">
      <c r="A128" s="577">
        <f>A124+1</f>
        <v>31</v>
      </c>
      <c r="B128" s="578" t="s">
        <v>204</v>
      </c>
      <c r="C128" s="585">
        <f>'31'!B7</f>
        <v>112</v>
      </c>
      <c r="D128" s="585">
        <f>'31'!F7</f>
        <v>19</v>
      </c>
      <c r="E128" s="580" t="s">
        <v>205</v>
      </c>
      <c r="F128" s="580" t="s">
        <v>205</v>
      </c>
      <c r="G128" s="585">
        <f>'31'!E7</f>
        <v>7</v>
      </c>
      <c r="H128" s="585">
        <f>'31'!I7</f>
        <v>0.4</v>
      </c>
      <c r="I128" s="585">
        <f>'31'!O7</f>
        <v>3.5</v>
      </c>
      <c r="J128" s="580" t="s">
        <v>205</v>
      </c>
      <c r="K128" s="580" t="s">
        <v>205</v>
      </c>
    </row>
    <row r="129" ht="13.5" customHeight="1">
      <c r="A129" s="573"/>
      <c r="B129" s="578" t="s">
        <v>206</v>
      </c>
      <c r="C129" s="579">
        <f>'31'!B11</f>
        <v>98</v>
      </c>
      <c r="D129" s="579">
        <f>'31'!F11</f>
        <v>14</v>
      </c>
      <c r="E129" s="579">
        <f>'31'!F37</f>
        <v>1</v>
      </c>
      <c r="F129" s="579">
        <f>'31'!I37</f>
        <v>0.17</v>
      </c>
      <c r="G129" s="579">
        <f>'31'!E11</f>
        <v>8</v>
      </c>
      <c r="H129" s="579">
        <f>'31'!I11</f>
        <v>0.3</v>
      </c>
      <c r="I129" s="579">
        <f>'31'!O11</f>
        <v>3</v>
      </c>
      <c r="J129" s="579">
        <f>'31'!H37</f>
        <v>0.1</v>
      </c>
      <c r="K129" s="579">
        <f>'31'!K37</f>
        <v>0</v>
      </c>
    </row>
    <row r="130" ht="13.5" customHeight="1">
      <c r="A130" s="575"/>
      <c r="B130" s="581" t="s">
        <v>207</v>
      </c>
      <c r="C130" s="586">
        <f>'31'!B15</f>
        <v>94</v>
      </c>
      <c r="D130" s="586">
        <f>'31'!F15</f>
        <v>14</v>
      </c>
      <c r="E130" s="580" t="s">
        <v>205</v>
      </c>
      <c r="F130" s="580" t="s">
        <v>205</v>
      </c>
      <c r="G130" s="586">
        <f>'31'!E15</f>
        <v>7</v>
      </c>
      <c r="H130" s="586">
        <f>'31'!I15</f>
        <v>0.2</v>
      </c>
      <c r="I130" s="586">
        <f>'31'!O15</f>
        <v>3</v>
      </c>
      <c r="J130" s="580" t="s">
        <v>205</v>
      </c>
      <c r="K130" s="580" t="s">
        <v>205</v>
      </c>
    </row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124:A126"/>
    <mergeCell ref="A128:A130"/>
    <mergeCell ref="A96:A98"/>
    <mergeCell ref="A100:A102"/>
    <mergeCell ref="A104:A106"/>
    <mergeCell ref="A108:A110"/>
    <mergeCell ref="A112:A114"/>
    <mergeCell ref="A116:A118"/>
    <mergeCell ref="A120:A122"/>
  </mergeCells>
  <printOptions/>
  <pageMargins bottom="0.7875" footer="0.0" header="0.0" left="0.7875" right="0.7875" top="0.78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8.86"/>
    <col customWidth="1" min="2" max="14" width="6.14"/>
    <col customWidth="1" min="15" max="15" width="6.29"/>
    <col customWidth="1" min="16" max="19" width="6.14"/>
    <col customWidth="1" min="20" max="20" width="34.86"/>
    <col customWidth="1" min="21" max="26" width="6.29"/>
  </cols>
  <sheetData>
    <row r="1" ht="13.5" customHeight="1">
      <c r="A1" s="587" t="s">
        <v>208</v>
      </c>
      <c r="B1" s="588" t="s">
        <v>78</v>
      </c>
      <c r="C1" s="570"/>
      <c r="D1" s="570"/>
      <c r="E1" s="570"/>
      <c r="F1" s="570"/>
      <c r="G1" s="570"/>
      <c r="H1" s="570"/>
      <c r="I1" s="571"/>
      <c r="J1" s="589" t="s">
        <v>209</v>
      </c>
      <c r="K1" s="570"/>
      <c r="L1" s="570"/>
      <c r="M1" s="570"/>
      <c r="N1" s="570"/>
      <c r="O1" s="570"/>
      <c r="P1" s="570"/>
      <c r="Q1" s="570"/>
      <c r="R1" s="570"/>
      <c r="S1" s="571"/>
      <c r="T1" s="590">
        <f>ESCALA!A3</f>
        <v>43922</v>
      </c>
      <c r="U1" s="224"/>
      <c r="V1" s="224"/>
      <c r="W1" s="224"/>
      <c r="X1" s="224"/>
      <c r="Y1" s="224"/>
      <c r="Z1" s="224"/>
    </row>
    <row r="2" ht="13.5" customHeight="1">
      <c r="A2" s="415"/>
      <c r="B2" s="588" t="s">
        <v>210</v>
      </c>
      <c r="C2" s="570"/>
      <c r="D2" s="570"/>
      <c r="E2" s="571"/>
      <c r="F2" s="591" t="s">
        <v>211</v>
      </c>
      <c r="G2" s="570"/>
      <c r="H2" s="570"/>
      <c r="I2" s="571"/>
      <c r="J2" s="589" t="s">
        <v>210</v>
      </c>
      <c r="K2" s="570"/>
      <c r="L2" s="570"/>
      <c r="M2" s="570"/>
      <c r="N2" s="571"/>
      <c r="O2" s="591" t="s">
        <v>211</v>
      </c>
      <c r="P2" s="570"/>
      <c r="Q2" s="570"/>
      <c r="R2" s="570"/>
      <c r="S2" s="571"/>
      <c r="U2" s="224"/>
      <c r="V2" s="224"/>
      <c r="W2" s="224"/>
      <c r="X2" s="224"/>
      <c r="Y2" s="224"/>
      <c r="Z2" s="224"/>
    </row>
    <row r="3" ht="13.5" customHeight="1">
      <c r="A3" s="415"/>
      <c r="B3" s="588" t="s">
        <v>212</v>
      </c>
      <c r="C3" s="571"/>
      <c r="D3" s="588" t="s">
        <v>213</v>
      </c>
      <c r="E3" s="571"/>
      <c r="F3" s="591" t="s">
        <v>212</v>
      </c>
      <c r="G3" s="571"/>
      <c r="H3" s="591" t="s">
        <v>213</v>
      </c>
      <c r="I3" s="571"/>
      <c r="J3" s="592" t="s">
        <v>214</v>
      </c>
      <c r="K3" s="589" t="s">
        <v>212</v>
      </c>
      <c r="L3" s="571"/>
      <c r="M3" s="589" t="s">
        <v>213</v>
      </c>
      <c r="N3" s="571"/>
      <c r="O3" s="593" t="s">
        <v>214</v>
      </c>
      <c r="P3" s="591" t="s">
        <v>212</v>
      </c>
      <c r="Q3" s="571"/>
      <c r="R3" s="591" t="s">
        <v>213</v>
      </c>
      <c r="S3" s="571"/>
      <c r="U3" s="224"/>
      <c r="V3" s="224"/>
      <c r="W3" s="224"/>
      <c r="X3" s="224"/>
      <c r="Y3" s="224"/>
      <c r="Z3" s="224"/>
    </row>
    <row r="4" ht="13.5" customHeight="1">
      <c r="A4" s="3"/>
      <c r="B4" s="594" t="s">
        <v>7</v>
      </c>
      <c r="C4" s="595" t="s">
        <v>215</v>
      </c>
      <c r="D4" s="595" t="s">
        <v>7</v>
      </c>
      <c r="E4" s="595" t="s">
        <v>215</v>
      </c>
      <c r="F4" s="596" t="s">
        <v>7</v>
      </c>
      <c r="G4" s="597" t="s">
        <v>215</v>
      </c>
      <c r="H4" s="596" t="s">
        <v>7</v>
      </c>
      <c r="I4" s="597" t="s">
        <v>215</v>
      </c>
      <c r="J4" s="3"/>
      <c r="K4" s="598" t="s">
        <v>7</v>
      </c>
      <c r="L4" s="598" t="s">
        <v>215</v>
      </c>
      <c r="M4" s="598" t="s">
        <v>7</v>
      </c>
      <c r="N4" s="598" t="s">
        <v>215</v>
      </c>
      <c r="O4" s="3"/>
      <c r="P4" s="596" t="s">
        <v>7</v>
      </c>
      <c r="Q4" s="597" t="s">
        <v>215</v>
      </c>
      <c r="R4" s="596" t="s">
        <v>7</v>
      </c>
      <c r="S4" s="597" t="s">
        <v>215</v>
      </c>
      <c r="T4" s="596" t="s">
        <v>216</v>
      </c>
      <c r="U4" s="224"/>
      <c r="V4" s="224"/>
      <c r="W4" s="224"/>
      <c r="X4" s="224"/>
      <c r="Y4" s="224"/>
      <c r="Z4" s="224"/>
    </row>
    <row r="5" ht="13.5" customHeight="1">
      <c r="A5" s="599">
        <v>1.0</v>
      </c>
      <c r="B5" s="600"/>
      <c r="C5" s="601"/>
      <c r="D5" s="600"/>
      <c r="E5" s="601"/>
      <c r="F5" s="602"/>
      <c r="G5" s="603"/>
      <c r="H5" s="602"/>
      <c r="I5" s="603"/>
      <c r="J5" s="604"/>
      <c r="K5" s="605"/>
      <c r="L5" s="606"/>
      <c r="M5" s="605"/>
      <c r="N5" s="606"/>
      <c r="O5" s="603"/>
      <c r="P5" s="602"/>
      <c r="Q5" s="603"/>
      <c r="R5" s="602"/>
      <c r="S5" s="603"/>
      <c r="T5" s="55"/>
      <c r="U5" s="224"/>
      <c r="V5" s="224"/>
      <c r="W5" s="224"/>
      <c r="X5" s="224"/>
      <c r="Y5" s="224"/>
      <c r="Z5" s="224"/>
    </row>
    <row r="6" ht="13.5" customHeight="1">
      <c r="A6" s="599">
        <v>2.0</v>
      </c>
      <c r="B6" s="600"/>
      <c r="C6" s="601"/>
      <c r="D6" s="600"/>
      <c r="E6" s="601"/>
      <c r="F6" s="602"/>
      <c r="G6" s="603"/>
      <c r="H6" s="602"/>
      <c r="I6" s="603"/>
      <c r="J6" s="604"/>
      <c r="K6" s="605"/>
      <c r="L6" s="606"/>
      <c r="M6" s="605"/>
      <c r="N6" s="606"/>
      <c r="O6" s="603"/>
      <c r="P6" s="602"/>
      <c r="Q6" s="603"/>
      <c r="R6" s="602"/>
      <c r="S6" s="603"/>
      <c r="T6" s="55"/>
      <c r="U6" s="224"/>
      <c r="V6" s="224"/>
      <c r="W6" s="224"/>
      <c r="X6" s="224"/>
      <c r="Y6" s="224"/>
      <c r="Z6" s="224"/>
    </row>
    <row r="7" ht="13.5" customHeight="1">
      <c r="A7" s="599">
        <v>3.0</v>
      </c>
      <c r="B7" s="600"/>
      <c r="C7" s="601"/>
      <c r="D7" s="600"/>
      <c r="E7" s="601"/>
      <c r="F7" s="602"/>
      <c r="G7" s="603"/>
      <c r="H7" s="602"/>
      <c r="I7" s="603"/>
      <c r="J7" s="604"/>
      <c r="K7" s="605"/>
      <c r="L7" s="606"/>
      <c r="M7" s="605"/>
      <c r="N7" s="606"/>
      <c r="O7" s="603"/>
      <c r="P7" s="602"/>
      <c r="Q7" s="603"/>
      <c r="R7" s="602"/>
      <c r="S7" s="603"/>
      <c r="T7" s="55"/>
      <c r="U7" s="224"/>
      <c r="V7" s="224"/>
      <c r="W7" s="224"/>
      <c r="X7" s="224"/>
      <c r="Y7" s="224"/>
      <c r="Z7" s="224"/>
    </row>
    <row r="8" ht="13.5" customHeight="1">
      <c r="A8" s="599">
        <v>4.0</v>
      </c>
      <c r="B8" s="600"/>
      <c r="C8" s="601"/>
      <c r="D8" s="600"/>
      <c r="E8" s="601"/>
      <c r="F8" s="602"/>
      <c r="G8" s="603"/>
      <c r="H8" s="602"/>
      <c r="I8" s="603"/>
      <c r="J8" s="604"/>
      <c r="K8" s="605"/>
      <c r="L8" s="606"/>
      <c r="M8" s="605"/>
      <c r="N8" s="606"/>
      <c r="O8" s="603"/>
      <c r="P8" s="602"/>
      <c r="Q8" s="603"/>
      <c r="R8" s="602"/>
      <c r="S8" s="603"/>
      <c r="T8" s="55"/>
      <c r="U8" s="224"/>
      <c r="V8" s="224"/>
      <c r="W8" s="224"/>
      <c r="X8" s="224"/>
      <c r="Y8" s="224"/>
      <c r="Z8" s="224"/>
    </row>
    <row r="9" ht="13.5" customHeight="1">
      <c r="A9" s="599">
        <v>5.0</v>
      </c>
      <c r="B9" s="600"/>
      <c r="C9" s="601"/>
      <c r="D9" s="600"/>
      <c r="E9" s="601"/>
      <c r="F9" s="602"/>
      <c r="G9" s="603"/>
      <c r="H9" s="602"/>
      <c r="I9" s="603"/>
      <c r="J9" s="604"/>
      <c r="K9" s="605"/>
      <c r="L9" s="606"/>
      <c r="M9" s="605"/>
      <c r="N9" s="606"/>
      <c r="O9" s="603"/>
      <c r="P9" s="602"/>
      <c r="Q9" s="603"/>
      <c r="R9" s="602"/>
      <c r="S9" s="603"/>
      <c r="T9" s="55"/>
      <c r="U9" s="224"/>
      <c r="V9" s="224"/>
      <c r="W9" s="224"/>
      <c r="X9" s="224"/>
      <c r="Y9" s="224"/>
      <c r="Z9" s="224"/>
    </row>
    <row r="10" ht="13.5" customHeight="1">
      <c r="A10" s="599">
        <v>6.0</v>
      </c>
      <c r="B10" s="600"/>
      <c r="C10" s="601"/>
      <c r="D10" s="600"/>
      <c r="E10" s="601"/>
      <c r="F10" s="602"/>
      <c r="G10" s="603"/>
      <c r="H10" s="602"/>
      <c r="I10" s="603"/>
      <c r="J10" s="604"/>
      <c r="K10" s="605"/>
      <c r="L10" s="606"/>
      <c r="M10" s="605"/>
      <c r="N10" s="606"/>
      <c r="O10" s="603"/>
      <c r="P10" s="602"/>
      <c r="Q10" s="603"/>
      <c r="R10" s="602"/>
      <c r="S10" s="603"/>
      <c r="T10" s="55"/>
      <c r="U10" s="224"/>
      <c r="V10" s="224"/>
      <c r="W10" s="224"/>
      <c r="X10" s="224"/>
      <c r="Y10" s="224"/>
      <c r="Z10" s="224"/>
    </row>
    <row r="11" ht="13.5" customHeight="1">
      <c r="A11" s="599">
        <v>7.0</v>
      </c>
      <c r="B11" s="600"/>
      <c r="C11" s="601"/>
      <c r="D11" s="600"/>
      <c r="E11" s="601"/>
      <c r="F11" s="602"/>
      <c r="G11" s="603"/>
      <c r="H11" s="602"/>
      <c r="I11" s="603"/>
      <c r="J11" s="604"/>
      <c r="K11" s="605"/>
      <c r="L11" s="606"/>
      <c r="M11" s="605"/>
      <c r="N11" s="606"/>
      <c r="O11" s="603"/>
      <c r="P11" s="602"/>
      <c r="Q11" s="603"/>
      <c r="R11" s="602"/>
      <c r="S11" s="603"/>
      <c r="T11" s="55"/>
      <c r="U11" s="224"/>
      <c r="V11" s="224"/>
      <c r="W11" s="224"/>
      <c r="X11" s="224"/>
      <c r="Y11" s="224"/>
      <c r="Z11" s="224"/>
    </row>
    <row r="12" ht="13.5" customHeight="1">
      <c r="A12" s="599">
        <v>8.0</v>
      </c>
      <c r="B12" s="600"/>
      <c r="C12" s="601"/>
      <c r="D12" s="600"/>
      <c r="E12" s="601"/>
      <c r="F12" s="602"/>
      <c r="G12" s="603"/>
      <c r="H12" s="602"/>
      <c r="I12" s="603"/>
      <c r="J12" s="604"/>
      <c r="K12" s="605"/>
      <c r="L12" s="606"/>
      <c r="M12" s="605"/>
      <c r="N12" s="606"/>
      <c r="O12" s="603"/>
      <c r="P12" s="602"/>
      <c r="Q12" s="603"/>
      <c r="R12" s="602"/>
      <c r="S12" s="603"/>
      <c r="T12" s="55"/>
      <c r="U12" s="224"/>
      <c r="V12" s="224"/>
      <c r="W12" s="224"/>
      <c r="X12" s="224"/>
      <c r="Y12" s="224"/>
      <c r="Z12" s="224"/>
    </row>
    <row r="13" ht="13.5" customHeight="1">
      <c r="A13" s="599">
        <v>9.0</v>
      </c>
      <c r="B13" s="600"/>
      <c r="C13" s="601"/>
      <c r="D13" s="600"/>
      <c r="E13" s="601"/>
      <c r="F13" s="602"/>
      <c r="G13" s="603"/>
      <c r="H13" s="602"/>
      <c r="I13" s="603"/>
      <c r="J13" s="604"/>
      <c r="K13" s="605"/>
      <c r="L13" s="606"/>
      <c r="M13" s="605"/>
      <c r="N13" s="606"/>
      <c r="O13" s="603"/>
      <c r="P13" s="602"/>
      <c r="Q13" s="603"/>
      <c r="R13" s="602"/>
      <c r="S13" s="603"/>
      <c r="T13" s="55"/>
      <c r="U13" s="224"/>
      <c r="V13" s="224"/>
      <c r="W13" s="224"/>
      <c r="X13" s="224"/>
      <c r="Y13" s="224"/>
      <c r="Z13" s="224"/>
    </row>
    <row r="14" ht="13.5" customHeight="1">
      <c r="A14" s="599">
        <v>10.0</v>
      </c>
      <c r="B14" s="600"/>
      <c r="C14" s="601"/>
      <c r="D14" s="600"/>
      <c r="E14" s="601"/>
      <c r="F14" s="602"/>
      <c r="G14" s="603"/>
      <c r="H14" s="602"/>
      <c r="I14" s="603"/>
      <c r="J14" s="604"/>
      <c r="K14" s="605"/>
      <c r="L14" s="606"/>
      <c r="M14" s="605"/>
      <c r="N14" s="606"/>
      <c r="O14" s="603"/>
      <c r="P14" s="602"/>
      <c r="Q14" s="603"/>
      <c r="R14" s="602"/>
      <c r="S14" s="603"/>
      <c r="T14" s="55"/>
      <c r="U14" s="224"/>
      <c r="V14" s="224"/>
      <c r="W14" s="224"/>
      <c r="X14" s="224"/>
      <c r="Y14" s="224"/>
      <c r="Z14" s="224"/>
    </row>
    <row r="15" ht="13.5" customHeight="1">
      <c r="A15" s="599">
        <v>11.0</v>
      </c>
      <c r="B15" s="600"/>
      <c r="C15" s="601"/>
      <c r="D15" s="600"/>
      <c r="E15" s="601"/>
      <c r="F15" s="602"/>
      <c r="G15" s="603"/>
      <c r="H15" s="602"/>
      <c r="I15" s="603"/>
      <c r="J15" s="604"/>
      <c r="K15" s="605"/>
      <c r="L15" s="606"/>
      <c r="M15" s="605"/>
      <c r="N15" s="606"/>
      <c r="O15" s="603"/>
      <c r="P15" s="602"/>
      <c r="Q15" s="603"/>
      <c r="R15" s="602"/>
      <c r="S15" s="603"/>
      <c r="T15" s="55"/>
      <c r="U15" s="224"/>
      <c r="V15" s="224"/>
      <c r="W15" s="224"/>
      <c r="X15" s="224"/>
      <c r="Y15" s="224"/>
      <c r="Z15" s="224"/>
    </row>
    <row r="16" ht="13.5" customHeight="1">
      <c r="A16" s="599">
        <v>12.0</v>
      </c>
      <c r="B16" s="600"/>
      <c r="C16" s="601"/>
      <c r="D16" s="600"/>
      <c r="E16" s="601"/>
      <c r="F16" s="602"/>
      <c r="G16" s="603"/>
      <c r="H16" s="602"/>
      <c r="I16" s="603"/>
      <c r="J16" s="604"/>
      <c r="K16" s="605"/>
      <c r="L16" s="606"/>
      <c r="M16" s="605"/>
      <c r="N16" s="606"/>
      <c r="O16" s="603"/>
      <c r="P16" s="602"/>
      <c r="Q16" s="603"/>
      <c r="R16" s="602"/>
      <c r="S16" s="603"/>
      <c r="T16" s="55"/>
      <c r="U16" s="224"/>
      <c r="V16" s="224"/>
      <c r="W16" s="224"/>
      <c r="X16" s="224"/>
      <c r="Y16" s="224"/>
      <c r="Z16" s="224"/>
    </row>
    <row r="17" ht="13.5" customHeight="1">
      <c r="A17" s="599">
        <v>13.0</v>
      </c>
      <c r="B17" s="600"/>
      <c r="C17" s="601"/>
      <c r="D17" s="600"/>
      <c r="E17" s="601"/>
      <c r="F17" s="602"/>
      <c r="G17" s="603"/>
      <c r="H17" s="602"/>
      <c r="I17" s="603"/>
      <c r="J17" s="604"/>
      <c r="K17" s="605"/>
      <c r="L17" s="606"/>
      <c r="M17" s="605"/>
      <c r="N17" s="606"/>
      <c r="O17" s="603"/>
      <c r="P17" s="602"/>
      <c r="Q17" s="603"/>
      <c r="R17" s="602"/>
      <c r="S17" s="603"/>
      <c r="T17" s="55"/>
      <c r="U17" s="224"/>
      <c r="V17" s="224"/>
      <c r="W17" s="224"/>
      <c r="X17" s="224"/>
      <c r="Y17" s="224"/>
      <c r="Z17" s="224"/>
    </row>
    <row r="18" ht="13.5" customHeight="1">
      <c r="A18" s="599">
        <v>14.0</v>
      </c>
      <c r="B18" s="600"/>
      <c r="C18" s="601"/>
      <c r="D18" s="600"/>
      <c r="E18" s="601"/>
      <c r="F18" s="602"/>
      <c r="G18" s="603"/>
      <c r="H18" s="602"/>
      <c r="I18" s="603"/>
      <c r="J18" s="604"/>
      <c r="K18" s="605"/>
      <c r="L18" s="606"/>
      <c r="M18" s="605"/>
      <c r="N18" s="606"/>
      <c r="O18" s="603"/>
      <c r="P18" s="602"/>
      <c r="Q18" s="603"/>
      <c r="R18" s="602"/>
      <c r="S18" s="603"/>
      <c r="T18" s="55"/>
      <c r="U18" s="224"/>
      <c r="V18" s="224"/>
      <c r="W18" s="224"/>
      <c r="X18" s="224"/>
      <c r="Y18" s="224"/>
      <c r="Z18" s="224"/>
    </row>
    <row r="19" ht="13.5" customHeight="1">
      <c r="A19" s="599">
        <v>15.0</v>
      </c>
      <c r="B19" s="600"/>
      <c r="C19" s="601"/>
      <c r="D19" s="600"/>
      <c r="E19" s="601"/>
      <c r="F19" s="602"/>
      <c r="G19" s="603"/>
      <c r="H19" s="602"/>
      <c r="I19" s="603"/>
      <c r="J19" s="604"/>
      <c r="K19" s="605"/>
      <c r="L19" s="606"/>
      <c r="M19" s="605"/>
      <c r="N19" s="606"/>
      <c r="O19" s="603"/>
      <c r="P19" s="602"/>
      <c r="Q19" s="603"/>
      <c r="R19" s="602"/>
      <c r="S19" s="603"/>
      <c r="T19" s="55"/>
      <c r="U19" s="224"/>
      <c r="V19" s="224"/>
      <c r="W19" s="224"/>
      <c r="X19" s="224"/>
      <c r="Y19" s="224"/>
      <c r="Z19" s="224"/>
    </row>
    <row r="20" ht="13.5" customHeight="1">
      <c r="A20" s="599">
        <v>16.0</v>
      </c>
      <c r="B20" s="600"/>
      <c r="C20" s="601"/>
      <c r="D20" s="600"/>
      <c r="E20" s="601"/>
      <c r="F20" s="602"/>
      <c r="G20" s="603"/>
      <c r="H20" s="602"/>
      <c r="I20" s="603"/>
      <c r="J20" s="604"/>
      <c r="K20" s="605"/>
      <c r="L20" s="606"/>
      <c r="M20" s="605"/>
      <c r="N20" s="606"/>
      <c r="O20" s="603"/>
      <c r="P20" s="602"/>
      <c r="Q20" s="603"/>
      <c r="R20" s="602"/>
      <c r="S20" s="603"/>
      <c r="T20" s="55"/>
      <c r="U20" s="224"/>
      <c r="V20" s="224"/>
      <c r="W20" s="224"/>
      <c r="X20" s="224"/>
      <c r="Y20" s="224"/>
      <c r="Z20" s="224"/>
    </row>
    <row r="21" ht="13.5" customHeight="1">
      <c r="A21" s="599">
        <v>17.0</v>
      </c>
      <c r="B21" s="600"/>
      <c r="C21" s="601"/>
      <c r="D21" s="600"/>
      <c r="E21" s="601"/>
      <c r="F21" s="602"/>
      <c r="G21" s="603"/>
      <c r="H21" s="602"/>
      <c r="I21" s="603"/>
      <c r="J21" s="604"/>
      <c r="K21" s="605"/>
      <c r="L21" s="606"/>
      <c r="M21" s="605"/>
      <c r="N21" s="606"/>
      <c r="O21" s="603"/>
      <c r="P21" s="602"/>
      <c r="Q21" s="603"/>
      <c r="R21" s="602"/>
      <c r="S21" s="603"/>
      <c r="T21" s="55"/>
      <c r="U21" s="224"/>
      <c r="V21" s="224"/>
      <c r="W21" s="224"/>
      <c r="X21" s="224"/>
      <c r="Y21" s="224"/>
      <c r="Z21" s="224"/>
    </row>
    <row r="22" ht="13.5" customHeight="1">
      <c r="A22" s="599">
        <v>18.0</v>
      </c>
      <c r="B22" s="600"/>
      <c r="C22" s="601"/>
      <c r="D22" s="600"/>
      <c r="E22" s="601"/>
      <c r="F22" s="602"/>
      <c r="G22" s="603"/>
      <c r="H22" s="602"/>
      <c r="I22" s="603"/>
      <c r="J22" s="604"/>
      <c r="K22" s="605"/>
      <c r="L22" s="606"/>
      <c r="M22" s="605"/>
      <c r="N22" s="606"/>
      <c r="O22" s="603"/>
      <c r="P22" s="602"/>
      <c r="Q22" s="603"/>
      <c r="R22" s="602"/>
      <c r="S22" s="603"/>
      <c r="T22" s="55"/>
      <c r="U22" s="224"/>
      <c r="V22" s="224"/>
      <c r="W22" s="224"/>
      <c r="X22" s="224"/>
      <c r="Y22" s="224"/>
      <c r="Z22" s="224"/>
    </row>
    <row r="23" ht="13.5" customHeight="1">
      <c r="A23" s="599">
        <v>19.0</v>
      </c>
      <c r="B23" s="600"/>
      <c r="C23" s="601"/>
      <c r="D23" s="600"/>
      <c r="E23" s="601"/>
      <c r="F23" s="602"/>
      <c r="G23" s="603"/>
      <c r="H23" s="602"/>
      <c r="I23" s="603"/>
      <c r="J23" s="604"/>
      <c r="K23" s="605"/>
      <c r="L23" s="606"/>
      <c r="M23" s="605"/>
      <c r="N23" s="606"/>
      <c r="O23" s="603"/>
      <c r="P23" s="602"/>
      <c r="Q23" s="603"/>
      <c r="R23" s="602"/>
      <c r="S23" s="603"/>
      <c r="T23" s="55"/>
      <c r="U23" s="224"/>
      <c r="V23" s="224"/>
      <c r="W23" s="224"/>
      <c r="X23" s="224"/>
      <c r="Y23" s="224"/>
      <c r="Z23" s="224"/>
    </row>
    <row r="24" ht="13.5" customHeight="1">
      <c r="A24" s="599">
        <v>20.0</v>
      </c>
      <c r="B24" s="600"/>
      <c r="C24" s="601"/>
      <c r="D24" s="600"/>
      <c r="E24" s="601"/>
      <c r="F24" s="602"/>
      <c r="G24" s="603"/>
      <c r="H24" s="602"/>
      <c r="I24" s="603"/>
      <c r="J24" s="604"/>
      <c r="K24" s="605"/>
      <c r="L24" s="606"/>
      <c r="M24" s="605"/>
      <c r="N24" s="606"/>
      <c r="O24" s="603"/>
      <c r="P24" s="602"/>
      <c r="Q24" s="603"/>
      <c r="R24" s="602"/>
      <c r="S24" s="603"/>
      <c r="T24" s="55"/>
      <c r="U24" s="224"/>
      <c r="V24" s="224"/>
      <c r="W24" s="224"/>
      <c r="X24" s="224"/>
      <c r="Y24" s="224"/>
      <c r="Z24" s="224"/>
    </row>
    <row r="25" ht="13.5" customHeight="1">
      <c r="A25" s="599">
        <v>21.0</v>
      </c>
      <c r="B25" s="600"/>
      <c r="C25" s="601"/>
      <c r="D25" s="600"/>
      <c r="E25" s="601"/>
      <c r="F25" s="602"/>
      <c r="G25" s="603"/>
      <c r="H25" s="602"/>
      <c r="I25" s="603"/>
      <c r="J25" s="604"/>
      <c r="K25" s="605"/>
      <c r="L25" s="606"/>
      <c r="M25" s="605"/>
      <c r="N25" s="606"/>
      <c r="O25" s="603"/>
      <c r="P25" s="602"/>
      <c r="Q25" s="603"/>
      <c r="R25" s="602"/>
      <c r="S25" s="603"/>
      <c r="T25" s="55"/>
      <c r="U25" s="224"/>
      <c r="V25" s="224"/>
      <c r="W25" s="224"/>
      <c r="X25" s="224"/>
      <c r="Y25" s="224"/>
      <c r="Z25" s="224"/>
    </row>
    <row r="26" ht="13.5" customHeight="1">
      <c r="A26" s="599">
        <v>22.0</v>
      </c>
      <c r="B26" s="600"/>
      <c r="C26" s="601"/>
      <c r="D26" s="600"/>
      <c r="E26" s="601"/>
      <c r="F26" s="602"/>
      <c r="G26" s="603"/>
      <c r="H26" s="602"/>
      <c r="I26" s="603"/>
      <c r="J26" s="604"/>
      <c r="K26" s="605"/>
      <c r="L26" s="606"/>
      <c r="M26" s="605"/>
      <c r="N26" s="606"/>
      <c r="O26" s="603"/>
      <c r="P26" s="602"/>
      <c r="Q26" s="603"/>
      <c r="R26" s="602"/>
      <c r="S26" s="603"/>
      <c r="T26" s="55"/>
      <c r="U26" s="224"/>
      <c r="V26" s="224"/>
      <c r="W26" s="224"/>
      <c r="X26" s="224"/>
      <c r="Y26" s="224"/>
      <c r="Z26" s="224"/>
    </row>
    <row r="27" ht="13.5" customHeight="1">
      <c r="A27" s="599">
        <v>23.0</v>
      </c>
      <c r="B27" s="600"/>
      <c r="C27" s="601"/>
      <c r="D27" s="600"/>
      <c r="E27" s="601"/>
      <c r="F27" s="602"/>
      <c r="G27" s="603"/>
      <c r="H27" s="602"/>
      <c r="I27" s="603"/>
      <c r="J27" s="604"/>
      <c r="K27" s="605"/>
      <c r="L27" s="606"/>
      <c r="M27" s="605"/>
      <c r="N27" s="606"/>
      <c r="O27" s="603"/>
      <c r="P27" s="602"/>
      <c r="Q27" s="603"/>
      <c r="R27" s="602"/>
      <c r="S27" s="603"/>
      <c r="T27" s="55"/>
      <c r="U27" s="224"/>
      <c r="V27" s="224"/>
      <c r="W27" s="224"/>
      <c r="X27" s="224"/>
      <c r="Y27" s="224"/>
      <c r="Z27" s="224"/>
    </row>
    <row r="28" ht="13.5" customHeight="1">
      <c r="A28" s="599">
        <v>24.0</v>
      </c>
      <c r="B28" s="600"/>
      <c r="C28" s="601"/>
      <c r="D28" s="600"/>
      <c r="E28" s="601"/>
      <c r="F28" s="602"/>
      <c r="G28" s="603"/>
      <c r="H28" s="602"/>
      <c r="I28" s="603"/>
      <c r="J28" s="604"/>
      <c r="K28" s="605"/>
      <c r="L28" s="606"/>
      <c r="M28" s="605"/>
      <c r="N28" s="606"/>
      <c r="O28" s="603"/>
      <c r="P28" s="602"/>
      <c r="Q28" s="603"/>
      <c r="R28" s="602"/>
      <c r="S28" s="603"/>
      <c r="T28" s="55"/>
      <c r="U28" s="224"/>
      <c r="V28" s="224"/>
      <c r="W28" s="224"/>
      <c r="X28" s="224"/>
      <c r="Y28" s="224"/>
      <c r="Z28" s="224"/>
    </row>
    <row r="29" ht="13.5" customHeight="1">
      <c r="A29" s="599">
        <v>25.0</v>
      </c>
      <c r="B29" s="600"/>
      <c r="C29" s="601"/>
      <c r="D29" s="600"/>
      <c r="E29" s="601"/>
      <c r="F29" s="602"/>
      <c r="G29" s="603"/>
      <c r="H29" s="602"/>
      <c r="I29" s="603"/>
      <c r="J29" s="604"/>
      <c r="K29" s="605"/>
      <c r="L29" s="606"/>
      <c r="M29" s="605"/>
      <c r="N29" s="606"/>
      <c r="O29" s="603"/>
      <c r="P29" s="602"/>
      <c r="Q29" s="603"/>
      <c r="R29" s="602"/>
      <c r="S29" s="603"/>
      <c r="T29" s="55"/>
      <c r="U29" s="224"/>
      <c r="V29" s="224"/>
      <c r="W29" s="224"/>
      <c r="X29" s="224"/>
      <c r="Y29" s="224"/>
      <c r="Z29" s="224"/>
    </row>
    <row r="30" ht="13.5" customHeight="1">
      <c r="A30" s="599">
        <v>26.0</v>
      </c>
      <c r="B30" s="600"/>
      <c r="C30" s="601"/>
      <c r="D30" s="600"/>
      <c r="E30" s="601"/>
      <c r="F30" s="602"/>
      <c r="G30" s="603"/>
      <c r="H30" s="602"/>
      <c r="I30" s="603"/>
      <c r="J30" s="604"/>
      <c r="K30" s="605"/>
      <c r="L30" s="606"/>
      <c r="M30" s="605"/>
      <c r="N30" s="606"/>
      <c r="O30" s="603"/>
      <c r="P30" s="602"/>
      <c r="Q30" s="603"/>
      <c r="R30" s="602"/>
      <c r="S30" s="603"/>
      <c r="T30" s="55"/>
      <c r="U30" s="224"/>
      <c r="V30" s="224"/>
      <c r="W30" s="224"/>
      <c r="X30" s="224"/>
      <c r="Y30" s="224"/>
      <c r="Z30" s="224"/>
    </row>
    <row r="31" ht="13.5" customHeight="1">
      <c r="A31" s="599">
        <v>27.0</v>
      </c>
      <c r="B31" s="600"/>
      <c r="C31" s="601"/>
      <c r="D31" s="600"/>
      <c r="E31" s="601"/>
      <c r="F31" s="602"/>
      <c r="G31" s="603"/>
      <c r="H31" s="602"/>
      <c r="I31" s="603"/>
      <c r="J31" s="604"/>
      <c r="K31" s="605"/>
      <c r="L31" s="606"/>
      <c r="M31" s="605"/>
      <c r="N31" s="606"/>
      <c r="O31" s="603"/>
      <c r="P31" s="602"/>
      <c r="Q31" s="603"/>
      <c r="R31" s="602"/>
      <c r="S31" s="603"/>
      <c r="T31" s="55"/>
      <c r="U31" s="224"/>
      <c r="V31" s="224"/>
      <c r="W31" s="224"/>
      <c r="X31" s="224"/>
      <c r="Y31" s="224"/>
      <c r="Z31" s="224"/>
    </row>
    <row r="32" ht="13.5" customHeight="1">
      <c r="A32" s="599">
        <v>28.0</v>
      </c>
      <c r="B32" s="600"/>
      <c r="C32" s="601"/>
      <c r="D32" s="600"/>
      <c r="E32" s="601"/>
      <c r="F32" s="602"/>
      <c r="G32" s="603"/>
      <c r="H32" s="602"/>
      <c r="I32" s="603"/>
      <c r="J32" s="604"/>
      <c r="K32" s="605"/>
      <c r="L32" s="606"/>
      <c r="M32" s="605"/>
      <c r="N32" s="606"/>
      <c r="O32" s="603"/>
      <c r="P32" s="602"/>
      <c r="Q32" s="603"/>
      <c r="R32" s="602"/>
      <c r="S32" s="603"/>
      <c r="T32" s="55"/>
      <c r="U32" s="224"/>
      <c r="V32" s="224"/>
      <c r="W32" s="224"/>
      <c r="X32" s="224"/>
      <c r="Y32" s="224"/>
      <c r="Z32" s="224"/>
    </row>
    <row r="33" ht="13.5" customHeight="1">
      <c r="A33" s="599">
        <v>29.0</v>
      </c>
      <c r="B33" s="600"/>
      <c r="C33" s="601"/>
      <c r="D33" s="600"/>
      <c r="E33" s="601"/>
      <c r="F33" s="602"/>
      <c r="G33" s="603"/>
      <c r="H33" s="602"/>
      <c r="I33" s="603"/>
      <c r="J33" s="604"/>
      <c r="K33" s="605"/>
      <c r="L33" s="606"/>
      <c r="M33" s="605"/>
      <c r="N33" s="606"/>
      <c r="O33" s="603"/>
      <c r="P33" s="602"/>
      <c r="Q33" s="603"/>
      <c r="R33" s="602"/>
      <c r="S33" s="603"/>
      <c r="T33" s="55"/>
      <c r="U33" s="224"/>
      <c r="V33" s="224"/>
      <c r="W33" s="224"/>
      <c r="X33" s="224"/>
      <c r="Y33" s="224"/>
      <c r="Z33" s="224"/>
    </row>
    <row r="34" ht="13.5" customHeight="1">
      <c r="A34" s="599">
        <v>30.0</v>
      </c>
      <c r="B34" s="600"/>
      <c r="C34" s="601"/>
      <c r="D34" s="600"/>
      <c r="E34" s="601"/>
      <c r="F34" s="602"/>
      <c r="G34" s="603"/>
      <c r="H34" s="602"/>
      <c r="I34" s="603"/>
      <c r="J34" s="604"/>
      <c r="K34" s="605"/>
      <c r="L34" s="606"/>
      <c r="M34" s="605"/>
      <c r="N34" s="606"/>
      <c r="O34" s="603"/>
      <c r="P34" s="602"/>
      <c r="Q34" s="603"/>
      <c r="R34" s="602"/>
      <c r="S34" s="603"/>
      <c r="T34" s="55"/>
      <c r="U34" s="224"/>
      <c r="V34" s="224"/>
      <c r="W34" s="224"/>
      <c r="X34" s="224"/>
      <c r="Y34" s="224"/>
      <c r="Z34" s="224"/>
    </row>
    <row r="35" ht="13.5" customHeight="1">
      <c r="A35" s="599">
        <v>31.0</v>
      </c>
      <c r="B35" s="600"/>
      <c r="C35" s="601"/>
      <c r="D35" s="600"/>
      <c r="E35" s="601"/>
      <c r="F35" s="602"/>
      <c r="G35" s="603"/>
      <c r="H35" s="602"/>
      <c r="I35" s="603"/>
      <c r="J35" s="604"/>
      <c r="K35" s="605"/>
      <c r="L35" s="606"/>
      <c r="M35" s="605"/>
      <c r="N35" s="606"/>
      <c r="O35" s="603"/>
      <c r="P35" s="602"/>
      <c r="Q35" s="603"/>
      <c r="R35" s="602"/>
      <c r="S35" s="603"/>
      <c r="T35" s="55"/>
      <c r="U35" s="224"/>
      <c r="V35" s="224"/>
      <c r="W35" s="224"/>
      <c r="X35" s="224"/>
      <c r="Y35" s="224"/>
      <c r="Z35" s="224"/>
    </row>
    <row r="36" ht="13.5" customHeight="1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</row>
    <row r="37" ht="13.5" customHeight="1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</row>
    <row r="38" ht="13.5" customHeight="1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</row>
    <row r="39" ht="13.5" customHeight="1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</row>
    <row r="40" ht="13.5" customHeight="1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</row>
    <row r="41" ht="13.5" customHeight="1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</row>
    <row r="42" ht="13.5" customHeight="1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</row>
    <row r="43" ht="13.5" customHeight="1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</row>
    <row r="44" ht="13.5" customHeight="1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</row>
    <row r="45" ht="13.5" customHeight="1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</row>
    <row r="46" ht="13.5" customHeight="1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</row>
    <row r="47" ht="13.5" customHeight="1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</row>
    <row r="48" ht="13.5" customHeight="1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</row>
    <row r="49" ht="13.5" customHeight="1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</row>
    <row r="50" ht="13.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</row>
    <row r="51" ht="13.5" customHeight="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</row>
    <row r="52" ht="13.5" customHeight="1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</row>
    <row r="53" ht="13.5" customHeight="1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</row>
    <row r="54" ht="13.5" customHeight="1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</row>
    <row r="55" ht="13.5" customHeight="1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</row>
    <row r="56" ht="13.5" customHeight="1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</row>
    <row r="57" ht="13.5" customHeight="1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</row>
    <row r="58" ht="13.5" customHeight="1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</row>
    <row r="59" ht="13.5" customHeight="1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224"/>
    </row>
    <row r="60" ht="13.5" customHeight="1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</row>
    <row r="61" ht="13.5" customHeight="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</row>
    <row r="62" ht="13.5" customHeight="1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</row>
    <row r="63" ht="13.5" customHeight="1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</row>
    <row r="64" ht="13.5" customHeight="1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4"/>
    </row>
    <row r="65" ht="13.5" customHeight="1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</row>
    <row r="66" ht="13.5" customHeight="1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4"/>
    </row>
    <row r="67" ht="13.5" customHeight="1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</row>
    <row r="68" ht="13.5" customHeight="1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</row>
    <row r="69" ht="13.5" customHeight="1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</row>
    <row r="70" ht="13.5" customHeight="1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</row>
    <row r="71" ht="13.5" customHeight="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</row>
    <row r="72" ht="13.5" customHeight="1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</row>
    <row r="73" ht="13.5" customHeight="1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</row>
    <row r="74" ht="13.5" customHeight="1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</row>
    <row r="75" ht="13.5" customHeight="1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</row>
    <row r="76" ht="13.5" customHeight="1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</row>
    <row r="77" ht="13.5" customHeight="1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</row>
    <row r="78" ht="13.5" customHeight="1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</row>
    <row r="79" ht="13.5" customHeight="1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</row>
    <row r="80" ht="13.5" customHeight="1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</row>
    <row r="81" ht="13.5" customHeight="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</row>
    <row r="82" ht="13.5" customHeight="1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</row>
    <row r="83" ht="13.5" customHeight="1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</row>
    <row r="84" ht="13.5" customHeight="1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</row>
    <row r="85" ht="13.5" customHeight="1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</row>
    <row r="86" ht="13.5" customHeight="1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</row>
    <row r="87" ht="13.5" customHeight="1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</row>
    <row r="88" ht="13.5" customHeight="1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</row>
    <row r="89" ht="13.5" customHeight="1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</row>
    <row r="90" ht="13.5" customHeight="1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</row>
    <row r="91" ht="13.5" customHeight="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</row>
    <row r="92" ht="13.5" customHeight="1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</row>
    <row r="93" ht="13.5" customHeight="1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</row>
    <row r="94" ht="13.5" customHeight="1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</row>
    <row r="95" ht="13.5" customHeight="1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</row>
    <row r="96" ht="13.5" customHeight="1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</row>
    <row r="97" ht="13.5" customHeight="1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</row>
    <row r="98" ht="13.5" customHeight="1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</row>
    <row r="99" ht="13.5" customHeight="1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</row>
    <row r="100" ht="13.5" customHeight="1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</row>
    <row r="101" ht="13.5" customHeight="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</row>
    <row r="102" ht="13.5" customHeight="1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</row>
    <row r="103" ht="13.5" customHeight="1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</row>
    <row r="104" ht="13.5" customHeight="1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</row>
    <row r="105" ht="13.5" customHeight="1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</row>
    <row r="106" ht="13.5" customHeight="1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</row>
    <row r="107" ht="13.5" customHeight="1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</row>
    <row r="108" ht="13.5" customHeight="1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</row>
    <row r="109" ht="13.5" customHeight="1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</row>
    <row r="110" ht="13.5" customHeight="1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</row>
    <row r="111" ht="13.5" customHeight="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</row>
    <row r="112" ht="13.5" customHeight="1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</row>
    <row r="113" ht="13.5" customHeight="1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</row>
    <row r="114" ht="13.5" customHeight="1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</row>
    <row r="115" ht="13.5" customHeight="1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</row>
    <row r="116" ht="13.5" customHeight="1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</row>
    <row r="117" ht="13.5" customHeight="1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</row>
    <row r="118" ht="13.5" customHeight="1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</row>
    <row r="119" ht="13.5" customHeight="1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</row>
    <row r="120" ht="13.5" customHeight="1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</row>
    <row r="121" ht="13.5" customHeight="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</row>
    <row r="122" ht="13.5" customHeight="1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</row>
    <row r="123" ht="13.5" customHeight="1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</row>
    <row r="124" ht="13.5" customHeight="1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</row>
    <row r="125" ht="13.5" customHeight="1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</row>
    <row r="126" ht="13.5" customHeight="1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</row>
    <row r="127" ht="13.5" customHeight="1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</row>
    <row r="128" ht="13.5" customHeight="1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</row>
    <row r="129" ht="13.5" customHeight="1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</row>
    <row r="130" ht="13.5" customHeight="1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</row>
    <row r="131" ht="13.5" customHeight="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</row>
    <row r="132" ht="13.5" customHeight="1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</row>
    <row r="133" ht="13.5" customHeight="1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</row>
    <row r="134" ht="13.5" customHeight="1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</row>
    <row r="135" ht="13.5" customHeight="1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</row>
    <row r="136" ht="13.5" customHeight="1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</row>
    <row r="137" ht="13.5" customHeight="1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</row>
    <row r="138" ht="13.5" customHeight="1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</row>
    <row r="139" ht="13.5" customHeight="1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</row>
    <row r="140" ht="13.5" customHeight="1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</row>
    <row r="141" ht="13.5" customHeight="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</row>
    <row r="142" ht="13.5" customHeight="1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</row>
    <row r="143" ht="13.5" customHeight="1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</row>
    <row r="144" ht="13.5" customHeight="1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</row>
    <row r="145" ht="13.5" customHeight="1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</row>
    <row r="146" ht="13.5" customHeight="1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</row>
    <row r="147" ht="13.5" customHeight="1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</row>
    <row r="148" ht="13.5" customHeight="1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</row>
    <row r="149" ht="13.5" customHeight="1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</row>
    <row r="150" ht="13.5" customHeight="1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</row>
    <row r="151" ht="13.5" customHeight="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</row>
    <row r="152" ht="13.5" customHeight="1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</row>
    <row r="153" ht="13.5" customHeight="1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</row>
    <row r="154" ht="13.5" customHeight="1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</row>
    <row r="155" ht="13.5" customHeight="1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</row>
    <row r="156" ht="13.5" customHeight="1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</row>
    <row r="157" ht="13.5" customHeight="1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</row>
    <row r="158" ht="13.5" customHeight="1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</row>
    <row r="159" ht="13.5" customHeight="1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</row>
    <row r="160" ht="13.5" customHeight="1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</row>
    <row r="161" ht="13.5" customHeight="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</row>
    <row r="162" ht="13.5" customHeight="1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</row>
    <row r="163" ht="13.5" customHeight="1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</row>
    <row r="164" ht="13.5" customHeight="1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</row>
    <row r="165" ht="13.5" customHeight="1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</row>
    <row r="166" ht="13.5" customHeight="1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</row>
    <row r="167" ht="13.5" customHeight="1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</row>
    <row r="168" ht="13.5" customHeight="1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</row>
    <row r="169" ht="13.5" customHeight="1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</row>
    <row r="170" ht="13.5" customHeight="1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</row>
    <row r="171" ht="13.5" customHeight="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</row>
    <row r="172" ht="13.5" customHeight="1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</row>
    <row r="173" ht="13.5" customHeight="1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</row>
    <row r="174" ht="13.5" customHeight="1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</row>
    <row r="175" ht="13.5" customHeight="1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</row>
    <row r="176" ht="13.5" customHeight="1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</row>
    <row r="177" ht="13.5" customHeight="1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</row>
    <row r="178" ht="13.5" customHeight="1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</row>
    <row r="179" ht="13.5" customHeight="1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</row>
    <row r="180" ht="13.5" customHeight="1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</row>
    <row r="181" ht="13.5" customHeight="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</row>
    <row r="182" ht="13.5" customHeight="1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</row>
    <row r="183" ht="13.5" customHeight="1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</row>
    <row r="184" ht="13.5" customHeight="1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</row>
    <row r="185" ht="13.5" customHeight="1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</row>
    <row r="186" ht="13.5" customHeight="1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</row>
    <row r="187" ht="13.5" customHeight="1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</row>
    <row r="188" ht="13.5" customHeight="1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</row>
    <row r="189" ht="13.5" customHeight="1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</row>
    <row r="190" ht="13.5" customHeight="1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</row>
    <row r="191" ht="13.5" customHeight="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</row>
    <row r="192" ht="13.5" customHeight="1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</row>
    <row r="193" ht="13.5" customHeight="1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</row>
    <row r="194" ht="13.5" customHeight="1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</row>
    <row r="195" ht="13.5" customHeight="1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</row>
    <row r="196" ht="13.5" customHeight="1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</row>
    <row r="197" ht="13.5" customHeight="1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</row>
    <row r="198" ht="13.5" customHeight="1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</row>
    <row r="199" ht="13.5" customHeight="1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</row>
    <row r="200" ht="13.5" customHeight="1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</row>
    <row r="201" ht="13.5" customHeight="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</row>
    <row r="202" ht="13.5" customHeight="1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</row>
    <row r="203" ht="13.5" customHeight="1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</row>
    <row r="204" ht="13.5" customHeight="1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</row>
    <row r="205" ht="13.5" customHeight="1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</row>
    <row r="206" ht="13.5" customHeight="1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</row>
    <row r="207" ht="13.5" customHeight="1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</row>
    <row r="208" ht="13.5" customHeight="1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</row>
    <row r="209" ht="13.5" customHeight="1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</row>
    <row r="210" ht="13.5" customHeight="1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</row>
    <row r="211" ht="13.5" customHeight="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</row>
    <row r="212" ht="13.5" customHeight="1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</row>
    <row r="213" ht="13.5" customHeight="1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</row>
    <row r="214" ht="13.5" customHeight="1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</row>
    <row r="215" ht="13.5" customHeight="1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</row>
    <row r="216" ht="13.5" customHeight="1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</row>
    <row r="217" ht="13.5" customHeight="1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</row>
    <row r="218" ht="13.5" customHeight="1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</row>
    <row r="219" ht="13.5" customHeight="1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</row>
    <row r="220" ht="13.5" customHeight="1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</row>
    <row r="221" ht="13.5" customHeight="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</row>
    <row r="222" ht="13.5" customHeight="1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</row>
    <row r="223" ht="13.5" customHeight="1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</row>
    <row r="224" ht="13.5" customHeight="1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</row>
    <row r="225" ht="13.5" customHeight="1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</row>
    <row r="226" ht="13.5" customHeight="1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</row>
    <row r="227" ht="13.5" customHeight="1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</row>
    <row r="228" ht="13.5" customHeight="1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</row>
    <row r="229" ht="13.5" customHeight="1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</row>
    <row r="230" ht="13.5" customHeight="1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</row>
    <row r="231" ht="13.5" customHeight="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</row>
    <row r="232" ht="13.5" customHeight="1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</row>
    <row r="233" ht="13.5" customHeight="1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</row>
    <row r="234" ht="13.5" customHeight="1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</row>
    <row r="235" ht="13.5" customHeight="1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</row>
    <row r="236" ht="13.5" customHeight="1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</row>
    <row r="237" ht="13.5" customHeight="1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</row>
    <row r="238" ht="13.5" customHeight="1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</row>
    <row r="239" ht="13.5" customHeight="1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</row>
    <row r="240" ht="13.5" customHeight="1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</row>
    <row r="241" ht="13.5" customHeight="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</row>
    <row r="242" ht="13.5" customHeight="1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</row>
    <row r="243" ht="13.5" customHeight="1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</row>
    <row r="244" ht="13.5" customHeight="1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</row>
    <row r="245" ht="13.5" customHeight="1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</row>
    <row r="246" ht="13.5" customHeight="1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</row>
    <row r="247" ht="13.5" customHeight="1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</row>
    <row r="248" ht="13.5" customHeight="1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</row>
    <row r="249" ht="13.5" customHeight="1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</row>
    <row r="250" ht="13.5" customHeight="1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</row>
    <row r="251" ht="13.5" customHeight="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</row>
    <row r="252" ht="13.5" customHeight="1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</row>
    <row r="253" ht="13.5" customHeight="1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</row>
    <row r="254" ht="13.5" customHeight="1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</row>
    <row r="255" ht="13.5" customHeight="1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</row>
    <row r="256" ht="13.5" customHeight="1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</row>
    <row r="257" ht="13.5" customHeight="1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</row>
    <row r="258" ht="13.5" customHeight="1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</row>
    <row r="259" ht="13.5" customHeight="1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</row>
    <row r="260" ht="13.5" customHeight="1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</row>
    <row r="261" ht="13.5" customHeight="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</row>
    <row r="262" ht="13.5" customHeight="1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</row>
    <row r="263" ht="13.5" customHeight="1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</row>
    <row r="264" ht="13.5" customHeight="1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</row>
    <row r="265" ht="13.5" customHeight="1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</row>
    <row r="266" ht="13.5" customHeight="1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</row>
    <row r="267" ht="13.5" customHeight="1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</row>
    <row r="268" ht="13.5" customHeight="1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</row>
    <row r="269" ht="13.5" customHeight="1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</row>
    <row r="270" ht="13.5" customHeight="1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</row>
    <row r="271" ht="13.5" customHeight="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</row>
    <row r="272" ht="13.5" customHeight="1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</row>
    <row r="273" ht="13.5" customHeight="1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</row>
    <row r="274" ht="13.5" customHeight="1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</row>
    <row r="275" ht="13.5" customHeight="1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</row>
    <row r="276" ht="13.5" customHeight="1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</row>
    <row r="277" ht="13.5" customHeight="1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</row>
    <row r="278" ht="13.5" customHeight="1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</row>
    <row r="279" ht="13.5" customHeight="1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</row>
    <row r="280" ht="13.5" customHeight="1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</row>
    <row r="281" ht="13.5" customHeight="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</row>
    <row r="282" ht="13.5" customHeight="1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</row>
    <row r="283" ht="13.5" customHeight="1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</row>
    <row r="284" ht="13.5" customHeight="1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</row>
    <row r="285" ht="13.5" customHeight="1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</row>
    <row r="286" ht="13.5" customHeight="1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</row>
    <row r="287" ht="13.5" customHeight="1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</row>
    <row r="288" ht="13.5" customHeight="1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</row>
    <row r="289" ht="13.5" customHeight="1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</row>
    <row r="290" ht="13.5" customHeight="1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</row>
    <row r="291" ht="13.5" customHeight="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</row>
    <row r="292" ht="13.5" customHeight="1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</row>
    <row r="293" ht="13.5" customHeight="1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</row>
    <row r="294" ht="13.5" customHeight="1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</row>
    <row r="295" ht="13.5" customHeight="1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</row>
    <row r="296" ht="13.5" customHeight="1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</row>
    <row r="297" ht="13.5" customHeight="1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</row>
    <row r="298" ht="13.5" customHeight="1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</row>
    <row r="299" ht="13.5" customHeight="1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</row>
    <row r="300" ht="13.5" customHeight="1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</row>
    <row r="301" ht="13.5" customHeight="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</row>
    <row r="302" ht="13.5" customHeight="1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</row>
    <row r="303" ht="13.5" customHeight="1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</row>
    <row r="304" ht="13.5" customHeight="1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13.5" customHeight="1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13.5" customHeight="1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13.5" customHeight="1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13.5" customHeight="1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13.5" customHeight="1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ht="13.5" customHeight="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ht="13.5" customHeight="1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ht="13.5" customHeight="1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ht="13.5" customHeight="1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</row>
    <row r="315" ht="13.5" customHeight="1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</row>
    <row r="316" ht="13.5" customHeight="1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</row>
    <row r="317" ht="13.5" customHeight="1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</row>
    <row r="318" ht="13.5" customHeight="1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</row>
    <row r="319" ht="13.5" customHeight="1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</row>
    <row r="320" ht="13.5" customHeight="1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</row>
    <row r="321" ht="13.5" customHeight="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</row>
    <row r="322" ht="13.5" customHeight="1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</row>
    <row r="323" ht="13.5" customHeight="1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</row>
    <row r="324" ht="13.5" customHeight="1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</row>
    <row r="325" ht="13.5" customHeight="1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</row>
    <row r="326" ht="13.5" customHeight="1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</row>
    <row r="327" ht="13.5" customHeight="1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</row>
    <row r="328" ht="13.5" customHeight="1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</row>
    <row r="329" ht="13.5" customHeight="1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</row>
    <row r="330" ht="13.5" customHeight="1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</row>
    <row r="331" ht="13.5" customHeight="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</row>
    <row r="332" ht="13.5" customHeight="1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</row>
    <row r="333" ht="13.5" customHeight="1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</row>
    <row r="334" ht="13.5" customHeight="1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</row>
    <row r="335" ht="13.5" customHeight="1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</row>
    <row r="336" ht="13.5" customHeight="1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</row>
    <row r="337" ht="13.5" customHeight="1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</row>
    <row r="338" ht="13.5" customHeight="1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</row>
    <row r="339" ht="13.5" customHeight="1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</row>
    <row r="340" ht="13.5" customHeight="1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</row>
    <row r="341" ht="13.5" customHeight="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</row>
    <row r="342" ht="13.5" customHeight="1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</row>
    <row r="343" ht="13.5" customHeight="1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</row>
    <row r="344" ht="13.5" customHeight="1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</row>
    <row r="345" ht="13.5" customHeight="1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</row>
    <row r="346" ht="13.5" customHeight="1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</row>
    <row r="347" ht="13.5" customHeight="1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</row>
    <row r="348" ht="13.5" customHeight="1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</row>
    <row r="349" ht="13.5" customHeight="1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</row>
    <row r="350" ht="13.5" customHeight="1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</row>
    <row r="351" ht="13.5" customHeight="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</row>
    <row r="352" ht="13.5" customHeight="1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</row>
    <row r="353" ht="13.5" customHeight="1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</row>
    <row r="354" ht="13.5" customHeight="1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</row>
    <row r="355" ht="13.5" customHeight="1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</row>
    <row r="356" ht="13.5" customHeight="1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</row>
    <row r="357" ht="13.5" customHeight="1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</row>
    <row r="358" ht="13.5" customHeight="1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</row>
    <row r="359" ht="13.5" customHeight="1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</row>
    <row r="360" ht="13.5" customHeight="1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</row>
    <row r="361" ht="13.5" customHeight="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</row>
    <row r="362" ht="13.5" customHeight="1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</row>
    <row r="363" ht="13.5" customHeight="1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</row>
    <row r="364" ht="13.5" customHeight="1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</row>
    <row r="365" ht="13.5" customHeight="1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</row>
    <row r="366" ht="13.5" customHeight="1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</row>
    <row r="367" ht="13.5" customHeight="1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</row>
    <row r="368" ht="13.5" customHeight="1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</row>
    <row r="369" ht="13.5" customHeight="1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</row>
    <row r="370" ht="13.5" customHeight="1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</row>
    <row r="371" ht="13.5" customHeight="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</row>
    <row r="372" ht="13.5" customHeight="1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</row>
    <row r="373" ht="13.5" customHeight="1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</row>
    <row r="374" ht="13.5" customHeight="1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</row>
    <row r="375" ht="13.5" customHeight="1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</row>
    <row r="376" ht="13.5" customHeight="1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</row>
    <row r="377" ht="13.5" customHeight="1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</row>
    <row r="378" ht="13.5" customHeight="1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</row>
    <row r="379" ht="13.5" customHeight="1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</row>
    <row r="380" ht="13.5" customHeight="1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</row>
    <row r="381" ht="13.5" customHeight="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</row>
    <row r="382" ht="13.5" customHeight="1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</row>
    <row r="383" ht="13.5" customHeight="1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</row>
    <row r="384" ht="13.5" customHeight="1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</row>
    <row r="385" ht="13.5" customHeight="1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</row>
    <row r="386" ht="13.5" customHeight="1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</row>
    <row r="387" ht="13.5" customHeight="1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</row>
    <row r="388" ht="13.5" customHeight="1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</row>
    <row r="389" ht="13.5" customHeight="1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</row>
    <row r="390" ht="13.5" customHeight="1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</row>
    <row r="391" ht="13.5" customHeight="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</row>
    <row r="392" ht="13.5" customHeight="1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</row>
    <row r="393" ht="13.5" customHeight="1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</row>
    <row r="394" ht="13.5" customHeight="1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</row>
    <row r="395" ht="13.5" customHeight="1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</row>
    <row r="396" ht="13.5" customHeight="1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</row>
    <row r="397" ht="13.5" customHeight="1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</row>
    <row r="398" ht="13.5" customHeight="1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</row>
    <row r="399" ht="13.5" customHeight="1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</row>
    <row r="400" ht="13.5" customHeight="1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</row>
    <row r="401" ht="13.5" customHeight="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</row>
    <row r="402" ht="13.5" customHeight="1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</row>
    <row r="403" ht="13.5" customHeight="1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</row>
    <row r="404" ht="13.5" customHeight="1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</row>
    <row r="405" ht="13.5" customHeight="1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</row>
    <row r="406" ht="13.5" customHeight="1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</row>
    <row r="407" ht="13.5" customHeight="1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</row>
    <row r="408" ht="13.5" customHeight="1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</row>
    <row r="409" ht="13.5" customHeight="1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</row>
    <row r="410" ht="13.5" customHeight="1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</row>
    <row r="411" ht="13.5" customHeight="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</row>
    <row r="412" ht="13.5" customHeight="1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</row>
    <row r="413" ht="13.5" customHeight="1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</row>
    <row r="414" ht="13.5" customHeight="1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</row>
    <row r="415" ht="13.5" customHeight="1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</row>
    <row r="416" ht="13.5" customHeight="1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</row>
    <row r="417" ht="13.5" customHeight="1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</row>
    <row r="418" ht="13.5" customHeight="1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</row>
    <row r="419" ht="13.5" customHeight="1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</row>
    <row r="420" ht="13.5" customHeight="1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</row>
    <row r="421" ht="13.5" customHeight="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</row>
    <row r="422" ht="13.5" customHeight="1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</row>
    <row r="423" ht="13.5" customHeight="1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</row>
    <row r="424" ht="13.5" customHeight="1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</row>
    <row r="425" ht="13.5" customHeight="1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</row>
    <row r="426" ht="13.5" customHeight="1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</row>
    <row r="427" ht="13.5" customHeight="1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</row>
    <row r="428" ht="13.5" customHeight="1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</row>
    <row r="429" ht="13.5" customHeight="1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</row>
    <row r="430" ht="13.5" customHeight="1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</row>
    <row r="431" ht="13.5" customHeight="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</row>
    <row r="432" ht="13.5" customHeight="1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</row>
    <row r="433" ht="13.5" customHeight="1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</row>
    <row r="434" ht="13.5" customHeight="1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</row>
    <row r="435" ht="13.5" customHeight="1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</row>
    <row r="436" ht="13.5" customHeight="1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</row>
    <row r="437" ht="13.5" customHeight="1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</row>
    <row r="438" ht="13.5" customHeight="1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</row>
    <row r="439" ht="13.5" customHeight="1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</row>
    <row r="440" ht="13.5" customHeight="1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</row>
    <row r="441" ht="13.5" customHeight="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</row>
    <row r="442" ht="13.5" customHeight="1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</row>
    <row r="443" ht="13.5" customHeight="1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</row>
    <row r="444" ht="13.5" customHeight="1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</row>
    <row r="445" ht="13.5" customHeight="1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</row>
    <row r="446" ht="13.5" customHeight="1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</row>
    <row r="447" ht="13.5" customHeight="1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</row>
    <row r="448" ht="13.5" customHeight="1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</row>
    <row r="449" ht="13.5" customHeight="1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</row>
    <row r="450" ht="13.5" customHeight="1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</row>
    <row r="451" ht="13.5" customHeight="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</row>
    <row r="452" ht="13.5" customHeight="1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</row>
    <row r="453" ht="13.5" customHeight="1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</row>
    <row r="454" ht="13.5" customHeight="1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</row>
    <row r="455" ht="13.5" customHeight="1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</row>
    <row r="456" ht="13.5" customHeight="1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</row>
    <row r="457" ht="13.5" customHeight="1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</row>
    <row r="458" ht="13.5" customHeight="1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</row>
    <row r="459" ht="13.5" customHeight="1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</row>
    <row r="460" ht="13.5" customHeight="1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</row>
    <row r="461" ht="13.5" customHeight="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</row>
    <row r="462" ht="13.5" customHeight="1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</row>
    <row r="463" ht="13.5" customHeight="1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</row>
    <row r="464" ht="13.5" customHeight="1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</row>
    <row r="465" ht="13.5" customHeight="1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</row>
    <row r="466" ht="13.5" customHeight="1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</row>
    <row r="467" ht="13.5" customHeight="1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</row>
    <row r="468" ht="13.5" customHeight="1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</row>
    <row r="469" ht="13.5" customHeight="1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</row>
    <row r="470" ht="13.5" customHeight="1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</row>
    <row r="471" ht="13.5" customHeight="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</row>
    <row r="472" ht="13.5" customHeight="1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</row>
    <row r="473" ht="13.5" customHeight="1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</row>
    <row r="474" ht="13.5" customHeight="1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</row>
    <row r="475" ht="13.5" customHeight="1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</row>
    <row r="476" ht="13.5" customHeight="1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</row>
    <row r="477" ht="13.5" customHeight="1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</row>
    <row r="478" ht="13.5" customHeight="1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</row>
    <row r="479" ht="13.5" customHeight="1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</row>
    <row r="480" ht="13.5" customHeight="1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</row>
    <row r="481" ht="13.5" customHeight="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</row>
    <row r="482" ht="13.5" customHeight="1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</row>
    <row r="483" ht="13.5" customHeight="1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</row>
    <row r="484" ht="13.5" customHeight="1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</row>
    <row r="485" ht="13.5" customHeight="1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</row>
    <row r="486" ht="13.5" customHeight="1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</row>
    <row r="487" ht="13.5" customHeight="1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</row>
    <row r="488" ht="13.5" customHeight="1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</row>
    <row r="489" ht="13.5" customHeight="1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</row>
    <row r="490" ht="13.5" customHeight="1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</row>
    <row r="491" ht="13.5" customHeight="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</row>
    <row r="492" ht="13.5" customHeight="1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</row>
    <row r="493" ht="13.5" customHeight="1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</row>
    <row r="494" ht="13.5" customHeight="1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</row>
    <row r="495" ht="13.5" customHeight="1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</row>
    <row r="496" ht="13.5" customHeight="1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</row>
    <row r="497" ht="13.5" customHeight="1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</row>
    <row r="498" ht="13.5" customHeight="1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</row>
    <row r="499" ht="13.5" customHeight="1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</row>
    <row r="500" ht="13.5" customHeight="1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</row>
    <row r="501" ht="13.5" customHeight="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</row>
    <row r="502" ht="13.5" customHeight="1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</row>
    <row r="503" ht="13.5" customHeight="1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</row>
    <row r="504" ht="13.5" customHeight="1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</row>
    <row r="505" ht="13.5" customHeight="1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</row>
    <row r="506" ht="13.5" customHeight="1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</row>
    <row r="507" ht="13.5" customHeight="1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</row>
    <row r="508" ht="13.5" customHeight="1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</row>
    <row r="509" ht="13.5" customHeight="1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</row>
    <row r="510" ht="13.5" customHeight="1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</row>
    <row r="511" ht="13.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</row>
    <row r="512" ht="13.5" customHeight="1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</row>
    <row r="513" ht="13.5" customHeight="1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</row>
    <row r="514" ht="13.5" customHeight="1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</row>
    <row r="515" ht="13.5" customHeight="1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</row>
    <row r="516" ht="13.5" customHeight="1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</row>
    <row r="517" ht="13.5" customHeight="1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</row>
    <row r="518" ht="13.5" customHeight="1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</row>
    <row r="519" ht="13.5" customHeight="1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</row>
    <row r="520" ht="13.5" customHeight="1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</row>
    <row r="521" ht="13.5" customHeight="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</row>
    <row r="522" ht="13.5" customHeight="1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</row>
    <row r="523" ht="13.5" customHeight="1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</row>
    <row r="524" ht="13.5" customHeight="1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</row>
    <row r="525" ht="13.5" customHeight="1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</row>
    <row r="526" ht="13.5" customHeight="1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</row>
    <row r="527" ht="13.5" customHeight="1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</row>
    <row r="528" ht="13.5" customHeight="1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</row>
    <row r="529" ht="13.5" customHeight="1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</row>
    <row r="530" ht="13.5" customHeight="1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</row>
    <row r="531" ht="13.5" customHeight="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</row>
    <row r="532" ht="13.5" customHeight="1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</row>
    <row r="533" ht="13.5" customHeight="1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</row>
    <row r="534" ht="13.5" customHeight="1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</row>
    <row r="535" ht="13.5" customHeight="1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</row>
    <row r="536" ht="13.5" customHeight="1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</row>
    <row r="537" ht="13.5" customHeight="1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</row>
    <row r="538" ht="13.5" customHeight="1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</row>
    <row r="539" ht="13.5" customHeight="1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</row>
    <row r="540" ht="13.5" customHeight="1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</row>
    <row r="541" ht="13.5" customHeight="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</row>
    <row r="542" ht="13.5" customHeight="1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</row>
    <row r="543" ht="13.5" customHeight="1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</row>
    <row r="544" ht="13.5" customHeight="1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</row>
    <row r="545" ht="13.5" customHeight="1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</row>
    <row r="546" ht="13.5" customHeight="1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</row>
    <row r="547" ht="13.5" customHeight="1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</row>
    <row r="548" ht="13.5" customHeight="1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</row>
    <row r="549" ht="13.5" customHeight="1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</row>
    <row r="550" ht="13.5" customHeight="1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</row>
    <row r="551" ht="13.5" customHeight="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</row>
    <row r="552" ht="13.5" customHeight="1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</row>
    <row r="553" ht="13.5" customHeight="1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</row>
    <row r="554" ht="13.5" customHeight="1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</row>
    <row r="555" ht="13.5" customHeight="1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</row>
    <row r="556" ht="13.5" customHeight="1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</row>
    <row r="557" ht="13.5" customHeight="1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</row>
    <row r="558" ht="13.5" customHeight="1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</row>
    <row r="559" ht="13.5" customHeight="1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</row>
    <row r="560" ht="13.5" customHeight="1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</row>
    <row r="561" ht="13.5" customHeight="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</row>
    <row r="562" ht="13.5" customHeight="1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</row>
    <row r="563" ht="13.5" customHeight="1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</row>
    <row r="564" ht="13.5" customHeight="1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</row>
    <row r="565" ht="13.5" customHeight="1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</row>
    <row r="566" ht="13.5" customHeight="1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</row>
    <row r="567" ht="13.5" customHeight="1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</row>
    <row r="568" ht="13.5" customHeight="1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</row>
    <row r="569" ht="13.5" customHeight="1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</row>
    <row r="570" ht="13.5" customHeight="1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</row>
    <row r="571" ht="13.5" customHeight="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</row>
    <row r="572" ht="13.5" customHeight="1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</row>
    <row r="573" ht="13.5" customHeight="1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</row>
    <row r="574" ht="13.5" customHeight="1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</row>
    <row r="575" ht="13.5" customHeight="1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</row>
    <row r="576" ht="13.5" customHeight="1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</row>
    <row r="577" ht="13.5" customHeight="1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</row>
    <row r="578" ht="13.5" customHeight="1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</row>
    <row r="579" ht="13.5" customHeight="1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</row>
    <row r="580" ht="13.5" customHeight="1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</row>
    <row r="581" ht="13.5" customHeight="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</row>
    <row r="582" ht="13.5" customHeight="1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</row>
    <row r="583" ht="13.5" customHeight="1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</row>
    <row r="584" ht="13.5" customHeight="1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</row>
    <row r="585" ht="13.5" customHeight="1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</row>
    <row r="586" ht="13.5" customHeight="1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</row>
    <row r="587" ht="13.5" customHeight="1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</row>
    <row r="588" ht="13.5" customHeight="1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</row>
    <row r="589" ht="13.5" customHeight="1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</row>
    <row r="590" ht="13.5" customHeight="1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</row>
    <row r="591" ht="13.5" customHeight="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</row>
    <row r="592" ht="13.5" customHeight="1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</row>
    <row r="593" ht="13.5" customHeight="1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</row>
    <row r="594" ht="13.5" customHeight="1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</row>
    <row r="595" ht="13.5" customHeight="1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</row>
    <row r="596" ht="13.5" customHeight="1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</row>
    <row r="597" ht="13.5" customHeight="1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</row>
    <row r="598" ht="13.5" customHeight="1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</row>
    <row r="599" ht="13.5" customHeight="1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</row>
    <row r="600" ht="13.5" customHeight="1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</row>
    <row r="601" ht="13.5" customHeight="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</row>
    <row r="602" ht="13.5" customHeight="1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</row>
    <row r="603" ht="13.5" customHeight="1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</row>
    <row r="604" ht="13.5" customHeight="1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</row>
    <row r="605" ht="13.5" customHeight="1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</row>
    <row r="606" ht="13.5" customHeight="1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</row>
    <row r="607" ht="13.5" customHeight="1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</row>
    <row r="608" ht="13.5" customHeight="1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</row>
    <row r="609" ht="13.5" customHeight="1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</row>
    <row r="610" ht="13.5" customHeight="1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</row>
    <row r="611" ht="13.5" customHeight="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</row>
    <row r="612" ht="13.5" customHeight="1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</row>
    <row r="613" ht="13.5" customHeight="1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</row>
    <row r="614" ht="13.5" customHeight="1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</row>
    <row r="615" ht="13.5" customHeight="1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</row>
    <row r="616" ht="13.5" customHeight="1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</row>
    <row r="617" ht="13.5" customHeight="1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</row>
    <row r="618" ht="13.5" customHeight="1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</row>
    <row r="619" ht="13.5" customHeight="1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</row>
    <row r="620" ht="13.5" customHeight="1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</row>
    <row r="621" ht="13.5" customHeight="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</row>
    <row r="622" ht="13.5" customHeight="1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</row>
    <row r="623" ht="13.5" customHeight="1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</row>
    <row r="624" ht="13.5" customHeight="1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</row>
    <row r="625" ht="13.5" customHeight="1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</row>
    <row r="626" ht="13.5" customHeight="1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</row>
    <row r="627" ht="13.5" customHeight="1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</row>
    <row r="628" ht="13.5" customHeight="1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</row>
    <row r="629" ht="13.5" customHeight="1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</row>
    <row r="630" ht="13.5" customHeight="1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</row>
    <row r="631" ht="13.5" customHeight="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</row>
    <row r="632" ht="13.5" customHeight="1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</row>
    <row r="633" ht="13.5" customHeight="1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</row>
    <row r="634" ht="13.5" customHeight="1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</row>
    <row r="635" ht="13.5" customHeight="1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</row>
    <row r="636" ht="13.5" customHeight="1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</row>
    <row r="637" ht="13.5" customHeight="1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</row>
    <row r="638" ht="13.5" customHeight="1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</row>
    <row r="639" ht="13.5" customHeight="1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</row>
    <row r="640" ht="13.5" customHeight="1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</row>
    <row r="641" ht="13.5" customHeight="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</row>
    <row r="642" ht="13.5" customHeight="1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</row>
    <row r="643" ht="13.5" customHeight="1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</row>
    <row r="644" ht="13.5" customHeight="1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</row>
    <row r="645" ht="13.5" customHeight="1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</row>
    <row r="646" ht="13.5" customHeight="1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</row>
    <row r="647" ht="13.5" customHeight="1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</row>
    <row r="648" ht="13.5" customHeight="1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</row>
    <row r="649" ht="13.5" customHeight="1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</row>
    <row r="650" ht="13.5" customHeight="1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</row>
    <row r="651" ht="13.5" customHeight="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</row>
    <row r="652" ht="13.5" customHeight="1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</row>
    <row r="653" ht="13.5" customHeight="1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</row>
    <row r="654" ht="13.5" customHeight="1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</row>
    <row r="655" ht="13.5" customHeight="1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</row>
    <row r="656" ht="13.5" customHeight="1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</row>
    <row r="657" ht="13.5" customHeight="1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</row>
    <row r="658" ht="13.5" customHeight="1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</row>
    <row r="659" ht="13.5" customHeight="1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</row>
    <row r="660" ht="13.5" customHeight="1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</row>
    <row r="661" ht="13.5" customHeight="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</row>
    <row r="662" ht="13.5" customHeight="1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</row>
    <row r="663" ht="13.5" customHeight="1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</row>
    <row r="664" ht="13.5" customHeight="1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</row>
    <row r="665" ht="13.5" customHeight="1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</row>
    <row r="666" ht="13.5" customHeight="1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</row>
    <row r="667" ht="13.5" customHeight="1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</row>
    <row r="668" ht="13.5" customHeight="1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</row>
    <row r="669" ht="13.5" customHeight="1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</row>
    <row r="670" ht="13.5" customHeight="1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</row>
    <row r="671" ht="13.5" customHeight="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</row>
    <row r="672" ht="13.5" customHeight="1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</row>
    <row r="673" ht="13.5" customHeight="1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</row>
    <row r="674" ht="13.5" customHeight="1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</row>
    <row r="675" ht="13.5" customHeight="1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</row>
    <row r="676" ht="13.5" customHeight="1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</row>
    <row r="677" ht="13.5" customHeight="1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</row>
    <row r="678" ht="13.5" customHeight="1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</row>
    <row r="679" ht="13.5" customHeight="1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</row>
    <row r="680" ht="13.5" customHeight="1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</row>
    <row r="681" ht="13.5" customHeight="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</row>
    <row r="682" ht="13.5" customHeight="1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</row>
    <row r="683" ht="13.5" customHeight="1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</row>
    <row r="684" ht="13.5" customHeight="1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</row>
    <row r="685" ht="13.5" customHeight="1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</row>
    <row r="686" ht="13.5" customHeight="1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</row>
    <row r="687" ht="13.5" customHeight="1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</row>
    <row r="688" ht="13.5" customHeight="1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</row>
    <row r="689" ht="13.5" customHeight="1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</row>
    <row r="690" ht="13.5" customHeight="1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</row>
    <row r="691" ht="13.5" customHeight="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</row>
    <row r="692" ht="13.5" customHeight="1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</row>
    <row r="693" ht="13.5" customHeight="1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</row>
    <row r="694" ht="13.5" customHeight="1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</row>
    <row r="695" ht="13.5" customHeight="1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</row>
    <row r="696" ht="13.5" customHeight="1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</row>
    <row r="697" ht="13.5" customHeight="1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</row>
    <row r="698" ht="13.5" customHeight="1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</row>
    <row r="699" ht="13.5" customHeight="1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</row>
    <row r="700" ht="13.5" customHeight="1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</row>
    <row r="701" ht="13.5" customHeight="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</row>
    <row r="702" ht="13.5" customHeight="1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</row>
    <row r="703" ht="13.5" customHeight="1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</row>
    <row r="704" ht="13.5" customHeight="1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</row>
    <row r="705" ht="13.5" customHeight="1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</row>
    <row r="706" ht="13.5" customHeight="1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</row>
    <row r="707" ht="13.5" customHeight="1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</row>
    <row r="708" ht="13.5" customHeight="1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</row>
    <row r="709" ht="13.5" customHeight="1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</row>
    <row r="710" ht="13.5" customHeight="1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</row>
    <row r="711" ht="13.5" customHeight="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</row>
    <row r="712" ht="13.5" customHeight="1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</row>
    <row r="713" ht="13.5" customHeight="1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</row>
    <row r="714" ht="13.5" customHeight="1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</row>
    <row r="715" ht="13.5" customHeight="1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</row>
    <row r="716" ht="13.5" customHeight="1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</row>
    <row r="717" ht="13.5" customHeight="1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</row>
    <row r="718" ht="13.5" customHeight="1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</row>
    <row r="719" ht="13.5" customHeight="1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</row>
    <row r="720" ht="13.5" customHeight="1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</row>
    <row r="721" ht="13.5" customHeight="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</row>
    <row r="722" ht="13.5" customHeight="1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</row>
    <row r="723" ht="13.5" customHeight="1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</row>
    <row r="724" ht="13.5" customHeight="1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</row>
    <row r="725" ht="13.5" customHeight="1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</row>
    <row r="726" ht="13.5" customHeight="1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</row>
    <row r="727" ht="13.5" customHeight="1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</row>
    <row r="728" ht="13.5" customHeight="1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</row>
    <row r="729" ht="13.5" customHeight="1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</row>
    <row r="730" ht="13.5" customHeight="1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</row>
    <row r="731" ht="13.5" customHeight="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</row>
    <row r="732" ht="13.5" customHeight="1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</row>
    <row r="733" ht="13.5" customHeight="1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</row>
    <row r="734" ht="13.5" customHeight="1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</row>
    <row r="735" ht="13.5" customHeight="1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</row>
    <row r="736" ht="13.5" customHeight="1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</row>
    <row r="737" ht="13.5" customHeight="1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</row>
    <row r="738" ht="13.5" customHeight="1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</row>
    <row r="739" ht="13.5" customHeight="1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</row>
    <row r="740" ht="13.5" customHeight="1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</row>
    <row r="741" ht="13.5" customHeight="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</row>
    <row r="742" ht="13.5" customHeight="1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</row>
    <row r="743" ht="13.5" customHeight="1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</row>
    <row r="744" ht="13.5" customHeight="1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</row>
    <row r="745" ht="13.5" customHeight="1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</row>
    <row r="746" ht="13.5" customHeight="1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</row>
    <row r="747" ht="13.5" customHeight="1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</row>
    <row r="748" ht="13.5" customHeight="1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</row>
    <row r="749" ht="13.5" customHeight="1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</row>
    <row r="750" ht="13.5" customHeight="1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</row>
    <row r="751" ht="13.5" customHeight="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</row>
    <row r="752" ht="13.5" customHeight="1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</row>
    <row r="753" ht="13.5" customHeight="1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</row>
    <row r="754" ht="13.5" customHeight="1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</row>
    <row r="755" ht="13.5" customHeight="1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</row>
    <row r="756" ht="13.5" customHeight="1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</row>
    <row r="757" ht="13.5" customHeight="1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</row>
    <row r="758" ht="13.5" customHeight="1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</row>
    <row r="759" ht="13.5" customHeight="1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</row>
    <row r="760" ht="13.5" customHeight="1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</row>
    <row r="761" ht="13.5" customHeight="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</row>
    <row r="762" ht="13.5" customHeight="1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</row>
    <row r="763" ht="13.5" customHeight="1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</row>
    <row r="764" ht="13.5" customHeight="1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</row>
    <row r="765" ht="13.5" customHeight="1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</row>
    <row r="766" ht="13.5" customHeight="1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</row>
    <row r="767" ht="13.5" customHeight="1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</row>
    <row r="768" ht="13.5" customHeight="1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</row>
    <row r="769" ht="13.5" customHeight="1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</row>
    <row r="770" ht="13.5" customHeight="1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</row>
    <row r="771" ht="13.5" customHeight="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</row>
    <row r="772" ht="13.5" customHeight="1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</row>
    <row r="773" ht="13.5" customHeight="1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</row>
    <row r="774" ht="13.5" customHeight="1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</row>
    <row r="775" ht="13.5" customHeight="1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</row>
    <row r="776" ht="13.5" customHeight="1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</row>
    <row r="777" ht="13.5" customHeight="1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</row>
    <row r="778" ht="13.5" customHeight="1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</row>
    <row r="779" ht="13.5" customHeight="1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</row>
    <row r="780" ht="13.5" customHeight="1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</row>
    <row r="781" ht="13.5" customHeight="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</row>
    <row r="782" ht="13.5" customHeight="1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</row>
    <row r="783" ht="13.5" customHeight="1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</row>
    <row r="784" ht="13.5" customHeight="1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</row>
    <row r="785" ht="13.5" customHeight="1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</row>
    <row r="786" ht="13.5" customHeight="1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</row>
    <row r="787" ht="13.5" customHeight="1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</row>
    <row r="788" ht="13.5" customHeight="1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</row>
    <row r="789" ht="13.5" customHeight="1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</row>
    <row r="790" ht="13.5" customHeight="1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</row>
    <row r="791" ht="13.5" customHeight="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</row>
    <row r="792" ht="13.5" customHeight="1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</row>
    <row r="793" ht="13.5" customHeight="1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</row>
    <row r="794" ht="13.5" customHeight="1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</row>
    <row r="795" ht="13.5" customHeight="1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</row>
    <row r="796" ht="13.5" customHeight="1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</row>
    <row r="797" ht="13.5" customHeight="1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</row>
    <row r="798" ht="13.5" customHeight="1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</row>
    <row r="799" ht="13.5" customHeight="1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</row>
    <row r="800" ht="13.5" customHeight="1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</row>
    <row r="801" ht="13.5" customHeight="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</row>
    <row r="802" ht="13.5" customHeight="1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</row>
    <row r="803" ht="13.5" customHeight="1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</row>
    <row r="804" ht="13.5" customHeight="1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</row>
    <row r="805" ht="13.5" customHeight="1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</row>
    <row r="806" ht="13.5" customHeight="1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</row>
    <row r="807" ht="13.5" customHeight="1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</row>
    <row r="808" ht="13.5" customHeight="1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</row>
    <row r="809" ht="13.5" customHeight="1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</row>
    <row r="810" ht="13.5" customHeight="1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</row>
    <row r="811" ht="13.5" customHeight="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</row>
    <row r="812" ht="13.5" customHeight="1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</row>
    <row r="813" ht="13.5" customHeight="1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</row>
    <row r="814" ht="13.5" customHeight="1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</row>
    <row r="815" ht="13.5" customHeight="1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</row>
    <row r="816" ht="13.5" customHeight="1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</row>
    <row r="817" ht="13.5" customHeight="1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</row>
    <row r="818" ht="13.5" customHeight="1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</row>
    <row r="819" ht="13.5" customHeight="1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</row>
    <row r="820" ht="13.5" customHeight="1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</row>
    <row r="821" ht="13.5" customHeight="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</row>
    <row r="822" ht="13.5" customHeight="1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</row>
    <row r="823" ht="13.5" customHeight="1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</row>
    <row r="824" ht="13.5" customHeight="1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</row>
    <row r="825" ht="13.5" customHeight="1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</row>
    <row r="826" ht="13.5" customHeight="1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</row>
    <row r="827" ht="13.5" customHeight="1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</row>
    <row r="828" ht="13.5" customHeight="1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</row>
    <row r="829" ht="13.5" customHeight="1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</row>
    <row r="830" ht="13.5" customHeight="1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</row>
    <row r="831" ht="13.5" customHeight="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</row>
    <row r="832" ht="13.5" customHeight="1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</row>
    <row r="833" ht="13.5" customHeight="1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</row>
    <row r="834" ht="13.5" customHeight="1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</row>
    <row r="835" ht="13.5" customHeight="1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</row>
    <row r="836" ht="13.5" customHeight="1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</row>
    <row r="837" ht="13.5" customHeight="1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</row>
    <row r="838" ht="13.5" customHeight="1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</row>
    <row r="839" ht="13.5" customHeight="1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</row>
    <row r="840" ht="13.5" customHeight="1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</row>
    <row r="841" ht="13.5" customHeight="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</row>
    <row r="842" ht="13.5" customHeight="1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</row>
    <row r="843" ht="13.5" customHeight="1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</row>
    <row r="844" ht="13.5" customHeight="1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</row>
    <row r="845" ht="13.5" customHeight="1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</row>
    <row r="846" ht="13.5" customHeight="1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</row>
    <row r="847" ht="13.5" customHeight="1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</row>
    <row r="848" ht="13.5" customHeight="1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</row>
    <row r="849" ht="13.5" customHeight="1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</row>
    <row r="850" ht="13.5" customHeight="1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</row>
    <row r="851" ht="13.5" customHeight="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</row>
    <row r="852" ht="13.5" customHeight="1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</row>
    <row r="853" ht="13.5" customHeight="1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</row>
    <row r="854" ht="13.5" customHeight="1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</row>
    <row r="855" ht="13.5" customHeight="1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</row>
    <row r="856" ht="13.5" customHeight="1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</row>
    <row r="857" ht="13.5" customHeight="1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</row>
    <row r="858" ht="13.5" customHeight="1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</row>
    <row r="859" ht="13.5" customHeight="1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</row>
    <row r="860" ht="13.5" customHeight="1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</row>
    <row r="861" ht="13.5" customHeight="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</row>
    <row r="862" ht="13.5" customHeight="1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</row>
    <row r="863" ht="13.5" customHeight="1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</row>
    <row r="864" ht="13.5" customHeight="1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</row>
    <row r="865" ht="13.5" customHeight="1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</row>
    <row r="866" ht="13.5" customHeight="1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</row>
    <row r="867" ht="13.5" customHeight="1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</row>
    <row r="868" ht="13.5" customHeight="1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</row>
    <row r="869" ht="13.5" customHeight="1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</row>
    <row r="870" ht="13.5" customHeight="1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</row>
    <row r="871" ht="13.5" customHeight="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</row>
    <row r="872" ht="13.5" customHeight="1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</row>
    <row r="873" ht="13.5" customHeight="1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</row>
    <row r="874" ht="13.5" customHeight="1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</row>
    <row r="875" ht="13.5" customHeight="1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</row>
    <row r="876" ht="13.5" customHeight="1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</row>
    <row r="877" ht="13.5" customHeight="1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</row>
    <row r="878" ht="13.5" customHeight="1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</row>
    <row r="879" ht="13.5" customHeight="1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</row>
    <row r="880" ht="13.5" customHeight="1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</row>
    <row r="881" ht="13.5" customHeight="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</row>
    <row r="882" ht="13.5" customHeight="1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</row>
    <row r="883" ht="13.5" customHeight="1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</row>
    <row r="884" ht="13.5" customHeight="1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</row>
    <row r="885" ht="13.5" customHeight="1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</row>
    <row r="886" ht="13.5" customHeight="1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</row>
    <row r="887" ht="13.5" customHeight="1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</row>
    <row r="888" ht="13.5" customHeight="1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</row>
    <row r="889" ht="13.5" customHeight="1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</row>
    <row r="890" ht="13.5" customHeight="1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</row>
    <row r="891" ht="13.5" customHeight="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</row>
    <row r="892" ht="13.5" customHeight="1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</row>
    <row r="893" ht="13.5" customHeight="1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</row>
    <row r="894" ht="13.5" customHeight="1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</row>
    <row r="895" ht="13.5" customHeight="1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</row>
    <row r="896" ht="13.5" customHeight="1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</row>
    <row r="897" ht="13.5" customHeight="1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</row>
    <row r="898" ht="13.5" customHeight="1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</row>
    <row r="899" ht="13.5" customHeight="1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</row>
    <row r="900" ht="13.5" customHeight="1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</row>
    <row r="901" ht="13.5" customHeight="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</row>
    <row r="902" ht="13.5" customHeight="1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</row>
    <row r="903" ht="13.5" customHeight="1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</row>
    <row r="904" ht="13.5" customHeight="1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</row>
    <row r="905" ht="13.5" customHeight="1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</row>
    <row r="906" ht="13.5" customHeight="1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</row>
    <row r="907" ht="13.5" customHeight="1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</row>
    <row r="908" ht="13.5" customHeight="1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</row>
    <row r="909" ht="13.5" customHeight="1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</row>
    <row r="910" ht="13.5" customHeight="1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</row>
    <row r="911" ht="13.5" customHeight="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</row>
    <row r="912" ht="13.5" customHeight="1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</row>
    <row r="913" ht="13.5" customHeight="1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</row>
    <row r="914" ht="13.5" customHeight="1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</row>
    <row r="915" ht="13.5" customHeight="1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</row>
    <row r="916" ht="13.5" customHeight="1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</row>
    <row r="917" ht="13.5" customHeight="1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</row>
    <row r="918" ht="13.5" customHeight="1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</row>
    <row r="919" ht="13.5" customHeight="1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</row>
    <row r="920" ht="13.5" customHeight="1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</row>
    <row r="921" ht="13.5" customHeight="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</row>
    <row r="922" ht="13.5" customHeight="1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</row>
    <row r="923" ht="13.5" customHeight="1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</row>
    <row r="924" ht="13.5" customHeight="1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</row>
    <row r="925" ht="13.5" customHeight="1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</row>
    <row r="926" ht="13.5" customHeight="1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</row>
    <row r="927" ht="13.5" customHeight="1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</row>
    <row r="928" ht="13.5" customHeight="1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</row>
    <row r="929" ht="13.5" customHeight="1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</row>
    <row r="930" ht="13.5" customHeight="1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</row>
    <row r="931" ht="13.5" customHeight="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</row>
    <row r="932" ht="13.5" customHeight="1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</row>
    <row r="933" ht="13.5" customHeight="1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</row>
    <row r="934" ht="13.5" customHeight="1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</row>
    <row r="935" ht="13.5" customHeight="1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</row>
    <row r="936" ht="13.5" customHeight="1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</row>
    <row r="937" ht="13.5" customHeight="1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</row>
    <row r="938" ht="13.5" customHeight="1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</row>
    <row r="939" ht="13.5" customHeight="1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</row>
    <row r="940" ht="13.5" customHeight="1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</row>
    <row r="941" ht="13.5" customHeight="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</row>
    <row r="942" ht="13.5" customHeight="1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</row>
    <row r="943" ht="13.5" customHeight="1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</row>
    <row r="944" ht="13.5" customHeight="1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</row>
    <row r="945" ht="13.5" customHeight="1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</row>
    <row r="946" ht="13.5" customHeight="1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</row>
    <row r="947" ht="13.5" customHeight="1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</row>
    <row r="948" ht="13.5" customHeight="1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</row>
    <row r="949" ht="13.5" customHeight="1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</row>
    <row r="950" ht="13.5" customHeight="1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</row>
    <row r="951" ht="13.5" customHeight="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</row>
    <row r="952" ht="13.5" customHeight="1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</row>
    <row r="953" ht="13.5" customHeight="1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</row>
    <row r="954" ht="13.5" customHeight="1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</row>
    <row r="955" ht="13.5" customHeight="1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</row>
    <row r="956" ht="13.5" customHeight="1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</row>
    <row r="957" ht="13.5" customHeight="1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</row>
    <row r="958" ht="13.5" customHeight="1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</row>
    <row r="959" ht="13.5" customHeight="1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</row>
    <row r="960" ht="13.5" customHeight="1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</row>
    <row r="961" ht="13.5" customHeight="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</row>
    <row r="962" ht="13.5" customHeight="1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</row>
    <row r="963" ht="13.5" customHeight="1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</row>
    <row r="964" ht="13.5" customHeight="1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</row>
    <row r="965" ht="13.5" customHeight="1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</row>
    <row r="966" ht="13.5" customHeight="1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</row>
    <row r="967" ht="13.5" customHeight="1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</row>
    <row r="968" ht="13.5" customHeight="1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</row>
    <row r="969" ht="13.5" customHeight="1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</row>
    <row r="970" ht="13.5" customHeight="1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</row>
    <row r="971" ht="13.5" customHeight="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</row>
    <row r="972" ht="13.5" customHeight="1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</row>
    <row r="973" ht="13.5" customHeight="1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</row>
    <row r="974" ht="13.5" customHeight="1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</row>
    <row r="975" ht="13.5" customHeight="1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</row>
    <row r="976" ht="13.5" customHeight="1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</row>
    <row r="977" ht="13.5" customHeight="1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</row>
    <row r="978" ht="13.5" customHeight="1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</row>
    <row r="979" ht="13.5" customHeight="1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</row>
    <row r="980" ht="13.5" customHeight="1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</row>
    <row r="981" ht="13.5" customHeight="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</row>
    <row r="982" ht="13.5" customHeight="1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</row>
    <row r="983" ht="13.5" customHeight="1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</row>
    <row r="984" ht="13.5" customHeight="1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</row>
    <row r="985" ht="13.5" customHeight="1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</row>
    <row r="986" ht="13.5" customHeight="1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</row>
    <row r="987" ht="13.5" customHeight="1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</row>
    <row r="988" ht="13.5" customHeight="1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</row>
    <row r="989" ht="13.5" customHeight="1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</row>
    <row r="990" ht="13.5" customHeight="1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</row>
    <row r="991" ht="13.5" customHeight="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</row>
    <row r="992" ht="13.5" customHeight="1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</row>
    <row r="993" ht="13.5" customHeight="1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</row>
    <row r="994" ht="13.5" customHeight="1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</row>
    <row r="995" ht="13.5" customHeight="1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</row>
    <row r="996" ht="13.5" customHeight="1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</row>
    <row r="997" ht="13.5" customHeight="1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</row>
    <row r="998" ht="13.5" customHeight="1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</row>
    <row r="999" ht="13.5" customHeight="1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</row>
    <row r="1000" ht="13.5" customHeight="1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</row>
  </sheetData>
  <mergeCells count="18">
    <mergeCell ref="B2:E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  <mergeCell ref="A1:A4"/>
    <mergeCell ref="B1:I1"/>
    <mergeCell ref="J1:S1"/>
    <mergeCell ref="T1:T3"/>
    <mergeCell ref="F2:I2"/>
    <mergeCell ref="J2:N2"/>
    <mergeCell ref="O2:S2"/>
  </mergeCells>
  <printOptions/>
  <pageMargins bottom="0.7875" footer="0.0" header="0.0" left="0.7875" right="0.7875" top="0.78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6.14"/>
    <col customWidth="1" min="2" max="4" width="7.14"/>
    <col customWidth="1" min="5" max="7" width="6.86"/>
    <col customWidth="1" min="8" max="8" width="8.14"/>
    <col customWidth="1" min="9" max="9" width="7.14"/>
    <col customWidth="1" min="10" max="10" width="6.86"/>
    <col customWidth="1" min="11" max="13" width="5.86"/>
    <col customWidth="1" min="14" max="15" width="5.14"/>
    <col customWidth="1" min="16" max="16" width="6.43"/>
    <col customWidth="1" min="17" max="19" width="5.71"/>
    <col customWidth="1" min="20" max="22" width="6.29"/>
    <col customWidth="1" min="23" max="25" width="5.86"/>
    <col customWidth="1" min="26" max="31" width="6.14"/>
    <col customWidth="1" min="32" max="33" width="3.57"/>
    <col customWidth="1" min="34" max="51" width="8.86"/>
  </cols>
  <sheetData>
    <row r="1" ht="19.5" customHeight="1">
      <c r="A1" s="607"/>
      <c r="B1" s="608"/>
      <c r="C1" s="608"/>
      <c r="D1" s="608"/>
      <c r="E1" s="608"/>
      <c r="F1" s="609"/>
      <c r="G1" s="610" t="s">
        <v>217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  <c r="W1" s="611" t="s">
        <v>218</v>
      </c>
      <c r="X1" s="251"/>
      <c r="Y1" s="251"/>
      <c r="Z1" s="251"/>
      <c r="AA1" s="251"/>
      <c r="AB1" s="251"/>
      <c r="AC1" s="251"/>
      <c r="AD1" s="251"/>
      <c r="AE1" s="612"/>
    </row>
    <row r="2" ht="18.0" customHeight="1">
      <c r="A2" s="613"/>
      <c r="B2" s="614"/>
      <c r="C2" s="614"/>
      <c r="D2" s="614"/>
      <c r="E2" s="614"/>
      <c r="F2" s="615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/>
      <c r="W2" s="611">
        <f>'1'!$U$25</f>
        <v>43922</v>
      </c>
      <c r="X2" s="251"/>
      <c r="Y2" s="251"/>
      <c r="Z2" s="251"/>
      <c r="AA2" s="251"/>
      <c r="AB2" s="251"/>
      <c r="AC2" s="251"/>
      <c r="AD2" s="251"/>
      <c r="AE2" s="612"/>
    </row>
    <row r="3" ht="2.25" customHeight="1">
      <c r="A3" s="616"/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  <c r="R3" s="616"/>
      <c r="S3" s="616"/>
      <c r="T3" s="616"/>
      <c r="U3" s="616"/>
      <c r="V3" s="616"/>
      <c r="W3" s="616"/>
      <c r="X3" s="616"/>
      <c r="Y3" s="616"/>
      <c r="Z3" s="616"/>
      <c r="AA3" s="616"/>
      <c r="AB3" s="616"/>
      <c r="AC3" s="616"/>
      <c r="AD3" s="616"/>
      <c r="AE3" s="616"/>
    </row>
    <row r="4" ht="27.75" customHeight="1">
      <c r="A4" s="617" t="s">
        <v>219</v>
      </c>
      <c r="B4" s="618" t="s">
        <v>220</v>
      </c>
      <c r="C4" s="284"/>
      <c r="D4" s="284"/>
      <c r="E4" s="284"/>
      <c r="F4" s="284"/>
      <c r="G4" s="284"/>
      <c r="H4" s="284"/>
      <c r="I4" s="284"/>
      <c r="J4" s="619"/>
      <c r="K4" s="620" t="s">
        <v>221</v>
      </c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621"/>
      <c r="W4" s="622" t="s">
        <v>222</v>
      </c>
      <c r="X4" s="284"/>
      <c r="Y4" s="284"/>
      <c r="Z4" s="284"/>
      <c r="AA4" s="284"/>
      <c r="AB4" s="284"/>
      <c r="AC4" s="284"/>
      <c r="AD4" s="284"/>
      <c r="AE4" s="621"/>
      <c r="AF4" s="623"/>
      <c r="AG4" s="623"/>
      <c r="AH4" s="623"/>
      <c r="AI4" s="623"/>
      <c r="AJ4" s="623"/>
      <c r="AK4" s="623"/>
      <c r="AL4" s="623"/>
      <c r="AM4" s="623"/>
      <c r="AN4" s="623"/>
      <c r="AO4" s="623"/>
      <c r="AP4" s="623"/>
      <c r="AQ4" s="623"/>
      <c r="AR4" s="623"/>
      <c r="AS4" s="623"/>
      <c r="AT4" s="623"/>
      <c r="AU4" s="623"/>
      <c r="AV4" s="623"/>
      <c r="AW4" s="623"/>
      <c r="AX4" s="623"/>
      <c r="AY4" s="623"/>
    </row>
    <row r="5" ht="30.0" customHeight="1">
      <c r="A5" s="203"/>
      <c r="B5" s="624" t="s">
        <v>223</v>
      </c>
      <c r="C5" s="79"/>
      <c r="D5" s="80"/>
      <c r="E5" s="625" t="s">
        <v>224</v>
      </c>
      <c r="F5" s="79"/>
      <c r="G5" s="80"/>
      <c r="H5" s="625" t="s">
        <v>225</v>
      </c>
      <c r="I5" s="79"/>
      <c r="J5" s="79"/>
      <c r="K5" s="626" t="s">
        <v>223</v>
      </c>
      <c r="L5" s="79"/>
      <c r="M5" s="80"/>
      <c r="N5" s="625" t="s">
        <v>224</v>
      </c>
      <c r="O5" s="79"/>
      <c r="P5" s="80"/>
      <c r="Q5" s="625" t="s">
        <v>225</v>
      </c>
      <c r="R5" s="79"/>
      <c r="S5" s="80"/>
      <c r="T5" s="625" t="s">
        <v>226</v>
      </c>
      <c r="U5" s="79"/>
      <c r="V5" s="627"/>
      <c r="W5" s="624" t="s">
        <v>223</v>
      </c>
      <c r="X5" s="79"/>
      <c r="Y5" s="80"/>
      <c r="Z5" s="625" t="s">
        <v>224</v>
      </c>
      <c r="AA5" s="79"/>
      <c r="AB5" s="80"/>
      <c r="AC5" s="625" t="s">
        <v>225</v>
      </c>
      <c r="AD5" s="79"/>
      <c r="AE5" s="627"/>
    </row>
    <row r="6" ht="17.25" customHeight="1">
      <c r="A6" s="219"/>
      <c r="B6" s="628" t="s">
        <v>227</v>
      </c>
      <c r="C6" s="629" t="s">
        <v>228</v>
      </c>
      <c r="D6" s="629" t="s">
        <v>229</v>
      </c>
      <c r="E6" s="629" t="s">
        <v>227</v>
      </c>
      <c r="F6" s="629" t="s">
        <v>228</v>
      </c>
      <c r="G6" s="629" t="s">
        <v>229</v>
      </c>
      <c r="H6" s="629" t="s">
        <v>227</v>
      </c>
      <c r="I6" s="629" t="s">
        <v>228</v>
      </c>
      <c r="J6" s="630" t="s">
        <v>229</v>
      </c>
      <c r="K6" s="631" t="s">
        <v>227</v>
      </c>
      <c r="L6" s="629" t="s">
        <v>228</v>
      </c>
      <c r="M6" s="629" t="s">
        <v>229</v>
      </c>
      <c r="N6" s="632" t="s">
        <v>227</v>
      </c>
      <c r="O6" s="632" t="s">
        <v>228</v>
      </c>
      <c r="P6" s="632" t="s">
        <v>229</v>
      </c>
      <c r="Q6" s="632" t="s">
        <v>227</v>
      </c>
      <c r="R6" s="632" t="s">
        <v>228</v>
      </c>
      <c r="S6" s="632" t="s">
        <v>229</v>
      </c>
      <c r="T6" s="629" t="s">
        <v>227</v>
      </c>
      <c r="U6" s="629" t="s">
        <v>228</v>
      </c>
      <c r="V6" s="633" t="s">
        <v>229</v>
      </c>
      <c r="W6" s="628" t="s">
        <v>227</v>
      </c>
      <c r="X6" s="629" t="s">
        <v>228</v>
      </c>
      <c r="Y6" s="629" t="s">
        <v>229</v>
      </c>
      <c r="Z6" s="632" t="s">
        <v>227</v>
      </c>
      <c r="AA6" s="632" t="s">
        <v>228</v>
      </c>
      <c r="AB6" s="632" t="s">
        <v>229</v>
      </c>
      <c r="AC6" s="629" t="s">
        <v>227</v>
      </c>
      <c r="AD6" s="629" t="s">
        <v>228</v>
      </c>
      <c r="AE6" s="633" t="s">
        <v>229</v>
      </c>
    </row>
    <row r="7" ht="18.75" customHeight="1">
      <c r="A7" s="634">
        <v>1.0</v>
      </c>
      <c r="B7" s="635">
        <f>'1'!$B$20</f>
        <v>115</v>
      </c>
      <c r="C7" s="636">
        <f>'1'!$B$21</f>
        <v>107</v>
      </c>
      <c r="D7" s="636">
        <f>'1'!$B$19</f>
        <v>110.1666667</v>
      </c>
      <c r="E7" s="637">
        <f>AVERAGE('1'!$C$20,'1'!$D$20)</f>
        <v>13.5</v>
      </c>
      <c r="F7" s="637">
        <f>AVERAGE('1'!$C$21,'1'!$D$21)</f>
        <v>11.5</v>
      </c>
      <c r="G7" s="637">
        <f>AVERAGE('1'!$C$19,'1'!$D$19)</f>
        <v>12.04166667</v>
      </c>
      <c r="H7" s="638">
        <f>'1'!$E$20</f>
        <v>6</v>
      </c>
      <c r="I7" s="638">
        <f>'1'!$E$21</f>
        <v>5</v>
      </c>
      <c r="J7" s="639">
        <f>'1'!$E$19</f>
        <v>5.833333333</v>
      </c>
      <c r="K7" s="640">
        <f>'1'!$F$20</f>
        <v>7.6</v>
      </c>
      <c r="L7" s="638">
        <f>'1'!$F$21</f>
        <v>6.9</v>
      </c>
      <c r="M7" s="638">
        <f>'1'!$F$19</f>
        <v>7.275</v>
      </c>
      <c r="N7" s="637">
        <f>AVERAGE('1'!$G$20,'1'!$H$20)</f>
        <v>1.05</v>
      </c>
      <c r="O7" s="637">
        <f>AVERAGE('1'!$G$21,'1'!$H$21)</f>
        <v>0.85</v>
      </c>
      <c r="P7" s="637">
        <f>AVERAGE('1'!$G$19,'1'!$H$19)</f>
        <v>0.9458333333</v>
      </c>
      <c r="Q7" s="641">
        <f>'1'!$I$20</f>
        <v>0.5</v>
      </c>
      <c r="R7" s="641">
        <f>'1'!$I$21</f>
        <v>0.5</v>
      </c>
      <c r="S7" s="641">
        <f>'1'!$I$19</f>
        <v>0.5</v>
      </c>
      <c r="T7" s="641">
        <f>'1'!$J$20</f>
        <v>0.5</v>
      </c>
      <c r="U7" s="641">
        <f>'1'!$J$21</f>
        <v>0.4</v>
      </c>
      <c r="V7" s="642">
        <f>'1'!$J$19</f>
        <v>0.4083333333</v>
      </c>
      <c r="W7" s="643">
        <f>'1'!$K$20</f>
        <v>7</v>
      </c>
      <c r="X7" s="641">
        <f>'1'!$K$21</f>
        <v>6.9</v>
      </c>
      <c r="Y7" s="641">
        <f>'1'!$K$19</f>
        <v>6.916666667</v>
      </c>
      <c r="Z7" s="641">
        <f>AVERAGE('1'!$L$20,'1'!$M$20)</f>
        <v>6.6</v>
      </c>
      <c r="AA7" s="641">
        <f>AVERAGE('1'!$L$21,'1'!$M$21)</f>
        <v>6.3</v>
      </c>
      <c r="AB7" s="641">
        <f>AVERAGE('1'!$L$19,'1'!$M$19)</f>
        <v>6.575</v>
      </c>
      <c r="AC7" s="641">
        <f>'1'!$N$20</f>
        <v>6.3</v>
      </c>
      <c r="AD7" s="641">
        <f>'1'!$N$21</f>
        <v>6.3</v>
      </c>
      <c r="AE7" s="642">
        <f>'1'!$N$19</f>
        <v>6.3</v>
      </c>
    </row>
    <row r="8" ht="18.75" customHeight="1">
      <c r="A8" s="644">
        <v>2.0</v>
      </c>
      <c r="B8" s="645">
        <f>'2'!$B$20</f>
        <v>275</v>
      </c>
      <c r="C8" s="646">
        <f>'2'!$B$21</f>
        <v>125</v>
      </c>
      <c r="D8" s="646">
        <f>'2'!$B$19</f>
        <v>209.8333333</v>
      </c>
      <c r="E8" s="637">
        <f>AVERAGE('2'!$C$20,'2'!$D$20)</f>
        <v>18.05</v>
      </c>
      <c r="F8" s="637">
        <f>AVERAGE('2'!$C$21,'2'!$D$21)</f>
        <v>11.3</v>
      </c>
      <c r="G8" s="637">
        <f>AVERAGE('2'!$C$19,'2'!$D$19)</f>
        <v>13.66666667</v>
      </c>
      <c r="H8" s="637">
        <f>'2'!$E$20</f>
        <v>8.6</v>
      </c>
      <c r="I8" s="637">
        <f>'2'!$E$21</f>
        <v>2.3</v>
      </c>
      <c r="J8" s="647">
        <f>'2'!$E$19</f>
        <v>5.325</v>
      </c>
      <c r="K8" s="648">
        <f>'2'!$F$20</f>
        <v>264</v>
      </c>
      <c r="L8" s="637">
        <f>'2'!$F$21</f>
        <v>11</v>
      </c>
      <c r="M8" s="637">
        <f>'2'!$F$19</f>
        <v>111.6666667</v>
      </c>
      <c r="N8" s="637">
        <f>AVERAGE('2'!$G$20,'2'!$H$20)</f>
        <v>5.15</v>
      </c>
      <c r="O8" s="637">
        <f>AVERAGE('2'!$G$21,'2'!$H$21)</f>
        <v>1.05</v>
      </c>
      <c r="P8" s="637">
        <f>AVERAGE('2'!$G$19,'2'!$H$19)</f>
        <v>2.795833333</v>
      </c>
      <c r="Q8" s="649">
        <f>'2'!$I$20</f>
        <v>0.9</v>
      </c>
      <c r="R8" s="649">
        <f>'2'!$I$21</f>
        <v>0.4</v>
      </c>
      <c r="S8" s="649">
        <f>'2'!$I$19</f>
        <v>0.5833333333</v>
      </c>
      <c r="T8" s="649">
        <f>'2'!$J$20</f>
        <v>1.4</v>
      </c>
      <c r="U8" s="649">
        <f>'2'!$J$21</f>
        <v>0.4</v>
      </c>
      <c r="V8" s="650">
        <f>'2'!$J$19</f>
        <v>0.7333333333</v>
      </c>
      <c r="W8" s="651">
        <f>'2'!$K$20</f>
        <v>7.2</v>
      </c>
      <c r="X8" s="649">
        <f>'2'!$K$21</f>
        <v>6.7</v>
      </c>
      <c r="Y8" s="649">
        <f>'2'!$K$19</f>
        <v>6.95</v>
      </c>
      <c r="Z8" s="641">
        <f>AVERAGE('2'!$L$20,'2'!$M$20)</f>
        <v>6.6</v>
      </c>
      <c r="AA8" s="641">
        <f>AVERAGE('2'!$L$21,'2'!$M$21)</f>
        <v>6.35</v>
      </c>
      <c r="AB8" s="641">
        <f>AVERAGE('2'!$L$19,'2'!$M$19)</f>
        <v>6.479166667</v>
      </c>
      <c r="AC8" s="649">
        <f>'2'!$N$20</f>
        <v>6.4</v>
      </c>
      <c r="AD8" s="649">
        <f>'2'!$N$21</f>
        <v>6.1</v>
      </c>
      <c r="AE8" s="650">
        <f>'2'!$N$19</f>
        <v>6.291666667</v>
      </c>
    </row>
    <row r="9" ht="18.75" customHeight="1">
      <c r="A9" s="644">
        <v>3.0</v>
      </c>
      <c r="B9" s="645">
        <f>'3'!$B$20</f>
        <v>324</v>
      </c>
      <c r="C9" s="646">
        <f>'3'!$B$21</f>
        <v>246</v>
      </c>
      <c r="D9" s="646">
        <f>'3'!$B$19</f>
        <v>301.9166667</v>
      </c>
      <c r="E9" s="637">
        <f>AVERAGE('3'!$C$20,'3'!$D$20)</f>
        <v>20</v>
      </c>
      <c r="F9" s="637">
        <f>AVERAGE('3'!$C$21,'3'!$D$21)</f>
        <v>8.55</v>
      </c>
      <c r="G9" s="637">
        <f>AVERAGE('3'!$C$19,'3'!$D$19)</f>
        <v>14.925</v>
      </c>
      <c r="H9" s="637">
        <f>'3'!$E$20</f>
        <v>11</v>
      </c>
      <c r="I9" s="637">
        <f>'3'!$E$21</f>
        <v>3</v>
      </c>
      <c r="J9" s="647">
        <f>'3'!$E$19</f>
        <v>7.316666667</v>
      </c>
      <c r="K9" s="648">
        <f>'3'!$F$20</f>
        <v>226</v>
      </c>
      <c r="L9" s="637">
        <f>'3'!$F$21</f>
        <v>137</v>
      </c>
      <c r="M9" s="637">
        <f>'3'!$F$19</f>
        <v>166.3333333</v>
      </c>
      <c r="N9" s="637">
        <f>AVERAGE('3'!$G$20,'3'!$H$20)</f>
        <v>3.85</v>
      </c>
      <c r="O9" s="637">
        <f>AVERAGE('3'!$G$21,'3'!$H$21)</f>
        <v>2.1</v>
      </c>
      <c r="P9" s="637">
        <f>AVERAGE('3'!$G$19,'3'!$H$19)</f>
        <v>2.891666667</v>
      </c>
      <c r="Q9" s="649">
        <f>'3'!$I$20</f>
        <v>1.3</v>
      </c>
      <c r="R9" s="649">
        <f>'3'!$I$21</f>
        <v>0.6</v>
      </c>
      <c r="S9" s="649">
        <f>'3'!$I$19</f>
        <v>0.9525</v>
      </c>
      <c r="T9" s="649">
        <f>'3'!$J$20</f>
        <v>1.2</v>
      </c>
      <c r="U9" s="649">
        <f>'3'!$J$21</f>
        <v>0.5</v>
      </c>
      <c r="V9" s="650">
        <f>'3'!$J$19</f>
        <v>0.8666666667</v>
      </c>
      <c r="W9" s="651">
        <f>'3'!$K$20</f>
        <v>6.7</v>
      </c>
      <c r="X9" s="649">
        <f>'3'!$K$21</f>
        <v>6.6</v>
      </c>
      <c r="Y9" s="649">
        <f>'3'!$K$19</f>
        <v>6.616666667</v>
      </c>
      <c r="Z9" s="641">
        <f>AVERAGE('3'!$L$20,'3'!$M$20)</f>
        <v>6.35</v>
      </c>
      <c r="AA9" s="641">
        <f>AVERAGE('3'!$L$21,'3'!$M$21)</f>
        <v>6.1</v>
      </c>
      <c r="AB9" s="641">
        <f>AVERAGE('3'!$L$19,'3'!$M$19)</f>
        <v>6.208333333</v>
      </c>
      <c r="AC9" s="649">
        <f>'3'!$N$20</f>
        <v>6.2</v>
      </c>
      <c r="AD9" s="649">
        <f>'3'!$N$21</f>
        <v>6</v>
      </c>
      <c r="AE9" s="650">
        <f>'3'!$N$19</f>
        <v>6.033333333</v>
      </c>
    </row>
    <row r="10" ht="18.75" customHeight="1">
      <c r="A10" s="644">
        <v>4.0</v>
      </c>
      <c r="B10" s="645">
        <f>'4'!$B$20</f>
        <v>325</v>
      </c>
      <c r="C10" s="646">
        <f>'4'!$B$21</f>
        <v>321</v>
      </c>
      <c r="D10" s="646">
        <f>'4'!$B$19</f>
        <v>301.9166667</v>
      </c>
      <c r="E10" s="637">
        <f>AVERAGE('4'!$C$20,'4'!$D$20)</f>
        <v>15</v>
      </c>
      <c r="F10" s="637">
        <f>AVERAGE('4'!$C$21,'4'!$D$21)</f>
        <v>12</v>
      </c>
      <c r="G10" s="637">
        <f>AVERAGE('4'!$C$19,'4'!$D$19)</f>
        <v>14.925</v>
      </c>
      <c r="H10" s="637">
        <f>'4'!$E$20</f>
        <v>8</v>
      </c>
      <c r="I10" s="637">
        <f>'4'!$E$21</f>
        <v>7</v>
      </c>
      <c r="J10" s="647">
        <f>'4'!$E$19</f>
        <v>7.316666667</v>
      </c>
      <c r="K10" s="648">
        <f>'4'!$F$20</f>
        <v>89</v>
      </c>
      <c r="L10" s="637">
        <f>'4'!$F$21</f>
        <v>111</v>
      </c>
      <c r="M10" s="637">
        <f>'4'!$F$19</f>
        <v>166.3333333</v>
      </c>
      <c r="N10" s="637">
        <f>AVERAGE('4'!$G$20,'4'!$H$20)</f>
        <v>1.8</v>
      </c>
      <c r="O10" s="637">
        <f>AVERAGE('4'!$G$21,'4'!$H$21)</f>
        <v>2.4</v>
      </c>
      <c r="P10" s="637">
        <f>AVERAGE('4'!$G$19,'4'!$H$19)</f>
        <v>2.891666667</v>
      </c>
      <c r="Q10" s="649">
        <f>'4'!$I$20</f>
        <v>0.6</v>
      </c>
      <c r="R10" s="649">
        <f>'4'!$I$21</f>
        <v>0.6</v>
      </c>
      <c r="S10" s="649">
        <f>'4'!$I$19</f>
        <v>0.9525</v>
      </c>
      <c r="T10" s="649">
        <f>'4'!$J$20</f>
        <v>0.7</v>
      </c>
      <c r="U10" s="649">
        <f>'4'!$J$21</f>
        <v>1</v>
      </c>
      <c r="V10" s="650">
        <f>'4'!$J$19</f>
        <v>0.8666666667</v>
      </c>
      <c r="W10" s="651">
        <f>'4'!$K$20</f>
        <v>7</v>
      </c>
      <c r="X10" s="649">
        <f>'4'!$K$21</f>
        <v>6</v>
      </c>
      <c r="Y10" s="649">
        <f>'4'!$K$19</f>
        <v>6.616666667</v>
      </c>
      <c r="Z10" s="641">
        <f>AVERAGE('4'!$L$20,'4'!$M$20)</f>
        <v>6.3</v>
      </c>
      <c r="AA10" s="641">
        <f>AVERAGE('4'!$L$21,'4'!$M$21)</f>
        <v>6.2</v>
      </c>
      <c r="AB10" s="641">
        <f>AVERAGE('4'!$L$19,'4'!$M$19)</f>
        <v>6.208333333</v>
      </c>
      <c r="AC10" s="649">
        <f>'4'!$N$20</f>
        <v>6</v>
      </c>
      <c r="AD10" s="649">
        <f>'4'!$N$21</f>
        <v>6</v>
      </c>
      <c r="AE10" s="650">
        <f>'4'!$N$19</f>
        <v>6.033333333</v>
      </c>
    </row>
    <row r="11" ht="18.75" customHeight="1">
      <c r="A11" s="644">
        <v>5.0</v>
      </c>
      <c r="B11" s="645">
        <f>'5'!$B$20</f>
        <v>294</v>
      </c>
      <c r="C11" s="646">
        <f>'5'!$B$21</f>
        <v>258</v>
      </c>
      <c r="D11" s="646">
        <f>'5'!$B$19</f>
        <v>274.5</v>
      </c>
      <c r="E11" s="637">
        <f>AVERAGE('5'!$C$20,'5'!$D$20)</f>
        <v>13.5</v>
      </c>
      <c r="F11" s="637">
        <f>AVERAGE('5'!$C$21,'5'!$D$21)</f>
        <v>11</v>
      </c>
      <c r="G11" s="637">
        <f>AVERAGE('5'!$C$19,'5'!$D$19)</f>
        <v>12.375</v>
      </c>
      <c r="H11" s="637">
        <f>'5'!$E$20</f>
        <v>7</v>
      </c>
      <c r="I11" s="637">
        <f>'5'!$E$21</f>
        <v>5</v>
      </c>
      <c r="J11" s="647">
        <f>'5'!$E$19</f>
        <v>6</v>
      </c>
      <c r="K11" s="648">
        <f>'5'!$F$20</f>
        <v>89</v>
      </c>
      <c r="L11" s="637">
        <f>'5'!$F$21</f>
        <v>50</v>
      </c>
      <c r="M11" s="637">
        <f>'5'!$F$19</f>
        <v>62.91666667</v>
      </c>
      <c r="N11" s="637">
        <f>AVERAGE('5'!$G$20,'5'!$H$20)</f>
        <v>1.8</v>
      </c>
      <c r="O11" s="637">
        <f>AVERAGE('5'!$G$21,'5'!$H$21)</f>
        <v>1.45</v>
      </c>
      <c r="P11" s="637">
        <f>AVERAGE('5'!$G$19,'5'!$H$19)</f>
        <v>1.675</v>
      </c>
      <c r="Q11" s="649">
        <f>'5'!$I$20</f>
        <v>0.6</v>
      </c>
      <c r="R11" s="649">
        <f>'5'!$I$21</f>
        <v>0.5</v>
      </c>
      <c r="S11" s="649">
        <f>'5'!$I$19</f>
        <v>0.5833333333</v>
      </c>
      <c r="T11" s="649">
        <f>'5'!$J$20</f>
        <v>0.7</v>
      </c>
      <c r="U11" s="649">
        <f>'5'!$J$21</f>
        <v>0.6</v>
      </c>
      <c r="V11" s="650">
        <f>'5'!$J$19</f>
        <v>0.675</v>
      </c>
      <c r="W11" s="651">
        <f>'5'!$K$20</f>
        <v>7</v>
      </c>
      <c r="X11" s="649">
        <f>'5'!$K$21</f>
        <v>6.8</v>
      </c>
      <c r="Y11" s="649">
        <f>'5'!$K$19</f>
        <v>6.916666667</v>
      </c>
      <c r="Z11" s="641">
        <f>AVERAGE('5'!$L$20,'5'!$M$20)</f>
        <v>6.3</v>
      </c>
      <c r="AA11" s="641">
        <f>AVERAGE('5'!$L$21,'5'!$M$21)</f>
        <v>6.3</v>
      </c>
      <c r="AB11" s="641">
        <f>AVERAGE('5'!$L$19,'5'!$M$19)</f>
        <v>6.3</v>
      </c>
      <c r="AC11" s="649">
        <f>'5'!$N$20</f>
        <v>6</v>
      </c>
      <c r="AD11" s="649">
        <f>'5'!$N$21</f>
        <v>6</v>
      </c>
      <c r="AE11" s="650">
        <f>'5'!$N$19</f>
        <v>6</v>
      </c>
    </row>
    <row r="12" ht="18.75" customHeight="1">
      <c r="A12" s="644">
        <v>6.0</v>
      </c>
      <c r="B12" s="645">
        <f>'6'!$B$20</f>
        <v>286</v>
      </c>
      <c r="C12" s="646">
        <f>'6'!$B$21</f>
        <v>124</v>
      </c>
      <c r="D12" s="646">
        <f>'6'!$B$19</f>
        <v>218.1666667</v>
      </c>
      <c r="E12" s="637">
        <f>AVERAGE('6'!$C$20,'6'!$D$20)</f>
        <v>13.65</v>
      </c>
      <c r="F12" s="637">
        <f>AVERAGE('6'!$C$21,'6'!$D$21)</f>
        <v>10.5</v>
      </c>
      <c r="G12" s="637">
        <f>AVERAGE('6'!$C$19,'6'!$D$19)</f>
        <v>11.97916667</v>
      </c>
      <c r="H12" s="637">
        <f>'6'!$E$20</f>
        <v>6.8</v>
      </c>
      <c r="I12" s="637">
        <f>'6'!$E$21</f>
        <v>3.1</v>
      </c>
      <c r="J12" s="647">
        <f>'6'!$E$19</f>
        <v>5.016666667</v>
      </c>
      <c r="K12" s="648">
        <f>'6'!$F$20</f>
        <v>62</v>
      </c>
      <c r="L12" s="637">
        <f>'6'!$F$21</f>
        <v>46.4</v>
      </c>
      <c r="M12" s="637">
        <f>'6'!$F$19</f>
        <v>51.03333333</v>
      </c>
      <c r="N12" s="637">
        <f>AVERAGE('6'!$G$20,'6'!$H$20)</f>
        <v>1.75</v>
      </c>
      <c r="O12" s="637">
        <f>AVERAGE('6'!$G$21,'6'!$H$21)</f>
        <v>1.1</v>
      </c>
      <c r="P12" s="637">
        <f>AVERAGE('6'!$G$19,'6'!$H$19)</f>
        <v>1.358333333</v>
      </c>
      <c r="Q12" s="649">
        <f>'6'!$I$20</f>
        <v>0.6</v>
      </c>
      <c r="R12" s="649">
        <f>'6'!$I$21</f>
        <v>0.5</v>
      </c>
      <c r="S12" s="649">
        <f>'6'!$I$19</f>
        <v>0.55</v>
      </c>
      <c r="T12" s="649">
        <f>'6'!$J$20</f>
        <v>0.7</v>
      </c>
      <c r="U12" s="649">
        <f>'6'!$J$21</f>
        <v>0.5</v>
      </c>
      <c r="V12" s="650">
        <f>'6'!$J$19</f>
        <v>0.5916666667</v>
      </c>
      <c r="W12" s="651">
        <f>'6'!$K$20</f>
        <v>7.1</v>
      </c>
      <c r="X12" s="649">
        <f>'6'!$K$21</f>
        <v>6.8</v>
      </c>
      <c r="Y12" s="649">
        <f>'6'!$K$19</f>
        <v>7.008333333</v>
      </c>
      <c r="Z12" s="641">
        <f>AVERAGE('6'!$L$20,'6'!$M$20)</f>
        <v>6.5</v>
      </c>
      <c r="AA12" s="641">
        <f>AVERAGE('6'!$L$21,'6'!$M$21)</f>
        <v>6.25</v>
      </c>
      <c r="AB12" s="641">
        <f>AVERAGE('6'!$L$19,'6'!$M$19)</f>
        <v>6.358333333</v>
      </c>
      <c r="AC12" s="649">
        <f>'6'!$N$20</f>
        <v>6.1</v>
      </c>
      <c r="AD12" s="649">
        <f>'6'!$N$21</f>
        <v>6</v>
      </c>
      <c r="AE12" s="650">
        <f>'6'!$N$19</f>
        <v>6.066666667</v>
      </c>
    </row>
    <row r="13" ht="18.75" customHeight="1">
      <c r="A13" s="644">
        <v>7.0</v>
      </c>
      <c r="B13" s="645">
        <f>'7'!$B$20</f>
        <v>252</v>
      </c>
      <c r="C13" s="646">
        <f>'7'!$B$21</f>
        <v>220</v>
      </c>
      <c r="D13" s="646">
        <f>'7'!$B$19</f>
        <v>239.0833333</v>
      </c>
      <c r="E13" s="637">
        <f>AVERAGE('7'!$C$20,'7'!$D$20)</f>
        <v>19</v>
      </c>
      <c r="F13" s="637">
        <f>AVERAGE('7'!$C$21,'7'!$D$21)</f>
        <v>11.95</v>
      </c>
      <c r="G13" s="637">
        <f>AVERAGE('7'!$C$19,'7'!$D$19)</f>
        <v>15.12916667</v>
      </c>
      <c r="H13" s="637">
        <f>'7'!$E$20</f>
        <v>8</v>
      </c>
      <c r="I13" s="637">
        <f>'7'!$E$21</f>
        <v>6.8</v>
      </c>
      <c r="J13" s="647">
        <f>'7'!$E$19</f>
        <v>7.625</v>
      </c>
      <c r="K13" s="648">
        <f>'6'!$F$20</f>
        <v>62</v>
      </c>
      <c r="L13" s="637">
        <f>'6'!$F$21</f>
        <v>46.4</v>
      </c>
      <c r="M13" s="637">
        <f>'7'!$F$19</f>
        <v>37.45833333</v>
      </c>
      <c r="N13" s="637">
        <f>AVERAGE('7'!$G$20,'7'!$H$20)</f>
        <v>1.7</v>
      </c>
      <c r="O13" s="637">
        <f>AVERAGE('7'!$G$21,'7'!$H$21)</f>
        <v>0.9</v>
      </c>
      <c r="P13" s="637">
        <f>AVERAGE('7'!$G$19,'7'!$H$19)</f>
        <v>1.3375</v>
      </c>
      <c r="Q13" s="649">
        <f>'7'!$I$20</f>
        <v>0.7</v>
      </c>
      <c r="R13" s="649">
        <f>'7'!$I$21</f>
        <v>0.6</v>
      </c>
      <c r="S13" s="649">
        <f>'7'!$I$19</f>
        <v>0.625</v>
      </c>
      <c r="T13" s="649">
        <f>'7'!$J$20</f>
        <v>0.8</v>
      </c>
      <c r="U13" s="649">
        <f>'7'!$J$21</f>
        <v>0.6</v>
      </c>
      <c r="V13" s="650">
        <f>'7'!$J$19</f>
        <v>0.675</v>
      </c>
      <c r="W13" s="651">
        <f>'7'!$K$20</f>
        <v>6.9</v>
      </c>
      <c r="X13" s="649">
        <f>'7'!$K$21</f>
        <v>6.8</v>
      </c>
      <c r="Y13" s="649">
        <f>'7'!$K$19</f>
        <v>6.825</v>
      </c>
      <c r="Z13" s="641">
        <f>AVERAGE('7'!$L$20,'7'!$M$20)</f>
        <v>6.5</v>
      </c>
      <c r="AA13" s="641">
        <f>AVERAGE('7'!$L$21,'7'!$M$21)</f>
        <v>6.25</v>
      </c>
      <c r="AB13" s="641">
        <f>AVERAGE('7'!$L$19,'7'!$M$19)</f>
        <v>6.445833333</v>
      </c>
      <c r="AC13" s="649">
        <f>'7'!$N$20</f>
        <v>6.2</v>
      </c>
      <c r="AD13" s="649">
        <f>'7'!$N$21</f>
        <v>6.1</v>
      </c>
      <c r="AE13" s="650">
        <f>'7'!$N$19</f>
        <v>6.15</v>
      </c>
    </row>
    <row r="14" ht="18.75" customHeight="1">
      <c r="A14" s="644">
        <v>8.0</v>
      </c>
      <c r="B14" s="645">
        <f>'8'!$B$20</f>
        <v>244</v>
      </c>
      <c r="C14" s="646">
        <f>'8'!$B$21</f>
        <v>218</v>
      </c>
      <c r="D14" s="646">
        <f>'8'!$B$19</f>
        <v>225.25</v>
      </c>
      <c r="E14" s="637">
        <f>AVERAGE('8'!$C$20,'8'!$D$20)</f>
        <v>14.5</v>
      </c>
      <c r="F14" s="637">
        <f>AVERAGE('8'!$C$21,'8'!$D$21)</f>
        <v>10.5</v>
      </c>
      <c r="G14" s="637">
        <f>AVERAGE('8'!$C$19,'8'!$D$19)</f>
        <v>12.54166667</v>
      </c>
      <c r="H14" s="637">
        <f>'8'!$E$20</f>
        <v>8</v>
      </c>
      <c r="I14" s="637">
        <f>'8'!$E$21</f>
        <v>5</v>
      </c>
      <c r="J14" s="647">
        <f>'8'!$E$19</f>
        <v>6.666666667</v>
      </c>
      <c r="K14" s="648">
        <f>'8'!$F$20</f>
        <v>38</v>
      </c>
      <c r="L14" s="637">
        <f>'8'!$F$21</f>
        <v>28</v>
      </c>
      <c r="M14" s="637">
        <f>'8'!$F$19</f>
        <v>31</v>
      </c>
      <c r="N14" s="637">
        <f>AVERAGE('8'!$G$20,'8'!$H$20)</f>
        <v>1.4</v>
      </c>
      <c r="O14" s="637">
        <f>AVERAGE('8'!$G$21,'8'!$H$21)</f>
        <v>0.8</v>
      </c>
      <c r="P14" s="637">
        <f>AVERAGE('8'!$G$19,'8'!$H$19)</f>
        <v>1.1125</v>
      </c>
      <c r="Q14" s="649">
        <f>'8'!$I$20</f>
        <v>0.7</v>
      </c>
      <c r="R14" s="649">
        <f>'8'!$I$21</f>
        <v>0.5</v>
      </c>
      <c r="S14" s="649">
        <f>'8'!$I$19</f>
        <v>0.6</v>
      </c>
      <c r="T14" s="649">
        <f>'8'!$J$20</f>
        <v>1.2</v>
      </c>
      <c r="U14" s="649">
        <f>'8'!$J$21</f>
        <v>0.5</v>
      </c>
      <c r="V14" s="650">
        <f>'8'!$J$19</f>
        <v>0.7583333333</v>
      </c>
      <c r="W14" s="651">
        <f>'8'!$K$20</f>
        <v>6.9</v>
      </c>
      <c r="X14" s="649">
        <f>'8'!$K$21</f>
        <v>6.9</v>
      </c>
      <c r="Y14" s="649">
        <f>'8'!$K$19</f>
        <v>6.9</v>
      </c>
      <c r="Z14" s="641">
        <f>AVERAGE('8'!$L$20,'8'!$M$20)</f>
        <v>6.5</v>
      </c>
      <c r="AA14" s="641">
        <f>AVERAGE('8'!$L$21,'8'!$M$21)</f>
        <v>6.5</v>
      </c>
      <c r="AB14" s="641">
        <f>AVERAGE('8'!$L$19,'8'!$M$19)</f>
        <v>6.5</v>
      </c>
      <c r="AC14" s="649">
        <f>'8'!$N$20</f>
        <v>6.1</v>
      </c>
      <c r="AD14" s="649">
        <f>'8'!$N$21</f>
        <v>6.1</v>
      </c>
      <c r="AE14" s="650">
        <f>'8'!$N$19</f>
        <v>6.1</v>
      </c>
    </row>
    <row r="15" ht="18.75" customHeight="1">
      <c r="A15" s="644">
        <v>9.0</v>
      </c>
      <c r="B15" s="645">
        <f>'9'!$B$20</f>
        <v>223</v>
      </c>
      <c r="C15" s="646">
        <f>'9'!$B$21</f>
        <v>108</v>
      </c>
      <c r="D15" s="646">
        <f>'9'!$B$19</f>
        <v>148.75</v>
      </c>
      <c r="E15" s="637">
        <f>AVERAGE('9'!$C$20,'9'!$D$20)</f>
        <v>12.5</v>
      </c>
      <c r="F15" s="637">
        <f>AVERAGE('9'!$C$21,'9'!$D$21)</f>
        <v>10</v>
      </c>
      <c r="G15" s="637">
        <f>AVERAGE('9'!$C$19,'9'!$D$19)</f>
        <v>11.125</v>
      </c>
      <c r="H15" s="637">
        <f>'9'!$E$20</f>
        <v>7</v>
      </c>
      <c r="I15" s="637">
        <f>'9'!$E$21</f>
        <v>4</v>
      </c>
      <c r="J15" s="647">
        <f>'9'!$E$19</f>
        <v>5.583333333</v>
      </c>
      <c r="K15" s="648">
        <f>'9'!$F$20</f>
        <v>32</v>
      </c>
      <c r="L15" s="637">
        <f>'9'!$F$21</f>
        <v>26</v>
      </c>
      <c r="M15" s="637">
        <f>'9'!$F$19</f>
        <v>29.58333333</v>
      </c>
      <c r="N15" s="637">
        <f>AVERAGE('9'!$G$20,'9'!$H$20)</f>
        <v>1.3</v>
      </c>
      <c r="O15" s="637">
        <f>AVERAGE('9'!$G$21,'9'!$H$21)</f>
        <v>0.905</v>
      </c>
      <c r="P15" s="637">
        <f>AVERAGE('9'!$G$19,'9'!$H$19)</f>
        <v>1.112916667</v>
      </c>
      <c r="Q15" s="649">
        <f>'9'!$I$20</f>
        <v>0.8</v>
      </c>
      <c r="R15" s="649">
        <f>'9'!$I$21</f>
        <v>0.4</v>
      </c>
      <c r="S15" s="649">
        <f>'9'!$I$19</f>
        <v>0.5416666667</v>
      </c>
      <c r="T15" s="649">
        <f>'9'!$J$20</f>
        <v>0.7</v>
      </c>
      <c r="U15" s="649">
        <f>'9'!$J$21</f>
        <v>0.5</v>
      </c>
      <c r="V15" s="650">
        <f>'9'!$J$19</f>
        <v>0.5583333333</v>
      </c>
      <c r="W15" s="651">
        <f>'9'!$K$20</f>
        <v>6.9</v>
      </c>
      <c r="X15" s="649">
        <f>'9'!$K$21</f>
        <v>6.9</v>
      </c>
      <c r="Y15" s="649">
        <f>'9'!$K$19</f>
        <v>6.9</v>
      </c>
      <c r="Z15" s="641">
        <f>AVERAGE('9'!$L$20,'9'!$M$20)</f>
        <v>6.5</v>
      </c>
      <c r="AA15" s="641">
        <f>AVERAGE('9'!$L$21,'9'!$M$21)</f>
        <v>6.5</v>
      </c>
      <c r="AB15" s="641">
        <f>AVERAGE('9'!$L$19,'9'!$M$19)</f>
        <v>6.5</v>
      </c>
      <c r="AC15" s="649">
        <f>'9'!$N$20</f>
        <v>6.1</v>
      </c>
      <c r="AD15" s="649">
        <f>'9'!$N$21</f>
        <v>6.1</v>
      </c>
      <c r="AE15" s="650">
        <f>'9'!$N$19</f>
        <v>6.1</v>
      </c>
    </row>
    <row r="16" ht="18.75" customHeight="1">
      <c r="A16" s="644">
        <v>10.0</v>
      </c>
      <c r="B16" s="645">
        <f>'10'!$B$20</f>
        <v>114</v>
      </c>
      <c r="C16" s="646">
        <f>'10'!$B$21</f>
        <v>95.2</v>
      </c>
      <c r="D16" s="646">
        <f>'10'!$B$19</f>
        <v>104.0416667</v>
      </c>
      <c r="E16" s="637">
        <f>AVERAGE('10'!$C$20,'10'!$D$20)</f>
        <v>11.5</v>
      </c>
      <c r="F16" s="637">
        <f>AVERAGE('10'!$C$21,'10'!$D$21)</f>
        <v>8.65</v>
      </c>
      <c r="G16" s="637">
        <f>AVERAGE('10'!$C$19,'10'!$D$19)</f>
        <v>9.916666667</v>
      </c>
      <c r="H16" s="637">
        <f>'10'!$E$20</f>
        <v>4</v>
      </c>
      <c r="I16" s="637">
        <f>'10'!$E$21</f>
        <v>2</v>
      </c>
      <c r="J16" s="647">
        <f>'10'!$E$19</f>
        <v>3.55</v>
      </c>
      <c r="K16" s="648">
        <f>'10'!$F$20</f>
        <v>27</v>
      </c>
      <c r="L16" s="637">
        <f>'10'!$F$21</f>
        <v>20</v>
      </c>
      <c r="M16" s="637">
        <f>'10'!$F$19</f>
        <v>22.55</v>
      </c>
      <c r="N16" s="637">
        <f>AVERAGE('10'!$G$20,'10'!$H$20)</f>
        <v>1.35</v>
      </c>
      <c r="O16" s="637">
        <f>AVERAGE('10'!$G$21,'10'!$H$21)</f>
        <v>0.8</v>
      </c>
      <c r="P16" s="637">
        <f>AVERAGE('10'!$G$19,'10'!$H$19)</f>
        <v>1.075</v>
      </c>
      <c r="Q16" s="649">
        <f>'10'!$I$20</f>
        <v>0.6</v>
      </c>
      <c r="R16" s="649">
        <f>'10'!$I$21</f>
        <v>0.4</v>
      </c>
      <c r="S16" s="649">
        <f>'10'!$I$19</f>
        <v>0.5416666667</v>
      </c>
      <c r="T16" s="649">
        <f>'10'!$J$20</f>
        <v>0.6</v>
      </c>
      <c r="U16" s="649">
        <f>'10'!$J$21</f>
        <v>0.4</v>
      </c>
      <c r="V16" s="650">
        <f>'10'!$J$19</f>
        <v>0.4833333333</v>
      </c>
      <c r="W16" s="651">
        <f>'10'!$K$20</f>
        <v>6.9</v>
      </c>
      <c r="X16" s="649">
        <f>'10'!$K$21</f>
        <v>6.8</v>
      </c>
      <c r="Y16" s="649">
        <f>'10'!$K$19</f>
        <v>6.881818182</v>
      </c>
      <c r="Z16" s="641">
        <f>AVERAGE('10'!$L$20,'10'!$M$20)</f>
        <v>6.6</v>
      </c>
      <c r="AA16" s="641">
        <f>AVERAGE('10'!$L$21,'10'!$M$21)</f>
        <v>6.4</v>
      </c>
      <c r="AB16" s="641">
        <f>AVERAGE('10'!$L$19,'10'!$M$19)</f>
        <v>6.4625</v>
      </c>
      <c r="AC16" s="649">
        <f>'10'!$N$20</f>
        <v>6.2</v>
      </c>
      <c r="AD16" s="649">
        <f>'10'!$N$21</f>
        <v>6.1</v>
      </c>
      <c r="AE16" s="650">
        <f>'10'!$N$19</f>
        <v>6.116666667</v>
      </c>
    </row>
    <row r="17" ht="18.75" customHeight="1">
      <c r="A17" s="644">
        <v>11.0</v>
      </c>
      <c r="B17" s="645">
        <f>'11'!$B$20</f>
        <v>112</v>
      </c>
      <c r="C17" s="646">
        <f>'11'!$B$21</f>
        <v>79</v>
      </c>
      <c r="D17" s="646">
        <f>'11'!$B$19</f>
        <v>95.08333333</v>
      </c>
      <c r="E17" s="637">
        <f>AVERAGE('11'!$C$20,'11'!$D$20)</f>
        <v>12.5</v>
      </c>
      <c r="F17" s="637">
        <f>AVERAGE('11'!$C$21,'11'!$D$21)</f>
        <v>8</v>
      </c>
      <c r="G17" s="637">
        <f>AVERAGE('11'!$C$19,'11'!$D$19)</f>
        <v>10.5625</v>
      </c>
      <c r="H17" s="637">
        <f>'11'!$E$20</f>
        <v>6</v>
      </c>
      <c r="I17" s="637">
        <f>'11'!$E$21</f>
        <v>2</v>
      </c>
      <c r="J17" s="647">
        <f>'11'!$E$19</f>
        <v>4.066666667</v>
      </c>
      <c r="K17" s="648">
        <f>'11'!$F$20</f>
        <v>22.6</v>
      </c>
      <c r="L17" s="637">
        <f>'11'!$F$21</f>
        <v>14</v>
      </c>
      <c r="M17" s="637">
        <f>'11'!$F$19</f>
        <v>18.63333333</v>
      </c>
      <c r="N17" s="637">
        <f>AVERAGE('11'!$G$20,'11'!$H$20)</f>
        <v>1.35</v>
      </c>
      <c r="O17" s="637">
        <f>AVERAGE('11'!$G$21,'11'!$H$21)</f>
        <v>0.9</v>
      </c>
      <c r="P17" s="637">
        <f>AVERAGE('11'!$G$19,'11'!$H$19)</f>
        <v>1.191666667</v>
      </c>
      <c r="Q17" s="649">
        <f>'11'!$I$20</f>
        <v>0.6</v>
      </c>
      <c r="R17" s="649">
        <f>'11'!$I$21</f>
        <v>0.5</v>
      </c>
      <c r="S17" s="649">
        <f>'11'!$I$19</f>
        <v>0.5666666667</v>
      </c>
      <c r="T17" s="649">
        <f>'11'!$J$20</f>
        <v>0.6</v>
      </c>
      <c r="U17" s="649">
        <f>'11'!$J$21</f>
        <v>0.5</v>
      </c>
      <c r="V17" s="650">
        <f>'11'!$J$19</f>
        <v>0.5083333333</v>
      </c>
      <c r="W17" s="651">
        <f>'11'!$K$20</f>
        <v>6.9</v>
      </c>
      <c r="X17" s="649">
        <f>'11'!$K$21</f>
        <v>6.9</v>
      </c>
      <c r="Y17" s="649">
        <f>'11'!$K$19</f>
        <v>6.9</v>
      </c>
      <c r="Z17" s="641">
        <f>AVERAGE('11'!$L$20,'11'!$M$20)</f>
        <v>6.45</v>
      </c>
      <c r="AA17" s="641">
        <f>AVERAGE('11'!$L$21,'11'!$M$21)</f>
        <v>6.45</v>
      </c>
      <c r="AB17" s="641">
        <f>AVERAGE('11'!$L$19,'11'!$M$19)</f>
        <v>6.45</v>
      </c>
      <c r="AC17" s="649">
        <f>'11'!$N$20</f>
        <v>6.2</v>
      </c>
      <c r="AD17" s="649">
        <f>'11'!$N$21</f>
        <v>6.2</v>
      </c>
      <c r="AE17" s="650">
        <f>'11'!$N$19</f>
        <v>6.2</v>
      </c>
    </row>
    <row r="18" ht="18.75" customHeight="1">
      <c r="A18" s="644">
        <v>12.0</v>
      </c>
      <c r="B18" s="645">
        <f>'12'!$B$20</f>
        <v>115</v>
      </c>
      <c r="C18" s="646">
        <f>'12'!$B$21</f>
        <v>82</v>
      </c>
      <c r="D18" s="646">
        <f>'12'!$B$19</f>
        <v>92.91666667</v>
      </c>
      <c r="E18" s="637">
        <f>AVERAGE('12'!$C$20,'12'!$D$20)</f>
        <v>14</v>
      </c>
      <c r="F18" s="637">
        <f>AVERAGE('12'!$C$21,'12'!$D$21)</f>
        <v>9</v>
      </c>
      <c r="G18" s="637">
        <f>AVERAGE('12'!$C$19,'12'!$D$19)</f>
        <v>11.625</v>
      </c>
      <c r="H18" s="637">
        <f>'12'!$E$20</f>
        <v>6</v>
      </c>
      <c r="I18" s="637">
        <f>'12'!$E$21</f>
        <v>3</v>
      </c>
      <c r="J18" s="647">
        <f>'12'!$E$19</f>
        <v>4.416666667</v>
      </c>
      <c r="K18" s="648">
        <f>'12'!$F$20</f>
        <v>24</v>
      </c>
      <c r="L18" s="637">
        <f>'12'!$F$21</f>
        <v>15</v>
      </c>
      <c r="M18" s="637">
        <f>'12'!$F$19</f>
        <v>18.08333333</v>
      </c>
      <c r="N18" s="637">
        <f>AVERAGE('12'!$G$20,'12'!$H$20)</f>
        <v>1.25</v>
      </c>
      <c r="O18" s="637">
        <f>AVERAGE('12'!$G$21,'12'!$H$21)</f>
        <v>0.95</v>
      </c>
      <c r="P18" s="637">
        <f>AVERAGE('12'!$G$19,'12'!$H$19)</f>
        <v>1.070833333</v>
      </c>
      <c r="Q18" s="649">
        <f>'12'!$I$20</f>
        <v>0.6</v>
      </c>
      <c r="R18" s="649">
        <f>'12'!$I$21</f>
        <v>0.4</v>
      </c>
      <c r="S18" s="649">
        <f>'12'!$I$19</f>
        <v>0.4583333333</v>
      </c>
      <c r="T18" s="649">
        <f>'12'!$J$20</f>
        <v>0.6</v>
      </c>
      <c r="U18" s="649">
        <f>'12'!$J$21</f>
        <v>0.4</v>
      </c>
      <c r="V18" s="652">
        <f>'12'!$J$19</f>
        <v>0.4916666667</v>
      </c>
      <c r="W18" s="653">
        <f>'12'!$K$20</f>
        <v>6.9</v>
      </c>
      <c r="X18" s="649">
        <f>'12'!$K$21</f>
        <v>6.9</v>
      </c>
      <c r="Y18" s="649">
        <f>'12'!$K$19</f>
        <v>6.9</v>
      </c>
      <c r="Z18" s="641">
        <f>AVERAGE('12'!$L$20,'12'!$M$20)</f>
        <v>6.5</v>
      </c>
      <c r="AA18" s="641">
        <f>AVERAGE('12'!$L$21,'12'!$M$21)</f>
        <v>6.5</v>
      </c>
      <c r="AB18" s="641">
        <f>AVERAGE('12'!$L$19,'12'!$M$19)</f>
        <v>6.5</v>
      </c>
      <c r="AC18" s="649">
        <f>'12'!$N$20</f>
        <v>6.2</v>
      </c>
      <c r="AD18" s="649">
        <f>'12'!$N$21</f>
        <v>6.2</v>
      </c>
      <c r="AE18" s="650">
        <f>'12'!$N$19</f>
        <v>6.2</v>
      </c>
    </row>
    <row r="19" ht="18.75" customHeight="1">
      <c r="A19" s="644">
        <v>13.0</v>
      </c>
      <c r="B19" s="645">
        <f>'13'!$B$20</f>
        <v>97</v>
      </c>
      <c r="C19" s="646">
        <f>'13'!$B$21</f>
        <v>80</v>
      </c>
      <c r="D19" s="646">
        <f>'13'!$B$19</f>
        <v>85.91666667</v>
      </c>
      <c r="E19" s="637">
        <f>AVERAGE('13'!$C$20,'13'!$D$20)</f>
        <v>14.5</v>
      </c>
      <c r="F19" s="637">
        <f>AVERAGE('13'!$C$21,'13'!$D$21)</f>
        <v>13.5</v>
      </c>
      <c r="G19" s="637">
        <f>AVERAGE('13'!$C$19,'13'!$D$19)</f>
        <v>14.08333333</v>
      </c>
      <c r="H19" s="637">
        <f>'13'!$E$20</f>
        <v>7</v>
      </c>
      <c r="I19" s="637">
        <f>'13'!$E$21</f>
        <v>5</v>
      </c>
      <c r="J19" s="647">
        <f>'13'!$E$19</f>
        <v>6.25</v>
      </c>
      <c r="K19" s="648">
        <f>'13'!$F$20</f>
        <v>20</v>
      </c>
      <c r="L19" s="637">
        <f>'13'!$F$21</f>
        <v>13</v>
      </c>
      <c r="M19" s="637">
        <f>'13'!$F$19</f>
        <v>15.08333333</v>
      </c>
      <c r="N19" s="637">
        <f>AVERAGE('13'!$G$20,'13'!$H$20)</f>
        <v>1.2</v>
      </c>
      <c r="O19" s="637">
        <f>AVERAGE('13'!$G$21,'13'!$H$21)</f>
        <v>0.8</v>
      </c>
      <c r="P19" s="637">
        <f>AVERAGE('13'!$G$19,'13'!$H$19)</f>
        <v>1.05</v>
      </c>
      <c r="Q19" s="649">
        <f>'13'!$I$20</f>
        <v>0.7</v>
      </c>
      <c r="R19" s="649">
        <f>'13'!$I$21</f>
        <v>0.5</v>
      </c>
      <c r="S19" s="649">
        <f>'13'!$I$18</f>
        <v>0.6</v>
      </c>
      <c r="T19" s="649">
        <f>'13'!$J$20</f>
        <v>0.7</v>
      </c>
      <c r="U19" s="649">
        <f>'13'!$J$21</f>
        <v>0.4</v>
      </c>
      <c r="V19" s="650">
        <f>'13'!$J$18</f>
        <v>0.6</v>
      </c>
      <c r="W19" s="651">
        <f>'13'!$K$20</f>
        <v>6.9</v>
      </c>
      <c r="X19" s="649">
        <f>'13'!$K$21</f>
        <v>6.9</v>
      </c>
      <c r="Y19" s="649">
        <f>'13'!$K$19</f>
        <v>6.9</v>
      </c>
      <c r="Z19" s="641">
        <f>AVERAGE('13'!$L$20,'13'!$M$20)</f>
        <v>6.5</v>
      </c>
      <c r="AA19" s="641">
        <f>AVERAGE('13'!$L$21,'13'!$M$21)</f>
        <v>6.5</v>
      </c>
      <c r="AB19" s="641">
        <f>AVERAGE('13'!$L$19,'13'!$M$19)</f>
        <v>6.5</v>
      </c>
      <c r="AC19" s="649">
        <f>'13'!$N$20</f>
        <v>6.2</v>
      </c>
      <c r="AD19" s="649">
        <f>'13'!$N$21</f>
        <v>6.2</v>
      </c>
      <c r="AE19" s="650">
        <f>'13'!$N$19</f>
        <v>6.2</v>
      </c>
    </row>
    <row r="20" ht="18.75" customHeight="1">
      <c r="A20" s="644">
        <v>14.0</v>
      </c>
      <c r="B20" s="645">
        <f>'14'!$B$20</f>
        <v>98</v>
      </c>
      <c r="C20" s="646">
        <f>'14'!$B$21</f>
        <v>74</v>
      </c>
      <c r="D20" s="646">
        <f>'14'!$B$19</f>
        <v>83.33333333</v>
      </c>
      <c r="E20" s="637">
        <f>AVERAGE('14'!$C$20,'14'!$D$20)</f>
        <v>16</v>
      </c>
      <c r="F20" s="637">
        <f>AVERAGE('14'!$C$21,'14'!$D$21)</f>
        <v>13</v>
      </c>
      <c r="G20" s="637">
        <f>AVERAGE('14'!$C$19,'14'!$D$19)</f>
        <v>14.41666667</v>
      </c>
      <c r="H20" s="654">
        <f>'14'!$E$20</f>
        <v>8</v>
      </c>
      <c r="I20" s="637">
        <f>'14'!$E$21</f>
        <v>5</v>
      </c>
      <c r="J20" s="647">
        <f>'14'!$E$19</f>
        <v>6.333333333</v>
      </c>
      <c r="K20" s="648">
        <f>'14'!$F$20</f>
        <v>18</v>
      </c>
      <c r="L20" s="637">
        <f>'14'!$F$21</f>
        <v>11</v>
      </c>
      <c r="M20" s="637">
        <f>'14'!$F$19</f>
        <v>13.75</v>
      </c>
      <c r="N20" s="637">
        <f>AVERAGE('14'!$G$20,'14'!$H$20)</f>
        <v>1.2</v>
      </c>
      <c r="O20" s="637">
        <f>AVERAGE('14'!$G$21,'14'!$H$21)</f>
        <v>0.75</v>
      </c>
      <c r="P20" s="637">
        <f>AVERAGE('14'!$G$19,'14'!$H$19)</f>
        <v>0.9958333333</v>
      </c>
      <c r="Q20" s="649">
        <f>'14'!$I$20</f>
        <v>0.5</v>
      </c>
      <c r="R20" s="649">
        <f>'14'!$I$21</f>
        <v>0.5</v>
      </c>
      <c r="S20" s="649">
        <f>'14'!$I$19</f>
        <v>0.5</v>
      </c>
      <c r="T20" s="649">
        <f>'14'!$J$20</f>
        <v>0.6</v>
      </c>
      <c r="U20" s="649">
        <f>'14'!$J$21</f>
        <v>0.5</v>
      </c>
      <c r="V20" s="650">
        <f>'14'!$J$19</f>
        <v>0.5083333333</v>
      </c>
      <c r="W20" s="651">
        <f>'14'!$K$20</f>
        <v>6.9</v>
      </c>
      <c r="X20" s="649">
        <f>'14'!$K$21</f>
        <v>6.9</v>
      </c>
      <c r="Y20" s="649">
        <f>'14'!$K$19</f>
        <v>6.9</v>
      </c>
      <c r="Z20" s="641">
        <f>AVERAGE('14'!$L$20,'14'!$M$20)</f>
        <v>6.5</v>
      </c>
      <c r="AA20" s="641">
        <f>AVERAGE('14'!$L$21,'14'!$M$21)</f>
        <v>6.5</v>
      </c>
      <c r="AB20" s="641">
        <f>AVERAGE('14'!$L$19,'14'!$M$19)</f>
        <v>6.5</v>
      </c>
      <c r="AC20" s="649">
        <f>'14'!$N$20</f>
        <v>6.2</v>
      </c>
      <c r="AD20" s="649">
        <f>'14'!$N$21</f>
        <v>6.2</v>
      </c>
      <c r="AE20" s="650">
        <f>'14'!$N$19</f>
        <v>6.2</v>
      </c>
    </row>
    <row r="21" ht="18.75" customHeight="1">
      <c r="A21" s="644">
        <v>15.0</v>
      </c>
      <c r="B21" s="645">
        <f>'15'!$B$20</f>
        <v>90</v>
      </c>
      <c r="C21" s="646">
        <f>'15'!$B$21</f>
        <v>78</v>
      </c>
      <c r="D21" s="646">
        <f>'15'!$B$19</f>
        <v>84</v>
      </c>
      <c r="E21" s="637">
        <f>AVERAGE('15'!$C$20,'15'!$D$20)</f>
        <v>15.5</v>
      </c>
      <c r="F21" s="637">
        <f>AVERAGE('15'!$C$21,'15'!$D$21)</f>
        <v>12</v>
      </c>
      <c r="G21" s="637">
        <f>AVERAGE('15'!$C$19,'15'!$D$19)</f>
        <v>13.58333333</v>
      </c>
      <c r="H21" s="637">
        <f>'15'!$E$20</f>
        <v>6</v>
      </c>
      <c r="I21" s="637">
        <f>'15'!$E$21</f>
        <v>4</v>
      </c>
      <c r="J21" s="647">
        <f>'15'!$E$19</f>
        <v>5.5</v>
      </c>
      <c r="K21" s="648">
        <f>'15'!$F$20</f>
        <v>14</v>
      </c>
      <c r="L21" s="637">
        <f>'15'!$F$21</f>
        <v>12</v>
      </c>
      <c r="M21" s="637">
        <f>'15'!$F$19</f>
        <v>13.08333333</v>
      </c>
      <c r="N21" s="637">
        <f>AVERAGE('15'!$G$20,'15'!$H$20)</f>
        <v>1.25</v>
      </c>
      <c r="O21" s="637">
        <f>AVERAGE('15'!$G$21,'15'!$H$21)</f>
        <v>1.05</v>
      </c>
      <c r="P21" s="637">
        <f>AVERAGE('15'!$G$19,'15'!$H$19)</f>
        <v>1.158333333</v>
      </c>
      <c r="Q21" s="649">
        <f>'15'!$I$20</f>
        <v>0.5</v>
      </c>
      <c r="R21" s="649">
        <f>'15'!$I$21</f>
        <v>0.4</v>
      </c>
      <c r="S21" s="649">
        <f>'15'!$I$19</f>
        <v>0.4833333333</v>
      </c>
      <c r="T21" s="649">
        <f>'15'!$J$20</f>
        <v>0.6</v>
      </c>
      <c r="U21" s="649">
        <f>'15'!$J$21</f>
        <v>0.5</v>
      </c>
      <c r="V21" s="650">
        <f>'15'!$J$19</f>
        <v>0.5333333333</v>
      </c>
      <c r="W21" s="651">
        <f>'15'!$K$20</f>
        <v>6.9</v>
      </c>
      <c r="X21" s="649">
        <f>'15'!$K$21</f>
        <v>6.9</v>
      </c>
      <c r="Y21" s="649">
        <f>'15'!$K$19</f>
        <v>6.9</v>
      </c>
      <c r="Z21" s="641">
        <f>AVERAGE('15'!$L$20,'15'!$M$20)</f>
        <v>6.5</v>
      </c>
      <c r="AA21" s="641">
        <f>AVERAGE('15'!$L$21,'15'!$M$21)</f>
        <v>6.5</v>
      </c>
      <c r="AB21" s="641">
        <f>AVERAGE('15'!$L$19,'15'!$M$19)</f>
        <v>6.5</v>
      </c>
      <c r="AC21" s="649">
        <f>'15'!$N$20</f>
        <v>6.52</v>
      </c>
      <c r="AD21" s="649">
        <f>'15'!$N$21</f>
        <v>6.2</v>
      </c>
      <c r="AE21" s="650">
        <f>'15'!$N$19</f>
        <v>6.44</v>
      </c>
    </row>
    <row r="22" ht="18.75" customHeight="1">
      <c r="A22" s="644">
        <v>16.0</v>
      </c>
      <c r="B22" s="645">
        <f>'16'!$B$20</f>
        <v>116</v>
      </c>
      <c r="C22" s="646">
        <f>'16'!$B$21</f>
        <v>60</v>
      </c>
      <c r="D22" s="646">
        <f>'16'!$B$19</f>
        <v>88</v>
      </c>
      <c r="E22" s="637">
        <f>AVERAGE('16'!$C$20,'16'!$D$20)</f>
        <v>18.5</v>
      </c>
      <c r="F22" s="637">
        <f>AVERAGE('16'!$C$21,'16'!$D$21)</f>
        <v>14.5</v>
      </c>
      <c r="G22" s="637">
        <f>AVERAGE('16'!$C$19,'16'!$D$19)</f>
        <v>15.66666667</v>
      </c>
      <c r="H22" s="654">
        <f>'16'!$E$20</f>
        <v>11</v>
      </c>
      <c r="I22" s="637">
        <f>'16'!$E$21</f>
        <v>4</v>
      </c>
      <c r="J22" s="647">
        <f>'16'!$E$19</f>
        <v>7.333333333</v>
      </c>
      <c r="K22" s="648">
        <f>'16'!$F$20</f>
        <v>15</v>
      </c>
      <c r="L22" s="637">
        <f>'16'!$F$21</f>
        <v>5</v>
      </c>
      <c r="M22" s="637">
        <f>'16'!$D$18</f>
        <v>14</v>
      </c>
      <c r="N22" s="637">
        <f>AVERAGE('16'!$G$20,'16'!$H$20)</f>
        <v>1.4</v>
      </c>
      <c r="O22" s="637">
        <f>AVERAGE('16'!$G$21,'16'!$H$21)</f>
        <v>0.75</v>
      </c>
      <c r="P22" s="637">
        <f>AVERAGE('16'!$G$19,'16'!$H$19)</f>
        <v>1.108333333</v>
      </c>
      <c r="Q22" s="649">
        <f>'16'!$I$20</f>
        <v>0.7</v>
      </c>
      <c r="R22" s="649">
        <f>'16'!$I$21</f>
        <v>0.4</v>
      </c>
      <c r="S22" s="649">
        <f>'16'!$I$19</f>
        <v>0.5416666667</v>
      </c>
      <c r="T22" s="649">
        <f>'16'!$J$20</f>
        <v>0.6</v>
      </c>
      <c r="U22" s="649">
        <f>'16'!$J$21</f>
        <v>0.4</v>
      </c>
      <c r="V22" s="650">
        <f>'16'!$H$19</f>
        <v>1</v>
      </c>
      <c r="W22" s="651">
        <f>'16'!$K$20</f>
        <v>6.9</v>
      </c>
      <c r="X22" s="649">
        <f>'16'!$K$21</f>
        <v>6.9</v>
      </c>
      <c r="Y22" s="649">
        <f>'16'!$K$19</f>
        <v>6.9</v>
      </c>
      <c r="Z22" s="641">
        <f>AVERAGE('16'!$L$20,'16'!$M$20)</f>
        <v>6.5</v>
      </c>
      <c r="AA22" s="641">
        <f>AVERAGE('16'!$L$21,'16'!$M$21)</f>
        <v>6.45</v>
      </c>
      <c r="AB22" s="641">
        <f>AVERAGE('16'!$L$19,'16'!$M$19)</f>
        <v>6.466666667</v>
      </c>
      <c r="AC22" s="649">
        <f>'16'!$N$20</f>
        <v>6.2</v>
      </c>
      <c r="AD22" s="649">
        <f>'16'!$N$21</f>
        <v>6.1</v>
      </c>
      <c r="AE22" s="650">
        <f>'16'!$L$18</f>
        <v>6.5</v>
      </c>
    </row>
    <row r="23" ht="18.75" customHeight="1">
      <c r="A23" s="644">
        <v>17.0</v>
      </c>
      <c r="B23" s="645">
        <f>'17'!$B$20</f>
        <v>94</v>
      </c>
      <c r="C23" s="646">
        <f>'17'!$B$21</f>
        <v>67</v>
      </c>
      <c r="D23" s="646">
        <f>'17'!$B$19</f>
        <v>79.33333333</v>
      </c>
      <c r="E23" s="637">
        <f>AVERAGE('17'!$C$20,'17'!$D$20)</f>
        <v>15.5</v>
      </c>
      <c r="F23" s="637">
        <f>AVERAGE('17'!$C$21,'17'!$D$21)</f>
        <v>13</v>
      </c>
      <c r="G23" s="637">
        <f>AVERAGE('17'!$C$19,'17'!$D$19)</f>
        <v>14.29166667</v>
      </c>
      <c r="H23" s="637">
        <f>'17'!$E$20</f>
        <v>9</v>
      </c>
      <c r="I23" s="637">
        <f>'17'!$E$21</f>
        <v>5</v>
      </c>
      <c r="J23" s="647">
        <f>'17'!$E$19</f>
        <v>6.833333333</v>
      </c>
      <c r="K23" s="648">
        <f>'17'!$F$20</f>
        <v>17</v>
      </c>
      <c r="L23" s="637">
        <f>'17'!$F$21</f>
        <v>10</v>
      </c>
      <c r="M23" s="637">
        <f>'17'!$F$19</f>
        <v>12.08333333</v>
      </c>
      <c r="N23" s="637">
        <f>AVERAGE('17'!$G$20,'17'!$H$20)</f>
        <v>2.15</v>
      </c>
      <c r="O23" s="637">
        <f>AVERAGE('17'!$G$21,'17'!$H$21)</f>
        <v>1.1</v>
      </c>
      <c r="P23" s="637">
        <f>AVERAGE('17'!$G$19,'17'!$H$19)</f>
        <v>1.342045455</v>
      </c>
      <c r="Q23" s="649">
        <f>'17'!$I$20</f>
        <v>0.9</v>
      </c>
      <c r="R23" s="649">
        <f>'17'!$I$21</f>
        <v>0.5</v>
      </c>
      <c r="S23" s="649">
        <f>'17'!$I$19</f>
        <v>0.6916666667</v>
      </c>
      <c r="T23" s="649">
        <f>'17'!$J$20</f>
        <v>1.2</v>
      </c>
      <c r="U23" s="649">
        <f>'17'!$J$21</f>
        <v>0.5</v>
      </c>
      <c r="V23" s="650">
        <f>'17'!$J$19</f>
        <v>0.6833333333</v>
      </c>
      <c r="W23" s="651">
        <f>'17'!$K$20</f>
        <v>6.9</v>
      </c>
      <c r="X23" s="649">
        <f>'17'!$K$21</f>
        <v>6.9</v>
      </c>
      <c r="Y23" s="649">
        <f>'17'!$K$19</f>
        <v>6.9</v>
      </c>
      <c r="Z23" s="641">
        <f>AVERAGE('17'!$L$20,'17'!$M$20)</f>
        <v>6.45</v>
      </c>
      <c r="AA23" s="641">
        <f>AVERAGE('17'!$L$21,'17'!$M$21)</f>
        <v>6.45</v>
      </c>
      <c r="AB23" s="641">
        <f>AVERAGE('17'!$L$19,'17'!$M$19)</f>
        <v>6.45</v>
      </c>
      <c r="AC23" s="649">
        <f>'17'!$N$20</f>
        <v>6.2</v>
      </c>
      <c r="AD23" s="649">
        <f>'17'!$N$21</f>
        <v>6.2</v>
      </c>
      <c r="AE23" s="650">
        <f>'17'!$N$19</f>
        <v>6.2</v>
      </c>
    </row>
    <row r="24" ht="18.75" customHeight="1">
      <c r="A24" s="644">
        <v>18.0</v>
      </c>
      <c r="B24" s="645">
        <f>'18'!$B$20</f>
        <v>88</v>
      </c>
      <c r="C24" s="646">
        <f>'18'!$B$21</f>
        <v>80</v>
      </c>
      <c r="D24" s="646">
        <f>'18'!$B$19</f>
        <v>84.25</v>
      </c>
      <c r="E24" s="637">
        <f>AVERAGE('18'!$C$20,'18'!$D$20)</f>
        <v>15</v>
      </c>
      <c r="F24" s="637">
        <f>AVERAGE('18'!$C$21,'18'!$D$21)</f>
        <v>14</v>
      </c>
      <c r="G24" s="637">
        <f>AVERAGE('18'!$C$19,'18'!$D$19)</f>
        <v>14.70833333</v>
      </c>
      <c r="H24" s="637">
        <f>'18'!$E$20</f>
        <v>7</v>
      </c>
      <c r="I24" s="637">
        <f>'18'!$E$21</f>
        <v>5</v>
      </c>
      <c r="J24" s="647">
        <f>'18'!$E$19</f>
        <v>6.166666667</v>
      </c>
      <c r="K24" s="648">
        <f>'18'!$F$20</f>
        <v>17</v>
      </c>
      <c r="L24" s="637">
        <f>'18'!$F$21</f>
        <v>12</v>
      </c>
      <c r="M24" s="637">
        <f>'18'!$F$19</f>
        <v>14.75</v>
      </c>
      <c r="N24" s="637">
        <f>AVERAGE('18'!$G$20,'18'!$H$20)</f>
        <v>1.45</v>
      </c>
      <c r="O24" s="637">
        <f>AVERAGE('18'!$G$21,'18'!$H$21)</f>
        <v>1.1</v>
      </c>
      <c r="P24" s="637">
        <f>AVERAGE('18'!$G$19,'18'!$H$19)</f>
        <v>1.283333333</v>
      </c>
      <c r="Q24" s="649">
        <f>'18'!$I$20</f>
        <v>0.9</v>
      </c>
      <c r="R24" s="649">
        <f>'18'!$I$21</f>
        <v>0.5</v>
      </c>
      <c r="S24" s="649">
        <f>'18'!$I$19</f>
        <v>0.65</v>
      </c>
      <c r="T24" s="649">
        <f>'18'!$J$20</f>
        <v>0.9</v>
      </c>
      <c r="U24" s="649">
        <f>'18'!$J$21</f>
        <v>0.6</v>
      </c>
      <c r="V24" s="650">
        <f>'18'!$J$19</f>
        <v>0.6833333333</v>
      </c>
      <c r="W24" s="651">
        <f>'18'!$K$20</f>
        <v>7</v>
      </c>
      <c r="X24" s="649">
        <f>'18'!$K$21</f>
        <v>6.9</v>
      </c>
      <c r="Y24" s="649">
        <f>'18'!$K$19</f>
        <v>6.966666667</v>
      </c>
      <c r="Z24" s="641">
        <f>AVERAGE('18'!$L$20,'18'!$M$20)</f>
        <v>6.5</v>
      </c>
      <c r="AA24" s="641">
        <f>AVERAGE('18'!$L$21,'18'!$M$21)</f>
        <v>6.5</v>
      </c>
      <c r="AB24" s="641">
        <f>AVERAGE('18'!$L$19,'18'!$M$19)</f>
        <v>6.5</v>
      </c>
      <c r="AC24" s="649">
        <f>'18'!$N$20</f>
        <v>6.2</v>
      </c>
      <c r="AD24" s="649">
        <f>'18'!$N$21</f>
        <v>6.2</v>
      </c>
      <c r="AE24" s="650">
        <f>'18'!$N$19</f>
        <v>6.2</v>
      </c>
    </row>
    <row r="25" ht="18.75" customHeight="1">
      <c r="A25" s="644">
        <v>19.0</v>
      </c>
      <c r="B25" s="645">
        <f>'19'!$B$20</f>
        <v>245</v>
      </c>
      <c r="C25" s="646">
        <f>'19'!$B$21</f>
        <v>90</v>
      </c>
      <c r="D25" s="646">
        <f>'19'!$B$19</f>
        <v>147.4166667</v>
      </c>
      <c r="E25" s="637">
        <f>AVERAGE('19'!$C$20,'19'!$D$20)</f>
        <v>16.5</v>
      </c>
      <c r="F25" s="637">
        <f>AVERAGE('19'!$C$21,'19'!$D$21)</f>
        <v>14</v>
      </c>
      <c r="G25" s="637">
        <f>AVERAGE('19'!$C$19,'19'!$D$19)</f>
        <v>14.79166667</v>
      </c>
      <c r="H25" s="637">
        <f>'19'!$E$20</f>
        <v>8</v>
      </c>
      <c r="I25" s="637">
        <f>'19'!$E$21</f>
        <v>4</v>
      </c>
      <c r="J25" s="647">
        <f>'19'!$E$19</f>
        <v>5.958333333</v>
      </c>
      <c r="K25" s="648">
        <f>'19'!$F$20</f>
        <v>111</v>
      </c>
      <c r="L25" s="637">
        <f>'19'!$F$21</f>
        <v>20</v>
      </c>
      <c r="M25" s="637">
        <f>'19'!$F$19</f>
        <v>53.45454545</v>
      </c>
      <c r="N25" s="637">
        <f>AVERAGE('19'!$G$20,'19'!$H$20)</f>
        <v>2.9</v>
      </c>
      <c r="O25" s="637">
        <f>AVERAGE('19'!$G$21,'19'!$H$21)</f>
        <v>1.1</v>
      </c>
      <c r="P25" s="637">
        <f>AVERAGE('19'!$G$19,'19'!$H$19)</f>
        <v>1.754166667</v>
      </c>
      <c r="Q25" s="649">
        <f>'19'!$I$20</f>
        <v>0.8</v>
      </c>
      <c r="R25" s="649">
        <f>'19'!$I$21</f>
        <v>0.6</v>
      </c>
      <c r="S25" s="649">
        <f>'19'!$I$19</f>
        <v>0.6583333333</v>
      </c>
      <c r="T25" s="649">
        <f>'19'!$J$20</f>
        <v>1.5</v>
      </c>
      <c r="U25" s="649">
        <f>'19'!$J$21</f>
        <v>0.6</v>
      </c>
      <c r="V25" s="650">
        <f>'19'!$J$19</f>
        <v>0.7833333333</v>
      </c>
      <c r="W25" s="651">
        <f>'19'!$K$20</f>
        <v>7</v>
      </c>
      <c r="X25" s="649">
        <f>'19'!$K$21</f>
        <v>6.9</v>
      </c>
      <c r="Y25" s="649">
        <f>'19'!$K$19</f>
        <v>6.927272727</v>
      </c>
      <c r="Z25" s="641">
        <f>AVERAGE('19'!$L$20,'19'!$M$20)</f>
        <v>6.5</v>
      </c>
      <c r="AA25" s="641">
        <f>AVERAGE('19'!$L$21,'19'!$M$21)</f>
        <v>6.5</v>
      </c>
      <c r="AB25" s="641">
        <f>AVERAGE('19'!$L$19,'19'!$M$19)</f>
        <v>6.5</v>
      </c>
      <c r="AC25" s="649">
        <f>'19'!$N$20</f>
        <v>6.2</v>
      </c>
      <c r="AD25" s="649">
        <f>'19'!$N$21</f>
        <v>6.2</v>
      </c>
      <c r="AE25" s="650">
        <f>'19'!$N$19</f>
        <v>6.2</v>
      </c>
    </row>
    <row r="26" ht="18.75" customHeight="1">
      <c r="A26" s="644">
        <v>20.0</v>
      </c>
      <c r="B26" s="645">
        <f>'20'!$B$20</f>
        <v>249</v>
      </c>
      <c r="C26" s="646">
        <f>'20'!$B$21</f>
        <v>218</v>
      </c>
      <c r="D26" s="646">
        <f>'20'!$B$19</f>
        <v>237.5</v>
      </c>
      <c r="E26" s="637">
        <f>AVERAGE('20'!$C$20,'20'!$D$20)</f>
        <v>21.5</v>
      </c>
      <c r="F26" s="637">
        <f>AVERAGE('20'!$C$21,'20'!$D$21)</f>
        <v>14.5</v>
      </c>
      <c r="G26" s="637">
        <f>AVERAGE('20'!$C$19,'20'!$D$19)</f>
        <v>16.66666667</v>
      </c>
      <c r="H26" s="637">
        <f>'20'!$E$20</f>
        <v>10</v>
      </c>
      <c r="I26" s="637">
        <f>'20'!$E$21</f>
        <v>8</v>
      </c>
      <c r="J26" s="647">
        <f>'20'!$E$19</f>
        <v>8.666666667</v>
      </c>
      <c r="K26" s="648">
        <f>'20'!$F$20</f>
        <v>110</v>
      </c>
      <c r="L26" s="637">
        <f>'20'!$F$21</f>
        <v>82</v>
      </c>
      <c r="M26" s="637">
        <f>'20'!$F$19</f>
        <v>99.83333333</v>
      </c>
      <c r="N26" s="637">
        <f>AVERAGE('20'!$G$20,'20'!$H$20)</f>
        <v>2.55</v>
      </c>
      <c r="O26" s="637">
        <f>AVERAGE('20'!$G$21,'20'!$H$21)</f>
        <v>1.9</v>
      </c>
      <c r="P26" s="637">
        <f>AVERAGE('20'!$G$19,'20'!$H$19)</f>
        <v>2.198106061</v>
      </c>
      <c r="Q26" s="649">
        <f>'20'!$I$20</f>
        <v>10</v>
      </c>
      <c r="R26" s="649">
        <f>'20'!$I$21</f>
        <v>0.6</v>
      </c>
      <c r="S26" s="649">
        <f>'20'!$I$19</f>
        <v>1.516666667</v>
      </c>
      <c r="T26" s="649">
        <f>'20'!$J$20</f>
        <v>1.3</v>
      </c>
      <c r="U26" s="649">
        <f>'20'!$J$21</f>
        <v>0.8</v>
      </c>
      <c r="V26" s="650">
        <f>'20'!$J$19</f>
        <v>0.9833333333</v>
      </c>
      <c r="W26" s="651">
        <f>'20'!$K$20</f>
        <v>6.9</v>
      </c>
      <c r="X26" s="649">
        <f>'20'!$K$21</f>
        <v>6.9</v>
      </c>
      <c r="Y26" s="649">
        <f>'20'!$K$19</f>
        <v>6.9</v>
      </c>
      <c r="Z26" s="641">
        <f>AVERAGE('20'!$L$20,'20'!$M$20)</f>
        <v>6.5</v>
      </c>
      <c r="AA26" s="641">
        <f>AVERAGE('20'!$L$21,'20'!$M$21)</f>
        <v>6.5</v>
      </c>
      <c r="AB26" s="641">
        <f>AVERAGE('20'!$L$19,'20'!$M$19)</f>
        <v>6.5</v>
      </c>
      <c r="AC26" s="649">
        <f>'20'!$N$20</f>
        <v>6.2</v>
      </c>
      <c r="AD26" s="649">
        <f>'20'!$N$21</f>
        <v>6.2</v>
      </c>
      <c r="AE26" s="650">
        <f>'20'!$N$19</f>
        <v>6.2</v>
      </c>
    </row>
    <row r="27" ht="18.75" customHeight="1">
      <c r="A27" s="644">
        <v>21.0</v>
      </c>
      <c r="B27" s="645">
        <f>'21'!$B$20</f>
        <v>232</v>
      </c>
      <c r="C27" s="646">
        <f>'21'!$B$21</f>
        <v>212</v>
      </c>
      <c r="D27" s="646">
        <f>'21'!$B$19</f>
        <v>223.5</v>
      </c>
      <c r="E27" s="637">
        <f>AVERAGE('21'!$C$20,'21'!$D$20)</f>
        <v>20</v>
      </c>
      <c r="F27" s="637">
        <f>AVERAGE('21'!$C$21,'21'!$D$21)</f>
        <v>16</v>
      </c>
      <c r="G27" s="637">
        <f>AVERAGE('21'!$C$19,'21'!$D$19)</f>
        <v>17.58333333</v>
      </c>
      <c r="H27" s="637">
        <f>'21'!$E$20</f>
        <v>13</v>
      </c>
      <c r="I27" s="637">
        <f>'21'!$E$21</f>
        <v>4</v>
      </c>
      <c r="J27" s="647">
        <f>'21'!$E$19</f>
        <v>8</v>
      </c>
      <c r="K27" s="648">
        <f>'21'!$F$20</f>
        <v>102</v>
      </c>
      <c r="L27" s="637">
        <f>'21'!$F$21</f>
        <v>78</v>
      </c>
      <c r="M27" s="637">
        <f>'21'!$F$19</f>
        <v>86.83333333</v>
      </c>
      <c r="N27" s="637">
        <f>AVERAGE('21'!$G$20,'21'!$H$20)</f>
        <v>2.25</v>
      </c>
      <c r="O27" s="637">
        <f>AVERAGE('21'!$G$21,'21'!$H$21)</f>
        <v>1.35</v>
      </c>
      <c r="P27" s="637">
        <f>AVERAGE('21'!$G$19,'21'!$H$19)</f>
        <v>1.883333333</v>
      </c>
      <c r="Q27" s="649">
        <f>'21'!$I$20</f>
        <v>0.9</v>
      </c>
      <c r="R27" s="649">
        <f>'21'!$I$21</f>
        <v>0.5</v>
      </c>
      <c r="S27" s="649">
        <f>'21'!$I$19</f>
        <v>0.6083333333</v>
      </c>
      <c r="T27" s="649">
        <f>'21'!$J$20</f>
        <v>1.5</v>
      </c>
      <c r="U27" s="649">
        <f>'21'!$J$21</f>
        <v>0.5</v>
      </c>
      <c r="V27" s="650">
        <f>'21'!$J$19</f>
        <v>0.85</v>
      </c>
      <c r="W27" s="651">
        <f>'21'!$K$20</f>
        <v>7</v>
      </c>
      <c r="X27" s="649">
        <f>'21'!$K$21</f>
        <v>6.9</v>
      </c>
      <c r="Y27" s="649">
        <f>'21'!$K$19</f>
        <v>6.966666667</v>
      </c>
      <c r="Z27" s="641">
        <f>AVERAGE('21'!$L$20,'21'!$M$20)</f>
        <v>6.5</v>
      </c>
      <c r="AA27" s="641">
        <f>AVERAGE('21'!$L$21,'21'!$M$21)</f>
        <v>6.5</v>
      </c>
      <c r="AB27" s="641">
        <f>AVERAGE('21'!$L$19,'21'!$M$19)</f>
        <v>6.5</v>
      </c>
      <c r="AC27" s="649">
        <f>'21'!$N$20</f>
        <v>6.2</v>
      </c>
      <c r="AD27" s="649">
        <f>'21'!$N$21</f>
        <v>6.2</v>
      </c>
      <c r="AE27" s="650">
        <f>'21'!$N$19</f>
        <v>6.2</v>
      </c>
    </row>
    <row r="28" ht="18.75" customHeight="1">
      <c r="A28" s="644">
        <v>22.0</v>
      </c>
      <c r="B28" s="645">
        <f>'22'!$B$20</f>
        <v>256</v>
      </c>
      <c r="C28" s="646">
        <f>'22'!$B$21</f>
        <v>238</v>
      </c>
      <c r="D28" s="646">
        <f>'22'!$B$19</f>
        <v>243.75</v>
      </c>
      <c r="E28" s="637">
        <f>AVERAGE('22'!$C$20,'22'!$D$20)</f>
        <v>16.5</v>
      </c>
      <c r="F28" s="637">
        <f>AVERAGE('22'!$C$21,'22'!$D$21)</f>
        <v>11.5</v>
      </c>
      <c r="G28" s="637">
        <f>AVERAGE('22'!$C$19,'22'!$D$19)</f>
        <v>13.79166667</v>
      </c>
      <c r="H28" s="637">
        <f>'22'!$E$20</f>
        <v>6</v>
      </c>
      <c r="I28" s="637">
        <f>'22'!$E$21</f>
        <v>4</v>
      </c>
      <c r="J28" s="647">
        <f>'22'!$E$19</f>
        <v>4.916666667</v>
      </c>
      <c r="K28" s="648">
        <f>'22'!$F$20</f>
        <v>103</v>
      </c>
      <c r="L28" s="637">
        <f>'22'!$F$21</f>
        <v>88</v>
      </c>
      <c r="M28" s="637">
        <f>'22'!$F$19</f>
        <v>94.83333333</v>
      </c>
      <c r="N28" s="637">
        <f>AVERAGE('22'!$G$20,'22'!$H$20)</f>
        <v>1.9</v>
      </c>
      <c r="O28" s="637">
        <f>AVERAGE('22'!$G$21,'22'!$H$21)</f>
        <v>1.35</v>
      </c>
      <c r="P28" s="637">
        <f>AVERAGE('22'!$G$19,'22'!$H$19)</f>
        <v>1.641666667</v>
      </c>
      <c r="Q28" s="649">
        <f>'22'!$I$20</f>
        <v>0.6</v>
      </c>
      <c r="R28" s="649">
        <f>'22'!$I$21</f>
        <v>0.5</v>
      </c>
      <c r="S28" s="649">
        <f>'22'!$I$19</f>
        <v>0.5166666667</v>
      </c>
      <c r="T28" s="649">
        <f>'22'!$J$20</f>
        <v>0.8</v>
      </c>
      <c r="U28" s="649">
        <f>'22'!$J$21</f>
        <v>0.5</v>
      </c>
      <c r="V28" s="650">
        <f>'22'!$J$19</f>
        <v>0.575</v>
      </c>
      <c r="W28" s="651">
        <f>'22'!$K$20</f>
        <v>7</v>
      </c>
      <c r="X28" s="649">
        <f>'22'!$K$21</f>
        <v>6.9</v>
      </c>
      <c r="Y28" s="649">
        <f>'22'!$K$19</f>
        <v>6.933333333</v>
      </c>
      <c r="Z28" s="641">
        <f>AVERAGE('22'!$L$20,'22'!$M$20)</f>
        <v>6.5</v>
      </c>
      <c r="AA28" s="641">
        <f>AVERAGE('22'!$L$21,'22'!$M$21)</f>
        <v>6.35</v>
      </c>
      <c r="AB28" s="641">
        <f>AVERAGE('22'!$L$19,'22'!$M$19)</f>
        <v>6.4</v>
      </c>
      <c r="AC28" s="649">
        <f>'22'!$N$20</f>
        <v>6.2</v>
      </c>
      <c r="AD28" s="649">
        <f>'22'!$N$21</f>
        <v>6</v>
      </c>
      <c r="AE28" s="650">
        <f>'22'!$N$19</f>
        <v>6.066666667</v>
      </c>
    </row>
    <row r="29" ht="18.75" customHeight="1">
      <c r="A29" s="644">
        <v>23.0</v>
      </c>
      <c r="B29" s="645">
        <f>'23'!$B$20</f>
        <v>241</v>
      </c>
      <c r="C29" s="646">
        <f>'23'!$B$21</f>
        <v>216</v>
      </c>
      <c r="D29" s="646">
        <f>'23'!$B$19</f>
        <v>228.4166667</v>
      </c>
      <c r="E29" s="637">
        <f>AVERAGE('23'!$C$20,'23'!$D$20)</f>
        <v>21.5</v>
      </c>
      <c r="F29" s="637">
        <f>AVERAGE('23'!$C$21,'23'!$D$21)</f>
        <v>12.5</v>
      </c>
      <c r="G29" s="637">
        <f>AVERAGE('23'!$C$19,'23'!$D$19)</f>
        <v>17</v>
      </c>
      <c r="H29" s="637">
        <f>'23'!$E$20</f>
        <v>6</v>
      </c>
      <c r="I29" s="637">
        <f>'23'!$E$21</f>
        <v>4</v>
      </c>
      <c r="J29" s="647">
        <f>'23'!$E$19</f>
        <v>4.583333333</v>
      </c>
      <c r="K29" s="648">
        <f>'23'!$F$20</f>
        <v>99</v>
      </c>
      <c r="L29" s="637">
        <f>'23'!$F$21</f>
        <v>75</v>
      </c>
      <c r="M29" s="637">
        <f>'23'!$F$19</f>
        <v>84.58333333</v>
      </c>
      <c r="N29" s="637">
        <f>AVERAGE('23'!$G$20,'23'!$H$20)</f>
        <v>1.5</v>
      </c>
      <c r="O29" s="637">
        <f>AVERAGE('23'!$G$21,'23'!$H$21)</f>
        <v>1.75</v>
      </c>
      <c r="P29" s="637">
        <f>AVERAGE('23'!$G$19,'23'!$H$19)</f>
        <v>2.025</v>
      </c>
      <c r="Q29" s="649">
        <f>'23'!$I$20</f>
        <v>0.6</v>
      </c>
      <c r="R29" s="649">
        <f>'23'!$I$21</f>
        <v>0.4</v>
      </c>
      <c r="S29" s="649">
        <f>'23'!$I$19</f>
        <v>0.5583333333</v>
      </c>
      <c r="T29" s="649">
        <f>'23'!$J$20</f>
        <v>0.8</v>
      </c>
      <c r="U29" s="649">
        <f>'23'!$J$21</f>
        <v>0.6</v>
      </c>
      <c r="V29" s="650">
        <f>'23'!$J$19</f>
        <v>0.6909090909</v>
      </c>
      <c r="W29" s="651">
        <f>'23'!$K$20</f>
        <v>6.9</v>
      </c>
      <c r="X29" s="649">
        <f>'23'!$K$21</f>
        <v>6.9</v>
      </c>
      <c r="Y29" s="649">
        <f>'23'!$K$19</f>
        <v>6.9</v>
      </c>
      <c r="Z29" s="641">
        <f>AVERAGE('23'!$L$20,'23'!$M$20)</f>
        <v>6.4</v>
      </c>
      <c r="AA29" s="641">
        <f>AVERAGE('23'!$L$21,'23'!$M$21)</f>
        <v>6.4</v>
      </c>
      <c r="AB29" s="641">
        <f>AVERAGE('23'!$L$19,'23'!$M$19)</f>
        <v>6.4</v>
      </c>
      <c r="AC29" s="649">
        <f>'23'!$N$20</f>
        <v>6</v>
      </c>
      <c r="AD29" s="649">
        <f>'23'!$N$21</f>
        <v>6</v>
      </c>
      <c r="AE29" s="650">
        <f>'23'!$N$19</f>
        <v>6</v>
      </c>
    </row>
    <row r="30" ht="18.75" customHeight="1">
      <c r="A30" s="644">
        <v>24.0</v>
      </c>
      <c r="B30" s="645">
        <f>'24'!$B$20</f>
        <v>218</v>
      </c>
      <c r="C30" s="646">
        <f>'24'!$B$21</f>
        <v>198</v>
      </c>
      <c r="D30" s="646">
        <f>'24'!$B$19</f>
        <v>212.1666667</v>
      </c>
      <c r="E30" s="637">
        <f>AVERAGE('24'!$C$20,'24'!$D$20)</f>
        <v>20</v>
      </c>
      <c r="F30" s="637">
        <f>AVERAGE('24'!$C$21,'24'!$D$21)</f>
        <v>10.2</v>
      </c>
      <c r="G30" s="637">
        <f>AVERAGE('24'!$C$19,'24'!$D$19)</f>
        <v>15.27916667</v>
      </c>
      <c r="H30" s="637">
        <f>'24'!$E$20</f>
        <v>5</v>
      </c>
      <c r="I30" s="637">
        <f>'24'!$E$21</f>
        <v>4</v>
      </c>
      <c r="J30" s="647">
        <f>'24'!$E$19</f>
        <v>4.25</v>
      </c>
      <c r="K30" s="648">
        <f>'24'!$F$20</f>
        <v>73</v>
      </c>
      <c r="L30" s="637">
        <f>'24'!$F$21</f>
        <v>61</v>
      </c>
      <c r="M30" s="637">
        <f>'24'!$F$19</f>
        <v>69.16666667</v>
      </c>
      <c r="N30" s="637">
        <f>AVERAGE('24'!$G$20,'24'!$H$20)</f>
        <v>1.95</v>
      </c>
      <c r="O30" s="637">
        <f>AVERAGE('24'!$G$21,'24'!$H$21)</f>
        <v>1.1</v>
      </c>
      <c r="P30" s="637">
        <f>AVERAGE('24'!$G$19,'24'!$H$19)</f>
        <v>1.7</v>
      </c>
      <c r="Q30" s="649">
        <f>'24'!$I$20</f>
        <v>0.7</v>
      </c>
      <c r="R30" s="649">
        <f>'24'!$I$21</f>
        <v>0.4</v>
      </c>
      <c r="S30" s="649">
        <f>'24'!$I$19</f>
        <v>0.55</v>
      </c>
      <c r="T30" s="649">
        <f>'24'!$J$20</f>
        <v>0.9</v>
      </c>
      <c r="U30" s="649">
        <f>'24'!$J$21</f>
        <v>0.6</v>
      </c>
      <c r="V30" s="650">
        <f>'24'!$J$19</f>
        <v>0.7083333333</v>
      </c>
      <c r="W30" s="651">
        <f>'24'!$K$20</f>
        <v>6.9</v>
      </c>
      <c r="X30" s="649">
        <f>'24'!$K$21</f>
        <v>6.9</v>
      </c>
      <c r="Y30" s="649">
        <f>'24'!$K$19</f>
        <v>6.9</v>
      </c>
      <c r="Z30" s="641">
        <f>AVERAGE('24'!$L$20,'24'!$M$20)</f>
        <v>6.4</v>
      </c>
      <c r="AA30" s="641">
        <f>AVERAGE('24'!$L$21,'24'!$M$21)</f>
        <v>6.4</v>
      </c>
      <c r="AB30" s="641">
        <f>AVERAGE('24'!$L$19,'24'!$M$19)</f>
        <v>6.4</v>
      </c>
      <c r="AC30" s="649">
        <f>'24'!$N$20</f>
        <v>6</v>
      </c>
      <c r="AD30" s="649">
        <f>'24'!$N$21</f>
        <v>6</v>
      </c>
      <c r="AE30" s="650">
        <f>'24'!$N$19</f>
        <v>6</v>
      </c>
    </row>
    <row r="31" ht="18.75" customHeight="1">
      <c r="A31" s="644">
        <v>25.0</v>
      </c>
      <c r="B31" s="645">
        <f>'25'!$B$20</f>
        <v>212</v>
      </c>
      <c r="C31" s="646">
        <f>'25'!$B$21</f>
        <v>169</v>
      </c>
      <c r="D31" s="646">
        <f>'25'!$B$19</f>
        <v>184.3333333</v>
      </c>
      <c r="E31" s="637">
        <f>AVERAGE('25'!$C$20,'25'!$D$20)</f>
        <v>19.5</v>
      </c>
      <c r="F31" s="637">
        <f>AVERAGE('25'!$C$21,'25'!$D$21)</f>
        <v>13.5</v>
      </c>
      <c r="G31" s="637">
        <f>AVERAGE('25'!$C$19,'25'!$D$19)</f>
        <v>15.83333333</v>
      </c>
      <c r="H31" s="637">
        <f>'25'!$E$20</f>
        <v>6</v>
      </c>
      <c r="I31" s="637">
        <f>'25'!$E$21</f>
        <v>4</v>
      </c>
      <c r="J31" s="647">
        <f>'25'!$E$19</f>
        <v>4.75</v>
      </c>
      <c r="K31" s="648">
        <f>'25'!$F$20</f>
        <v>66</v>
      </c>
      <c r="L31" s="637">
        <f>'25'!$F$21</f>
        <v>47</v>
      </c>
      <c r="M31" s="637">
        <f>'25'!$F$19</f>
        <v>53.5</v>
      </c>
      <c r="N31" s="637">
        <f>AVERAGE('25'!$G$20,'25'!$H$20)</f>
        <v>1.9</v>
      </c>
      <c r="O31" s="637">
        <f>AVERAGE('25'!$G$21,'25'!$H$21)</f>
        <v>1.45</v>
      </c>
      <c r="P31" s="637">
        <f>AVERAGE('25'!$G$19,'25'!$H$19)</f>
        <v>1.591666667</v>
      </c>
      <c r="Q31" s="649">
        <f>'25'!$I$20</f>
        <v>0.6</v>
      </c>
      <c r="R31" s="649">
        <f>'25'!$I$21</f>
        <v>0.5</v>
      </c>
      <c r="S31" s="649">
        <f>'25'!$I$19</f>
        <v>0.5166666667</v>
      </c>
      <c r="T31" s="649">
        <f>'25'!$J$20</f>
        <v>0.7</v>
      </c>
      <c r="U31" s="649">
        <f>'25'!$J$21</f>
        <v>0.5</v>
      </c>
      <c r="V31" s="650">
        <f>'25'!$J$19</f>
        <v>0.5833333333</v>
      </c>
      <c r="W31" s="651">
        <f>'25'!$K$20</f>
        <v>6.9</v>
      </c>
      <c r="X31" s="649">
        <f>'25'!$K$21</f>
        <v>6.9</v>
      </c>
      <c r="Y31" s="649">
        <f>'25'!$K$19</f>
        <v>6.9</v>
      </c>
      <c r="Z31" s="641">
        <f>AVERAGE('25'!$L$20,'25'!$M$20)</f>
        <v>6.4</v>
      </c>
      <c r="AA31" s="641">
        <f>AVERAGE('25'!$L$21,'25'!$M$21)</f>
        <v>6.3</v>
      </c>
      <c r="AB31" s="641">
        <f>AVERAGE('25'!$L$19,'25'!$M$19)</f>
        <v>6.333333333</v>
      </c>
      <c r="AC31" s="649">
        <f>'25'!$N$20</f>
        <v>6</v>
      </c>
      <c r="AD31" s="649">
        <f>'25'!$N$21</f>
        <v>6</v>
      </c>
      <c r="AE31" s="650">
        <f>'25'!$N$19</f>
        <v>6</v>
      </c>
    </row>
    <row r="32" ht="18.75" customHeight="1">
      <c r="A32" s="644">
        <v>26.0</v>
      </c>
      <c r="B32" s="645">
        <f>'26'!$B$20</f>
        <v>165</v>
      </c>
      <c r="C32" s="646">
        <f>'26'!$B$21</f>
        <v>142</v>
      </c>
      <c r="D32" s="646">
        <f>'26'!$B$19</f>
        <v>152.1666667</v>
      </c>
      <c r="E32" s="637">
        <f>AVERAGE('26'!$C$20,'26'!$D$20)</f>
        <v>18</v>
      </c>
      <c r="F32" s="637">
        <f>AVERAGE('26'!$C$21,'26'!$D$21)</f>
        <v>14.5</v>
      </c>
      <c r="G32" s="637">
        <f>AVERAGE('26'!$C$19,'26'!$D$19)</f>
        <v>15.41666667</v>
      </c>
      <c r="H32" s="637">
        <f>'26'!$E$20</f>
        <v>6</v>
      </c>
      <c r="I32" s="637">
        <f>'26'!$E$21</f>
        <v>5</v>
      </c>
      <c r="J32" s="647">
        <f>'26'!$E$19</f>
        <v>5.333333333</v>
      </c>
      <c r="K32" s="648">
        <f>'26'!$F$20</f>
        <v>45</v>
      </c>
      <c r="L32" s="637">
        <f>'26'!$F$21</f>
        <v>35</v>
      </c>
      <c r="M32" s="637">
        <f>'26'!$F$19</f>
        <v>39.83333333</v>
      </c>
      <c r="N32" s="637">
        <f>AVERAGE('26'!$G$20,'26'!$H$20)</f>
        <v>1.7</v>
      </c>
      <c r="O32" s="637">
        <f>AVERAGE('26'!$G$21,'26'!$H$21)</f>
        <v>1.3</v>
      </c>
      <c r="P32" s="637">
        <f>AVERAGE('26'!$G$19,'26'!$H$19)</f>
        <v>1.491666667</v>
      </c>
      <c r="Q32" s="649">
        <f>'26'!$I$20</f>
        <v>0.6</v>
      </c>
      <c r="R32" s="649">
        <f>'26'!$I$21</f>
        <v>0.5</v>
      </c>
      <c r="S32" s="649">
        <f>'26'!$I$19</f>
        <v>0.5272727273</v>
      </c>
      <c r="T32" s="649">
        <f>'26'!$J$20</f>
        <v>0.6</v>
      </c>
      <c r="U32" s="649">
        <f>'26'!$J$21</f>
        <v>0.5</v>
      </c>
      <c r="V32" s="650">
        <f>'26'!$J$19</f>
        <v>0.5818181818</v>
      </c>
      <c r="W32" s="651">
        <f>'26'!$K$20</f>
        <v>6.9</v>
      </c>
      <c r="X32" s="649">
        <f>'26'!$K$21</f>
        <v>6.9</v>
      </c>
      <c r="Y32" s="649">
        <f>'26'!$K$19</f>
        <v>6.9</v>
      </c>
      <c r="Z32" s="641">
        <f>AVERAGE('26'!$L$20,'26'!$M$20)</f>
        <v>6.3</v>
      </c>
      <c r="AA32" s="641">
        <f>AVERAGE('26'!$L$21,'26'!$M$21)</f>
        <v>6.3</v>
      </c>
      <c r="AB32" s="641">
        <f>AVERAGE('26'!$L$19,'26'!$M$19)</f>
        <v>6.3</v>
      </c>
      <c r="AC32" s="649">
        <f>'26'!$N$20</f>
        <v>6</v>
      </c>
      <c r="AD32" s="649">
        <f>'26'!$N$21</f>
        <v>6</v>
      </c>
      <c r="AE32" s="650">
        <f>'26'!$N$19</f>
        <v>6</v>
      </c>
    </row>
    <row r="33" ht="18.75" customHeight="1">
      <c r="A33" s="644">
        <v>27.0</v>
      </c>
      <c r="B33" s="645">
        <f>'27'!$B$20</f>
        <v>150</v>
      </c>
      <c r="C33" s="646">
        <f>'27'!$B$21</f>
        <v>130</v>
      </c>
      <c r="D33" s="646">
        <f>'27'!$B$19</f>
        <v>140.6666667</v>
      </c>
      <c r="E33" s="637">
        <f>AVERAGE('27'!$C$20,'27'!$D$20)</f>
        <v>22</v>
      </c>
      <c r="F33" s="637">
        <f>AVERAGE('27'!$C$21,'27'!$D$21)</f>
        <v>18</v>
      </c>
      <c r="G33" s="637">
        <f>AVERAGE('27'!$C$19,'27'!$D$19)</f>
        <v>19.375</v>
      </c>
      <c r="H33" s="637">
        <f>'27'!$E$20</f>
        <v>5</v>
      </c>
      <c r="I33" s="637">
        <f>'27'!$E$21</f>
        <v>4</v>
      </c>
      <c r="J33" s="647">
        <f>'27'!$E$19</f>
        <v>4.416666667</v>
      </c>
      <c r="K33" s="648">
        <f>'27'!$F$20</f>
        <v>37</v>
      </c>
      <c r="L33" s="637">
        <f>'27'!$F$21</f>
        <v>29</v>
      </c>
      <c r="M33" s="637">
        <f>'27'!$F$19</f>
        <v>32.5</v>
      </c>
      <c r="N33" s="637">
        <f>AVERAGE('27'!$G$20,'27'!$H$20)</f>
        <v>1.55</v>
      </c>
      <c r="O33" s="637">
        <f>AVERAGE('27'!$G$21,'27'!$H$21)</f>
        <v>1.05</v>
      </c>
      <c r="P33" s="637">
        <f>AVERAGE('27'!$G$19,'27'!$H$19)</f>
        <v>1.35</v>
      </c>
      <c r="Q33" s="649">
        <f>'27'!$I$20</f>
        <v>0.6</v>
      </c>
      <c r="R33" s="649">
        <f>'27'!$I$21</f>
        <v>0.4</v>
      </c>
      <c r="S33" s="649">
        <f>'27'!$I$19</f>
        <v>0.475</v>
      </c>
      <c r="T33" s="649">
        <f>'27'!$J$20</f>
        <v>0.6</v>
      </c>
      <c r="U33" s="649">
        <f>'27'!$J$21</f>
        <v>0.4</v>
      </c>
      <c r="V33" s="650">
        <f>'27'!$J$19</f>
        <v>0.5083333333</v>
      </c>
      <c r="W33" s="651">
        <f>'27'!$K$20</f>
        <v>6.9</v>
      </c>
      <c r="X33" s="649">
        <f>'27'!$K$21</f>
        <v>6.9</v>
      </c>
      <c r="Y33" s="649">
        <f>'27'!$K$19</f>
        <v>6.9</v>
      </c>
      <c r="Z33" s="641">
        <f>AVERAGE('27'!$L$20,'27'!$M$20)</f>
        <v>6.3</v>
      </c>
      <c r="AA33" s="641">
        <f>AVERAGE('27'!$L$21,'27'!$M$21)</f>
        <v>6.3</v>
      </c>
      <c r="AB33" s="641">
        <f>AVERAGE('27'!$L$19,'27'!$M$19)</f>
        <v>6.3</v>
      </c>
      <c r="AC33" s="649">
        <f>'27'!$N$20</f>
        <v>6</v>
      </c>
      <c r="AD33" s="649">
        <f>'27'!$N$21</f>
        <v>6</v>
      </c>
      <c r="AE33" s="650">
        <f>'27'!$N$19</f>
        <v>6</v>
      </c>
    </row>
    <row r="34" ht="18.75" customHeight="1">
      <c r="A34" s="644">
        <v>28.0</v>
      </c>
      <c r="B34" s="645">
        <f>'28'!$B$20</f>
        <v>145</v>
      </c>
      <c r="C34" s="646">
        <f>'28'!$B$21</f>
        <v>132</v>
      </c>
      <c r="D34" s="646">
        <f>'28'!$B$19</f>
        <v>137.5</v>
      </c>
      <c r="E34" s="637">
        <f>AVERAGE('28'!$C$20,'28'!$D$20)</f>
        <v>19</v>
      </c>
      <c r="F34" s="637">
        <f>AVERAGE('28'!$C$21,'28'!$D$21)</f>
        <v>12</v>
      </c>
      <c r="G34" s="637">
        <f>AVERAGE('28'!$C$19,'28'!$D$19)</f>
        <v>15.04166667</v>
      </c>
      <c r="H34" s="637">
        <f>'28'!$E$20</f>
        <v>6</v>
      </c>
      <c r="I34" s="637">
        <f>'28'!$E$21</f>
        <v>5</v>
      </c>
      <c r="J34" s="647">
        <f>'28'!$E$19</f>
        <v>5.333333333</v>
      </c>
      <c r="K34" s="648">
        <f>'28'!$F$20</f>
        <v>31</v>
      </c>
      <c r="L34" s="637">
        <f>'28'!$F$21</f>
        <v>22</v>
      </c>
      <c r="M34" s="637">
        <f>'28'!$F$19</f>
        <v>26.75</v>
      </c>
      <c r="N34" s="637">
        <f>AVERAGE('28'!$G$20,'28'!$H$20)</f>
        <v>1.45</v>
      </c>
      <c r="O34" s="637">
        <f>AVERAGE('28'!$G$21,'28'!$H$21)</f>
        <v>1.05</v>
      </c>
      <c r="P34" s="637">
        <f>AVERAGE('28'!$G$19,'28'!$H$19)</f>
        <v>1.241666667</v>
      </c>
      <c r="Q34" s="649">
        <f>'28'!$I$20</f>
        <v>0.4</v>
      </c>
      <c r="R34" s="649">
        <f>'28'!$I$21</f>
        <v>0.3</v>
      </c>
      <c r="S34" s="649">
        <f>'28'!$I$19</f>
        <v>0.35</v>
      </c>
      <c r="T34" s="649">
        <f>'28'!$J$20</f>
        <v>0.5</v>
      </c>
      <c r="U34" s="649">
        <f>'28'!$J$21</f>
        <v>0.4</v>
      </c>
      <c r="V34" s="650">
        <f>'28'!$J$19</f>
        <v>0.4416666667</v>
      </c>
      <c r="W34" s="651">
        <f>'28'!$K$20</f>
        <v>6.9</v>
      </c>
      <c r="X34" s="649">
        <f>'28'!$K$21</f>
        <v>6.9</v>
      </c>
      <c r="Y34" s="649">
        <f>'28'!$K$19</f>
        <v>6.9</v>
      </c>
      <c r="Z34" s="641">
        <f>AVERAGE('28'!$L$20,'28'!$M$20)</f>
        <v>6.5</v>
      </c>
      <c r="AA34" s="641">
        <f>AVERAGE('28'!$L$21,'28'!$M$21)</f>
        <v>6.3</v>
      </c>
      <c r="AB34" s="641">
        <f>AVERAGE('28'!$L$19,'28'!$M$19)</f>
        <v>6.433333333</v>
      </c>
      <c r="AC34" s="649">
        <f>'28'!$N$20</f>
        <v>6.2</v>
      </c>
      <c r="AD34" s="649">
        <f>'28'!$N$21</f>
        <v>6.1</v>
      </c>
      <c r="AE34" s="650">
        <f>'28'!$N$19</f>
        <v>6.166666667</v>
      </c>
    </row>
    <row r="35" ht="18.75" customHeight="1">
      <c r="A35" s="644">
        <v>29.0</v>
      </c>
      <c r="B35" s="645">
        <f>'29'!$B$20</f>
        <v>121</v>
      </c>
      <c r="C35" s="646">
        <f>'29'!$B$21</f>
        <v>103</v>
      </c>
      <c r="D35" s="646">
        <f>'29'!$B$19</f>
        <v>111</v>
      </c>
      <c r="E35" s="637">
        <f>AVERAGE('29'!$C$20,'29'!$D$20)</f>
        <v>15.5</v>
      </c>
      <c r="F35" s="637">
        <f>AVERAGE('29'!$C$21,'29'!$D$21)</f>
        <v>7.6</v>
      </c>
      <c r="G35" s="637">
        <f>AVERAGE('29'!$C$19,'29'!$D$19)</f>
        <v>13.39166667</v>
      </c>
      <c r="H35" s="637">
        <f>'29'!$E$20</f>
        <v>8</v>
      </c>
      <c r="I35" s="637">
        <f>'29'!$E$21</f>
        <v>6</v>
      </c>
      <c r="J35" s="647">
        <f>'29'!$E$19</f>
        <v>7</v>
      </c>
      <c r="K35" s="648">
        <f>'29'!$F$20</f>
        <v>23</v>
      </c>
      <c r="L35" s="637">
        <f>'29'!$F$21</f>
        <v>19</v>
      </c>
      <c r="M35" s="637">
        <f>'29'!$F$19</f>
        <v>20.75</v>
      </c>
      <c r="N35" s="637">
        <f>AVERAGE('29'!$G$20,'29'!$H$20)</f>
        <v>1.4</v>
      </c>
      <c r="O35" s="637">
        <f>AVERAGE('29'!$G$21,'29'!$H$21)</f>
        <v>1</v>
      </c>
      <c r="P35" s="637">
        <f>AVERAGE('29'!$G$19,'29'!$H$19)</f>
        <v>1.179166667</v>
      </c>
      <c r="Q35" s="649">
        <f>'29'!$I$20</f>
        <v>0.5</v>
      </c>
      <c r="R35" s="649">
        <f>'29'!$I$21</f>
        <v>0.3</v>
      </c>
      <c r="S35" s="649">
        <f>'29'!$I$19</f>
        <v>0.4083333333</v>
      </c>
      <c r="T35" s="649">
        <f>'29'!$J$20</f>
        <v>0.5</v>
      </c>
      <c r="U35" s="649">
        <f>'29'!$J$21</f>
        <v>0.4</v>
      </c>
      <c r="V35" s="650">
        <f>'29'!$J$19</f>
        <v>0.4666666667</v>
      </c>
      <c r="W35" s="651">
        <f>'29'!$K$20</f>
        <v>6.9</v>
      </c>
      <c r="X35" s="649">
        <f>'29'!$K$21</f>
        <v>6.9</v>
      </c>
      <c r="Y35" s="649">
        <f>'29'!$K$19</f>
        <v>6.9</v>
      </c>
      <c r="Z35" s="641">
        <f>AVERAGE('29'!$L$20,'29'!$M$20)</f>
        <v>6.5</v>
      </c>
      <c r="AA35" s="641">
        <f>AVERAGE('29'!$L$21,'29'!$M$21)</f>
        <v>6.5</v>
      </c>
      <c r="AB35" s="641">
        <f>AVERAGE('29'!$L$19,'29'!$M$19)</f>
        <v>6.5</v>
      </c>
      <c r="AC35" s="649">
        <f>'29'!$N$20</f>
        <v>6.2</v>
      </c>
      <c r="AD35" s="649">
        <f>'29'!$N$21</f>
        <v>6.2</v>
      </c>
      <c r="AE35" s="650">
        <f>'29'!$N$19</f>
        <v>6.2</v>
      </c>
    </row>
    <row r="36" ht="18.75" customHeight="1">
      <c r="A36" s="644">
        <v>30.0</v>
      </c>
      <c r="B36" s="645">
        <f>'30'!$B$20</f>
        <v>112</v>
      </c>
      <c r="C36" s="646">
        <f>'30'!$B$21</f>
        <v>98</v>
      </c>
      <c r="D36" s="646">
        <f>'30'!$B$19</f>
        <v>105.8333333</v>
      </c>
      <c r="E36" s="637">
        <f>AVERAGE('30'!$C$20,'30'!$D$20)</f>
        <v>14.5</v>
      </c>
      <c r="F36" s="637">
        <f>AVERAGE('30'!$C$21,'30'!$D$21)</f>
        <v>12.5</v>
      </c>
      <c r="G36" s="637">
        <f>AVERAGE('30'!$C$19,'30'!$D$19)</f>
        <v>13.66666667</v>
      </c>
      <c r="H36" s="637">
        <f>'30'!$E$20</f>
        <v>7</v>
      </c>
      <c r="I36" s="637">
        <f>'30'!$E$21</f>
        <v>6</v>
      </c>
      <c r="J36" s="647">
        <f>'30'!$E$19</f>
        <v>6.833333333</v>
      </c>
      <c r="K36" s="648">
        <f>'30'!$F$20</f>
        <v>20</v>
      </c>
      <c r="L36" s="637">
        <f>'30'!$F$21</f>
        <v>16</v>
      </c>
      <c r="M36" s="637">
        <f>'30'!$F$19</f>
        <v>19.5</v>
      </c>
      <c r="N36" s="637">
        <f>AVERAGE('30'!$G$20,'30'!$H$20)</f>
        <v>1.5</v>
      </c>
      <c r="O36" s="637">
        <f>AVERAGE('30'!$G$21,'30'!$H$21)</f>
        <v>1</v>
      </c>
      <c r="P36" s="637">
        <f>AVERAGE('30'!$G$19,'30'!$H$19)</f>
        <v>1.170833333</v>
      </c>
      <c r="Q36" s="649">
        <f>'30'!$I$20</f>
        <v>0.6</v>
      </c>
      <c r="R36" s="649">
        <f>'30'!$I$21</f>
        <v>0.4</v>
      </c>
      <c r="S36" s="649">
        <f>'30'!$I$19</f>
        <v>0.4916666667</v>
      </c>
      <c r="T36" s="649">
        <f>'30'!$J$20</f>
        <v>0.5</v>
      </c>
      <c r="U36" s="649">
        <f>'30'!$J$21</f>
        <v>0.4</v>
      </c>
      <c r="V36" s="650">
        <f>'30'!$J$19</f>
        <v>0.4416666667</v>
      </c>
      <c r="W36" s="651">
        <f>'30'!$K$20</f>
        <v>6.9</v>
      </c>
      <c r="X36" s="649">
        <f>'30'!$K$21</f>
        <v>6.9</v>
      </c>
      <c r="Y36" s="649">
        <f>'30'!$K$19</f>
        <v>6.9</v>
      </c>
      <c r="Z36" s="641">
        <f>AVERAGE('30'!$L$20,'30'!$M$20)</f>
        <v>6.5</v>
      </c>
      <c r="AA36" s="641">
        <f>AVERAGE('30'!$L$21,'30'!$M$21)</f>
        <v>6.5</v>
      </c>
      <c r="AB36" s="641">
        <f>AVERAGE('30'!$L$19,'30'!$M$19)</f>
        <v>6.5</v>
      </c>
      <c r="AC36" s="649">
        <f>'30'!$N$20</f>
        <v>6.2</v>
      </c>
      <c r="AD36" s="649">
        <f>'30'!$N$21</f>
        <v>6.2</v>
      </c>
      <c r="AE36" s="650">
        <f>'30'!$N$19</f>
        <v>6.2</v>
      </c>
    </row>
    <row r="37" ht="18.75" customHeight="1">
      <c r="A37" s="655">
        <v>31.0</v>
      </c>
      <c r="B37" s="645">
        <f>'31'!$B$20</f>
        <v>112</v>
      </c>
      <c r="C37" s="646">
        <f>'31'!$B$21</f>
        <v>92</v>
      </c>
      <c r="D37" s="656">
        <f>'31'!$B$19</f>
        <v>99.91666667</v>
      </c>
      <c r="E37" s="637">
        <f>AVERAGE('31'!$C$20,'31'!$D$20)</f>
        <v>17</v>
      </c>
      <c r="F37" s="637">
        <f>AVERAGE('31'!$C$21,'31'!$D$21)</f>
        <v>14.5</v>
      </c>
      <c r="G37" s="637">
        <f>AVERAGE('31'!$C$19,'31'!$D$19)</f>
        <v>15.29166667</v>
      </c>
      <c r="H37" s="657">
        <f>'31'!$E$20</f>
        <v>8</v>
      </c>
      <c r="I37" s="657">
        <f>'31'!$E$21</f>
        <v>7</v>
      </c>
      <c r="J37" s="658">
        <f>'31'!$E$19</f>
        <v>7.5</v>
      </c>
      <c r="K37" s="648">
        <f>'31'!$F$20</f>
        <v>19</v>
      </c>
      <c r="L37" s="637">
        <f>'31'!$F$21</f>
        <v>14</v>
      </c>
      <c r="M37" s="637">
        <f>'31'!$F$19</f>
        <v>15.41666667</v>
      </c>
      <c r="N37" s="637">
        <f>AVERAGE('31'!$G$20,'31'!$H$20)</f>
        <v>1.25</v>
      </c>
      <c r="O37" s="637">
        <f>AVERAGE('31'!$G$21,'31'!$H$21)</f>
        <v>0.85</v>
      </c>
      <c r="P37" s="637">
        <f>AVERAGE('31'!$G$19,'31'!$H$19)</f>
        <v>1.016666667</v>
      </c>
      <c r="Q37" s="649">
        <f>'31'!$I$20</f>
        <v>0.4</v>
      </c>
      <c r="R37" s="649">
        <f>'31'!$I$21</f>
        <v>0.2</v>
      </c>
      <c r="S37" s="649">
        <f>'31'!$I$19</f>
        <v>0.2916666667</v>
      </c>
      <c r="T37" s="649">
        <f>'31'!$J$20</f>
        <v>0.4</v>
      </c>
      <c r="U37" s="649">
        <f>'31'!$J$21</f>
        <v>0.3</v>
      </c>
      <c r="V37" s="650">
        <f>'31'!$J$19</f>
        <v>0.3416666667</v>
      </c>
      <c r="W37" s="651">
        <f>'31'!$K$20</f>
        <v>6.9</v>
      </c>
      <c r="X37" s="649">
        <f>'31'!$K$21</f>
        <v>6.9</v>
      </c>
      <c r="Y37" s="649">
        <f>'31'!$K$19</f>
        <v>6.9</v>
      </c>
      <c r="Z37" s="641">
        <f>AVERAGE('31'!$L$20,'31'!$M$20)</f>
        <v>6.6</v>
      </c>
      <c r="AA37" s="641">
        <f>AVERAGE('31'!$L$21,'31'!$M$21)</f>
        <v>6.5</v>
      </c>
      <c r="AB37" s="641">
        <f>AVERAGE('31'!$L$19,'31'!$M$19)</f>
        <v>6.566666667</v>
      </c>
      <c r="AC37" s="649">
        <f>'31'!$N$20</f>
        <v>6.2</v>
      </c>
      <c r="AD37" s="649">
        <f>'31'!$N$21</f>
        <v>6.2</v>
      </c>
      <c r="AE37" s="650">
        <f>'31'!$N$19</f>
        <v>6.2</v>
      </c>
    </row>
    <row r="38" ht="18.75" customHeight="1">
      <c r="A38" s="659"/>
      <c r="B38" s="660" t="s">
        <v>227</v>
      </c>
      <c r="C38" s="661" t="s">
        <v>230</v>
      </c>
      <c r="D38" s="662" t="s">
        <v>229</v>
      </c>
      <c r="E38" s="660" t="s">
        <v>227</v>
      </c>
      <c r="F38" s="661" t="s">
        <v>230</v>
      </c>
      <c r="G38" s="662" t="s">
        <v>229</v>
      </c>
      <c r="H38" s="663" t="s">
        <v>227</v>
      </c>
      <c r="I38" s="664" t="s">
        <v>230</v>
      </c>
      <c r="J38" s="665" t="s">
        <v>229</v>
      </c>
      <c r="K38" s="663" t="s">
        <v>227</v>
      </c>
      <c r="L38" s="664" t="s">
        <v>230</v>
      </c>
      <c r="M38" s="665" t="s">
        <v>229</v>
      </c>
      <c r="N38" s="663" t="s">
        <v>227</v>
      </c>
      <c r="O38" s="664" t="s">
        <v>230</v>
      </c>
      <c r="P38" s="665" t="s">
        <v>229</v>
      </c>
      <c r="Q38" s="663" t="s">
        <v>227</v>
      </c>
      <c r="R38" s="664" t="s">
        <v>230</v>
      </c>
      <c r="S38" s="665" t="s">
        <v>229</v>
      </c>
      <c r="T38" s="663" t="s">
        <v>227</v>
      </c>
      <c r="U38" s="664" t="s">
        <v>230</v>
      </c>
      <c r="V38" s="665" t="s">
        <v>229</v>
      </c>
      <c r="W38" s="663" t="s">
        <v>227</v>
      </c>
      <c r="X38" s="664" t="s">
        <v>230</v>
      </c>
      <c r="Y38" s="665" t="s">
        <v>229</v>
      </c>
      <c r="Z38" s="663" t="s">
        <v>227</v>
      </c>
      <c r="AA38" s="664" t="s">
        <v>230</v>
      </c>
      <c r="AB38" s="665" t="s">
        <v>229</v>
      </c>
      <c r="AC38" s="663" t="s">
        <v>227</v>
      </c>
      <c r="AD38" s="664" t="s">
        <v>230</v>
      </c>
      <c r="AE38" s="665" t="s">
        <v>229</v>
      </c>
    </row>
    <row r="39" ht="19.5" customHeight="1">
      <c r="A39" s="666" t="s">
        <v>231</v>
      </c>
      <c r="B39" s="667">
        <f>MAX('Parte 1'!B7:B36)</f>
        <v>325</v>
      </c>
      <c r="C39" s="668">
        <f>MIN('Parte 1'!C7:C36)</f>
        <v>60</v>
      </c>
      <c r="D39" s="668">
        <f>AVERAGE('Parte 1'!D7:D36)</f>
        <v>165.0236111</v>
      </c>
      <c r="E39" s="667">
        <f>MAX('Parte 1'!E7:E36)</f>
        <v>22</v>
      </c>
      <c r="F39" s="668">
        <f>MIN('Parte 1'!F7:F36)</f>
        <v>7.6</v>
      </c>
      <c r="G39" s="668">
        <f>AVERAGE('Parte 1'!G7:G36)</f>
        <v>14.18</v>
      </c>
      <c r="H39" s="669">
        <f>MAX('Parte 1'!H7:H36)</f>
        <v>13</v>
      </c>
      <c r="I39" s="670">
        <f>MIN('Parte 1'!I7:I36)</f>
        <v>2</v>
      </c>
      <c r="J39" s="670">
        <f>AVERAGE('Parte 1'!J7:J36)</f>
        <v>5.905833333</v>
      </c>
      <c r="K39" s="669">
        <f>MAX('Parte 1'!K7:K36)</f>
        <v>264</v>
      </c>
      <c r="L39" s="670">
        <f>MIN('Parte 1'!L7:L36)</f>
        <v>5</v>
      </c>
      <c r="M39" s="670">
        <f>AVERAGE('Parte 1'!M7:M36)</f>
        <v>49.57181818</v>
      </c>
      <c r="N39" s="669">
        <f>MAX('Parte 1'!N7:N36)</f>
        <v>5.15</v>
      </c>
      <c r="O39" s="670">
        <f>MIN('Parte 1'!O7:O36)</f>
        <v>0.75</v>
      </c>
      <c r="P39" s="670">
        <f>AVERAGE('Parte 1'!P7:P36)</f>
        <v>1.520796717</v>
      </c>
      <c r="Q39" s="669">
        <f>MAX('Parte 1'!Q7:Q36)</f>
        <v>10</v>
      </c>
      <c r="R39" s="670">
        <f>MIN('Parte 1'!R7:R36)</f>
        <v>0.3</v>
      </c>
      <c r="S39" s="670">
        <f>AVERAGE('Parte 1'!S7:S36)</f>
        <v>0.6032979798</v>
      </c>
      <c r="T39" s="669">
        <f>MAX('Parte 1'!T7:T36)</f>
        <v>1.5</v>
      </c>
      <c r="U39" s="670">
        <f>MIN('Parte 1'!U7:U36)</f>
        <v>0.4</v>
      </c>
      <c r="V39" s="670">
        <f>AVERAGE('Parte 1'!V7:V36)</f>
        <v>0.6413131313</v>
      </c>
      <c r="W39" s="669">
        <f>MAX('Parte 1'!W7:W36)</f>
        <v>7.2</v>
      </c>
      <c r="X39" s="670">
        <f>MIN('Parte 1'!X7:X36)</f>
        <v>6</v>
      </c>
      <c r="Y39" s="670">
        <f>AVERAGE('Parte 1'!Y7:Y36)</f>
        <v>6.890858586</v>
      </c>
      <c r="Z39" s="669">
        <f>MAX('Parte 1'!Z7:Z36)</f>
        <v>6.6</v>
      </c>
      <c r="AA39" s="670">
        <f>MIN('Parte 1'!AA7:AA36)</f>
        <v>6.1</v>
      </c>
      <c r="AB39" s="670">
        <f>AVERAGE('Parte 1'!AB7:AB36)</f>
        <v>6.432361111</v>
      </c>
      <c r="AC39" s="669">
        <f>MAX('Parte 1'!AC7:AC36)</f>
        <v>6.52</v>
      </c>
      <c r="AD39" s="670">
        <f>MIN('Parte 1'!AD7:AD36)</f>
        <v>6</v>
      </c>
      <c r="AE39" s="670">
        <f>AVERAGE('Parte 1'!AE7:AE36)</f>
        <v>6.152166667</v>
      </c>
    </row>
    <row r="40" ht="11.25" customHeight="1">
      <c r="A40" s="671" t="s">
        <v>232</v>
      </c>
      <c r="B40" s="672"/>
      <c r="C40" s="672" t="s">
        <v>233</v>
      </c>
      <c r="D40" s="673"/>
      <c r="E40" s="674"/>
      <c r="F40" s="674"/>
      <c r="G40" s="674"/>
      <c r="H40" s="674"/>
      <c r="I40" s="674"/>
      <c r="J40" s="674"/>
      <c r="K40" s="674"/>
      <c r="L40" s="674"/>
      <c r="M40" s="675"/>
      <c r="N40" s="676"/>
      <c r="O40" s="674"/>
      <c r="P40" s="674"/>
      <c r="Q40" s="674"/>
      <c r="R40" s="674"/>
      <c r="S40" s="674"/>
      <c r="T40" s="674"/>
      <c r="U40" s="674"/>
      <c r="V40" s="674"/>
      <c r="W40" s="674"/>
      <c r="X40" s="674"/>
      <c r="Y40" s="674"/>
      <c r="Z40" s="674"/>
      <c r="AA40" s="674"/>
      <c r="AB40" s="674"/>
      <c r="AC40" s="674"/>
      <c r="AD40" s="674"/>
      <c r="AE40" s="675"/>
    </row>
    <row r="41" ht="12.75" customHeight="1">
      <c r="A41" s="677" t="s">
        <v>234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80"/>
      <c r="N41" s="678"/>
      <c r="O41" s="678"/>
      <c r="P41" s="678" t="s">
        <v>235</v>
      </c>
      <c r="Q41" s="678"/>
      <c r="R41" s="678"/>
      <c r="S41" s="678"/>
      <c r="T41" s="678"/>
      <c r="U41" s="679"/>
      <c r="V41" s="679"/>
      <c r="W41" s="679"/>
      <c r="X41" s="678"/>
      <c r="Y41" s="678"/>
      <c r="Z41" s="678"/>
      <c r="AA41" s="678"/>
      <c r="AB41" s="678"/>
      <c r="AC41" s="678"/>
      <c r="AD41" s="678"/>
      <c r="AE41" s="680"/>
    </row>
    <row r="42" ht="11.25" customHeight="1">
      <c r="A42" s="681" t="s">
        <v>236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682"/>
      <c r="N42" s="683"/>
      <c r="O42" s="684"/>
      <c r="P42" s="684"/>
      <c r="Q42" s="684"/>
      <c r="R42" s="684"/>
      <c r="S42" s="684"/>
      <c r="T42" s="684"/>
      <c r="U42" s="684"/>
      <c r="V42" s="684"/>
      <c r="W42" s="684"/>
      <c r="X42" s="684"/>
      <c r="Y42" s="684"/>
      <c r="Z42" s="684"/>
      <c r="AA42" s="684"/>
      <c r="AB42" s="684"/>
      <c r="AC42" s="684"/>
      <c r="AD42" s="684"/>
      <c r="AE42" s="685"/>
    </row>
    <row r="43" ht="11.25" customHeight="1">
      <c r="A43" s="686"/>
      <c r="B43" s="687"/>
      <c r="C43" s="687"/>
      <c r="D43" s="687"/>
      <c r="E43" s="687"/>
      <c r="F43" s="687"/>
      <c r="G43" s="687"/>
      <c r="H43" s="687"/>
      <c r="I43" s="687"/>
      <c r="J43" s="687"/>
      <c r="K43" s="687"/>
      <c r="L43" s="687"/>
      <c r="M43" s="687"/>
      <c r="N43" s="688"/>
      <c r="O43" s="689"/>
      <c r="P43" s="689"/>
      <c r="Q43" s="689"/>
      <c r="R43" s="689"/>
      <c r="S43" s="689"/>
      <c r="T43" s="616"/>
      <c r="U43" s="690"/>
      <c r="V43" s="690"/>
      <c r="W43" s="690"/>
      <c r="X43" s="690"/>
      <c r="Y43" s="690"/>
      <c r="Z43" s="690"/>
      <c r="AA43" s="690"/>
      <c r="AB43" s="690"/>
      <c r="AC43" s="691"/>
      <c r="AD43" s="692"/>
      <c r="AE43" s="693"/>
    </row>
    <row r="44" ht="12.0" customHeight="1">
      <c r="A44" s="694"/>
      <c r="B44" s="689"/>
      <c r="C44" s="689"/>
      <c r="D44" s="689"/>
      <c r="E44" s="695"/>
      <c r="F44" s="689"/>
      <c r="G44" s="689"/>
      <c r="H44" s="689"/>
      <c r="I44" s="689"/>
      <c r="J44" s="689"/>
      <c r="K44" s="689"/>
      <c r="L44" s="689"/>
      <c r="M44" s="689"/>
      <c r="N44" s="696"/>
      <c r="O44" s="684"/>
      <c r="P44" s="684"/>
      <c r="Q44" s="684"/>
      <c r="R44" s="684"/>
      <c r="S44" s="684"/>
      <c r="T44" s="684"/>
      <c r="U44" s="684"/>
      <c r="V44" s="684"/>
      <c r="W44" s="684"/>
      <c r="X44" s="684"/>
      <c r="Y44" s="684"/>
      <c r="Z44" s="684"/>
      <c r="AA44" s="684"/>
      <c r="AB44" s="684"/>
      <c r="AC44" s="684"/>
      <c r="AD44" s="684"/>
      <c r="AE44" s="685"/>
    </row>
    <row r="45" ht="15.75" customHeight="1">
      <c r="B45" s="697" t="s">
        <v>237</v>
      </c>
      <c r="C45" s="127"/>
      <c r="D45" s="128"/>
      <c r="F45" s="698" t="s">
        <v>238</v>
      </c>
      <c r="G45" s="127"/>
      <c r="H45" s="127"/>
      <c r="I45" s="127"/>
      <c r="J45" s="128"/>
      <c r="K45" s="699"/>
      <c r="L45" s="698" t="s">
        <v>239</v>
      </c>
      <c r="M45" s="127"/>
      <c r="N45" s="127"/>
      <c r="O45" s="128"/>
      <c r="P45" s="700" t="s">
        <v>240</v>
      </c>
      <c r="Q45" s="127"/>
      <c r="R45" s="127"/>
      <c r="S45" s="127"/>
      <c r="T45" s="128"/>
      <c r="U45" s="701"/>
      <c r="V45" s="698" t="s">
        <v>241</v>
      </c>
      <c r="W45" s="127"/>
      <c r="X45" s="127"/>
      <c r="Y45" s="127"/>
      <c r="Z45" s="127"/>
      <c r="AA45" s="127"/>
      <c r="AB45" s="127"/>
      <c r="AC45" s="128"/>
      <c r="AE45" s="698" t="s">
        <v>242</v>
      </c>
      <c r="AF45" s="127"/>
      <c r="AG45" s="127"/>
      <c r="AH45" s="128"/>
      <c r="AJ45" s="698" t="s">
        <v>243</v>
      </c>
      <c r="AK45" s="127"/>
      <c r="AL45" s="127"/>
      <c r="AM45" s="128"/>
    </row>
    <row r="46" ht="12.0" customHeight="1">
      <c r="A46" s="634">
        <v>1.0</v>
      </c>
      <c r="B46" s="635">
        <f>'Parte 1'!B7</f>
        <v>115</v>
      </c>
      <c r="C46" s="636">
        <f>'Parte 1'!C7</f>
        <v>107</v>
      </c>
      <c r="D46" s="636">
        <f>'Parte 1'!D7</f>
        <v>110.1666667</v>
      </c>
      <c r="H46" s="638">
        <v>2.5</v>
      </c>
      <c r="I46" s="638">
        <v>2.5</v>
      </c>
      <c r="J46" s="639">
        <v>2.5</v>
      </c>
      <c r="L46" s="640">
        <v>9.0</v>
      </c>
      <c r="M46" s="638">
        <v>8.0</v>
      </c>
      <c r="N46" s="638">
        <v>8.30833333333334</v>
      </c>
      <c r="Q46" s="702">
        <v>0.4</v>
      </c>
      <c r="R46" s="702">
        <v>0.4</v>
      </c>
      <c r="S46" s="702">
        <v>0.4</v>
      </c>
      <c r="V46" s="703">
        <v>0.4</v>
      </c>
      <c r="W46" s="703">
        <v>0.3</v>
      </c>
      <c r="X46" s="703">
        <v>0.333333333333333</v>
      </c>
      <c r="AE46" s="703">
        <v>6.8</v>
      </c>
      <c r="AF46" s="703">
        <v>6.7</v>
      </c>
      <c r="AG46" s="703">
        <v>6.7</v>
      </c>
      <c r="AJ46" s="703">
        <v>7.2</v>
      </c>
      <c r="AK46" s="703">
        <v>7.2</v>
      </c>
      <c r="AL46" s="703">
        <v>7.2</v>
      </c>
    </row>
    <row r="47" ht="12.0" customHeight="1">
      <c r="A47" s="644">
        <v>2.0</v>
      </c>
      <c r="B47" s="645">
        <f>'Parte 1'!B8</f>
        <v>275</v>
      </c>
      <c r="C47" s="646">
        <f>'Parte 1'!C8</f>
        <v>125</v>
      </c>
      <c r="D47" s="646">
        <f>'Parte 1'!D8</f>
        <v>209.8333333</v>
      </c>
      <c r="H47" s="637">
        <v>2.5</v>
      </c>
      <c r="I47" s="637">
        <v>2.5</v>
      </c>
      <c r="J47" s="647">
        <v>2.5</v>
      </c>
      <c r="L47" s="648">
        <v>8.5</v>
      </c>
      <c r="M47" s="637">
        <v>6.6</v>
      </c>
      <c r="N47" s="637">
        <v>7.61666666666667</v>
      </c>
      <c r="Q47" s="702">
        <v>0.5</v>
      </c>
      <c r="R47" s="702">
        <v>0.3</v>
      </c>
      <c r="S47" s="702">
        <v>0.408333333333333</v>
      </c>
      <c r="V47" s="702">
        <v>0.4</v>
      </c>
      <c r="W47" s="702">
        <v>0.3</v>
      </c>
      <c r="X47" s="702">
        <v>0.35</v>
      </c>
      <c r="AE47" s="702">
        <v>6.7</v>
      </c>
      <c r="AF47" s="702">
        <v>6.7</v>
      </c>
      <c r="AG47" s="702">
        <v>6.7</v>
      </c>
      <c r="AJ47" s="702">
        <v>7.2</v>
      </c>
      <c r="AK47" s="702">
        <v>7.2</v>
      </c>
      <c r="AL47" s="702">
        <v>7.2</v>
      </c>
    </row>
    <row r="48" ht="12.0" customHeight="1">
      <c r="A48" s="644">
        <v>3.0</v>
      </c>
      <c r="B48" s="645">
        <f>'Parte 1'!B9</f>
        <v>324</v>
      </c>
      <c r="C48" s="646">
        <f>'Parte 1'!C9</f>
        <v>246</v>
      </c>
      <c r="D48" s="646">
        <f>'Parte 1'!D9</f>
        <v>301.9166667</v>
      </c>
      <c r="H48" s="637">
        <v>2.5</v>
      </c>
      <c r="I48" s="637">
        <v>2.5</v>
      </c>
      <c r="J48" s="647">
        <v>2.5</v>
      </c>
      <c r="L48" s="648">
        <v>6.5</v>
      </c>
      <c r="M48" s="637">
        <v>5.1</v>
      </c>
      <c r="N48" s="637">
        <v>5.84166666666667</v>
      </c>
      <c r="Q48" s="702">
        <v>0.7</v>
      </c>
      <c r="R48" s="702">
        <v>0.4</v>
      </c>
      <c r="S48" s="702">
        <v>0.458333333333333</v>
      </c>
      <c r="V48" s="702">
        <v>0.4</v>
      </c>
      <c r="W48" s="702">
        <v>0.3</v>
      </c>
      <c r="X48" s="702">
        <v>0.383333333333333</v>
      </c>
      <c r="AE48" s="702">
        <v>6.7</v>
      </c>
      <c r="AF48" s="702">
        <v>6.2</v>
      </c>
      <c r="AG48" s="702">
        <v>6.40833333333334</v>
      </c>
      <c r="AJ48" s="702">
        <v>7.2</v>
      </c>
      <c r="AK48" s="702">
        <v>6.7</v>
      </c>
      <c r="AL48" s="702">
        <v>6.90833333333334</v>
      </c>
    </row>
    <row r="49" ht="12.0" customHeight="1">
      <c r="A49" s="644">
        <v>4.0</v>
      </c>
      <c r="B49" s="645">
        <f>'Parte 1'!B10</f>
        <v>325</v>
      </c>
      <c r="C49" s="646">
        <f>'Parte 1'!C10</f>
        <v>321</v>
      </c>
      <c r="D49" s="646">
        <f>'Parte 1'!D10</f>
        <v>301.9166667</v>
      </c>
      <c r="H49" s="637">
        <v>2.5</v>
      </c>
      <c r="I49" s="637">
        <v>2.5</v>
      </c>
      <c r="J49" s="647">
        <v>2.5</v>
      </c>
      <c r="L49" s="648">
        <v>5.1</v>
      </c>
      <c r="M49" s="637">
        <v>4.6</v>
      </c>
      <c r="N49" s="637">
        <v>4.83333333333333</v>
      </c>
      <c r="Q49" s="702">
        <v>0.5</v>
      </c>
      <c r="R49" s="702">
        <v>0.4</v>
      </c>
      <c r="S49" s="702">
        <v>0.475</v>
      </c>
      <c r="V49" s="702">
        <v>0.4</v>
      </c>
      <c r="W49" s="702">
        <v>0.4</v>
      </c>
      <c r="X49" s="702">
        <v>0.4</v>
      </c>
      <c r="AE49" s="702">
        <v>6.2</v>
      </c>
      <c r="AF49" s="702">
        <v>6.2</v>
      </c>
      <c r="AG49" s="702">
        <v>6.2</v>
      </c>
      <c r="AJ49" s="702">
        <v>6.7</v>
      </c>
      <c r="AK49" s="702">
        <v>6.7</v>
      </c>
      <c r="AL49" s="702">
        <v>6.7</v>
      </c>
    </row>
    <row r="50" ht="12.0" customHeight="1">
      <c r="A50" s="644">
        <v>5.0</v>
      </c>
      <c r="B50" s="645">
        <f>'Parte 1'!B11</f>
        <v>294</v>
      </c>
      <c r="C50" s="646">
        <f>'Parte 1'!C11</f>
        <v>258</v>
      </c>
      <c r="D50" s="646">
        <f>'Parte 1'!D11</f>
        <v>274.5</v>
      </c>
      <c r="H50" s="637">
        <v>2.5</v>
      </c>
      <c r="I50" s="637">
        <v>2.5</v>
      </c>
      <c r="J50" s="647">
        <v>2.5</v>
      </c>
      <c r="L50" s="648">
        <v>5.0</v>
      </c>
      <c r="M50" s="637">
        <v>4.5</v>
      </c>
      <c r="N50" s="637">
        <v>4.66666666666667</v>
      </c>
      <c r="Q50" s="702">
        <v>0.6</v>
      </c>
      <c r="R50" s="702">
        <v>0.4</v>
      </c>
      <c r="S50" s="702">
        <v>0.5</v>
      </c>
      <c r="V50" s="702">
        <v>0.5</v>
      </c>
      <c r="W50" s="702">
        <v>0.4</v>
      </c>
      <c r="X50" s="702">
        <v>0.441666666666667</v>
      </c>
      <c r="AE50" s="702">
        <v>6.4</v>
      </c>
      <c r="AF50" s="702">
        <v>6.2</v>
      </c>
      <c r="AG50" s="702">
        <v>6.31666666666667</v>
      </c>
      <c r="AJ50" s="702">
        <v>7.1</v>
      </c>
      <c r="AK50" s="702">
        <v>6.7</v>
      </c>
      <c r="AL50" s="702">
        <v>6.93333333333333</v>
      </c>
    </row>
    <row r="51" ht="12.0" customHeight="1">
      <c r="A51" s="644">
        <v>6.0</v>
      </c>
      <c r="B51" s="645">
        <f>'Parte 1'!B12</f>
        <v>286</v>
      </c>
      <c r="C51" s="646">
        <f>'Parte 1'!C12</f>
        <v>124</v>
      </c>
      <c r="D51" s="646">
        <f>'Parte 1'!D12</f>
        <v>218.1666667</v>
      </c>
      <c r="H51" s="637">
        <v>2.5</v>
      </c>
      <c r="I51" s="637">
        <v>2.5</v>
      </c>
      <c r="J51" s="647">
        <v>2.5</v>
      </c>
      <c r="L51" s="648">
        <v>4.8</v>
      </c>
      <c r="M51" s="637">
        <v>3.7</v>
      </c>
      <c r="N51" s="637">
        <v>4.2</v>
      </c>
      <c r="Q51" s="702">
        <v>0.5</v>
      </c>
      <c r="R51" s="702">
        <v>0.3</v>
      </c>
      <c r="S51" s="702">
        <v>0.4</v>
      </c>
      <c r="V51" s="702">
        <v>0.5</v>
      </c>
      <c r="W51" s="702">
        <v>0.3</v>
      </c>
      <c r="X51" s="702">
        <v>0.366666666666667</v>
      </c>
      <c r="AE51" s="702">
        <v>6.5</v>
      </c>
      <c r="AF51" s="702">
        <v>6.1</v>
      </c>
      <c r="AG51" s="702">
        <v>6.26666666666667</v>
      </c>
      <c r="AJ51" s="702">
        <v>7.1</v>
      </c>
      <c r="AK51" s="702">
        <v>6.7</v>
      </c>
      <c r="AL51" s="702">
        <v>6.86666666666667</v>
      </c>
    </row>
    <row r="52" ht="12.0" customHeight="1">
      <c r="A52" s="644">
        <v>7.0</v>
      </c>
      <c r="B52" s="645">
        <f>'Parte 1'!B13</f>
        <v>252</v>
      </c>
      <c r="C52" s="646">
        <f>'Parte 1'!C13</f>
        <v>220</v>
      </c>
      <c r="D52" s="646">
        <f>'Parte 1'!D13</f>
        <v>239.0833333</v>
      </c>
      <c r="H52" s="654">
        <v>2.5</v>
      </c>
      <c r="I52" s="637">
        <v>2.5</v>
      </c>
      <c r="J52" s="647">
        <v>2.5</v>
      </c>
      <c r="L52" s="648">
        <v>4.1</v>
      </c>
      <c r="M52" s="637">
        <v>3.4</v>
      </c>
      <c r="N52" s="637">
        <v>3.73333333333333</v>
      </c>
      <c r="Q52" s="702">
        <v>0.6</v>
      </c>
      <c r="R52" s="702">
        <v>0.3</v>
      </c>
      <c r="S52" s="702">
        <v>0.45</v>
      </c>
      <c r="V52" s="702">
        <v>0.4</v>
      </c>
      <c r="W52" s="702">
        <v>0.3</v>
      </c>
      <c r="X52" s="702">
        <v>0.325</v>
      </c>
      <c r="AE52" s="702">
        <v>6.4</v>
      </c>
      <c r="AF52" s="702">
        <v>6.1</v>
      </c>
      <c r="AG52" s="702">
        <v>6.275</v>
      </c>
      <c r="AJ52" s="702">
        <v>6.8</v>
      </c>
      <c r="AK52" s="702">
        <v>6.7</v>
      </c>
      <c r="AL52" s="702">
        <v>6.75833333333333</v>
      </c>
    </row>
    <row r="53" ht="12.0" customHeight="1">
      <c r="A53" s="644">
        <v>8.0</v>
      </c>
      <c r="B53" s="645">
        <f>'Parte 1'!B14</f>
        <v>244</v>
      </c>
      <c r="C53" s="646">
        <f>'Parte 1'!C14</f>
        <v>218</v>
      </c>
      <c r="D53" s="646">
        <f>'Parte 1'!D14</f>
        <v>225.25</v>
      </c>
      <c r="H53" s="637">
        <v>2.5</v>
      </c>
      <c r="I53" s="637">
        <v>2.5</v>
      </c>
      <c r="J53" s="647">
        <v>2.5</v>
      </c>
      <c r="L53" s="648">
        <v>3.8</v>
      </c>
      <c r="M53" s="637">
        <v>3.5</v>
      </c>
      <c r="N53" s="637">
        <v>3.63333333333333</v>
      </c>
      <c r="Q53" s="702">
        <v>0.6</v>
      </c>
      <c r="R53" s="702">
        <v>0.3</v>
      </c>
      <c r="S53" s="702">
        <v>0.408333333333333</v>
      </c>
      <c r="V53" s="702">
        <v>0.5</v>
      </c>
      <c r="W53" s="702">
        <v>0.3</v>
      </c>
      <c r="X53" s="702">
        <v>0.35</v>
      </c>
      <c r="AE53" s="702">
        <v>6.4</v>
      </c>
      <c r="AF53" s="702">
        <v>6.4</v>
      </c>
      <c r="AG53" s="702">
        <v>6.4</v>
      </c>
      <c r="AJ53" s="702">
        <v>6.9</v>
      </c>
      <c r="AK53" s="702">
        <v>6.8</v>
      </c>
      <c r="AL53" s="702">
        <v>6.85833333333333</v>
      </c>
    </row>
    <row r="54" ht="12.0" customHeight="1">
      <c r="A54" s="644">
        <v>9.0</v>
      </c>
      <c r="B54" s="645">
        <f>'Parte 1'!B15</f>
        <v>223</v>
      </c>
      <c r="C54" s="646">
        <f>'Parte 1'!C15</f>
        <v>108</v>
      </c>
      <c r="D54" s="646">
        <f>'Parte 1'!D15</f>
        <v>148.75</v>
      </c>
      <c r="H54" s="637">
        <v>2.5</v>
      </c>
      <c r="I54" s="637">
        <v>2.5</v>
      </c>
      <c r="J54" s="647">
        <v>2.5</v>
      </c>
      <c r="L54" s="648">
        <v>4.5</v>
      </c>
      <c r="M54" s="637">
        <v>2.9</v>
      </c>
      <c r="N54" s="637">
        <v>3.55833333333333</v>
      </c>
      <c r="Q54" s="702">
        <v>0.6</v>
      </c>
      <c r="R54" s="702">
        <v>0.3</v>
      </c>
      <c r="S54" s="702">
        <v>0.425</v>
      </c>
      <c r="V54" s="702">
        <v>0.4</v>
      </c>
      <c r="W54" s="702">
        <v>0.3</v>
      </c>
      <c r="X54" s="702">
        <v>0.316666666666667</v>
      </c>
      <c r="AE54" s="702">
        <v>6.6</v>
      </c>
      <c r="AF54" s="702">
        <v>6.4</v>
      </c>
      <c r="AG54" s="702">
        <v>6.52727272727273</v>
      </c>
      <c r="AJ54" s="702">
        <v>7.0</v>
      </c>
      <c r="AK54" s="702">
        <v>6.9</v>
      </c>
      <c r="AL54" s="702">
        <v>6.96363636363636</v>
      </c>
    </row>
    <row r="55" ht="12.0" customHeight="1">
      <c r="A55" s="644">
        <v>10.0</v>
      </c>
      <c r="B55" s="645">
        <f>'Parte 1'!B16</f>
        <v>114</v>
      </c>
      <c r="C55" s="646">
        <f>'Parte 1'!C16</f>
        <v>95.2</v>
      </c>
      <c r="D55" s="646">
        <f>'Parte 1'!D16</f>
        <v>104.0416667</v>
      </c>
      <c r="H55" s="637">
        <v>2.5</v>
      </c>
      <c r="I55" s="637">
        <v>2.5</v>
      </c>
      <c r="J55" s="647">
        <v>2.5</v>
      </c>
      <c r="L55" s="648">
        <v>28.0</v>
      </c>
      <c r="M55" s="637">
        <v>4.7</v>
      </c>
      <c r="N55" s="637">
        <v>15.2666666666667</v>
      </c>
      <c r="Q55" s="702">
        <v>0.6</v>
      </c>
      <c r="R55" s="702">
        <v>0.3</v>
      </c>
      <c r="S55" s="702">
        <v>0.45</v>
      </c>
      <c r="V55" s="702">
        <v>0.5</v>
      </c>
      <c r="W55" s="702">
        <v>0.3</v>
      </c>
      <c r="X55" s="702">
        <v>0.408333333333333</v>
      </c>
      <c r="AE55" s="702">
        <v>6.8</v>
      </c>
      <c r="AF55" s="702">
        <v>6.6</v>
      </c>
      <c r="AG55" s="702">
        <v>6.61666666666667</v>
      </c>
      <c r="AJ55" s="702">
        <v>7.0</v>
      </c>
      <c r="AK55" s="702">
        <v>7.0</v>
      </c>
      <c r="AL55" s="702">
        <v>7.0</v>
      </c>
    </row>
    <row r="56" ht="12.0" customHeight="1">
      <c r="A56" s="644">
        <v>11.0</v>
      </c>
      <c r="B56" s="645">
        <f>'Parte 1'!B17</f>
        <v>112</v>
      </c>
      <c r="C56" s="646">
        <f>'Parte 1'!C17</f>
        <v>79</v>
      </c>
      <c r="D56" s="646">
        <f>'Parte 1'!D17</f>
        <v>95.08333333</v>
      </c>
      <c r="H56" s="637">
        <v>2.5</v>
      </c>
      <c r="I56" s="637">
        <v>2.5</v>
      </c>
      <c r="J56" s="647">
        <v>2.5</v>
      </c>
      <c r="L56" s="648">
        <v>23.0</v>
      </c>
      <c r="M56" s="637">
        <v>16.0</v>
      </c>
      <c r="N56" s="637">
        <v>19.25</v>
      </c>
      <c r="Q56" s="702">
        <v>0.6</v>
      </c>
      <c r="R56" s="702">
        <v>0.4</v>
      </c>
      <c r="S56" s="702">
        <v>0.491666666666667</v>
      </c>
      <c r="V56" s="702">
        <v>0.5</v>
      </c>
      <c r="W56" s="702">
        <v>0.3</v>
      </c>
      <c r="X56" s="702">
        <v>0.391666666666667</v>
      </c>
      <c r="AE56" s="702">
        <v>6.6</v>
      </c>
      <c r="AF56" s="702">
        <v>6.6</v>
      </c>
      <c r="AG56" s="702">
        <v>6.6</v>
      </c>
      <c r="AJ56" s="702">
        <v>7.0</v>
      </c>
      <c r="AK56" s="702">
        <v>7.0</v>
      </c>
      <c r="AL56" s="702">
        <v>7.0</v>
      </c>
    </row>
    <row r="57" ht="12.0" customHeight="1">
      <c r="A57" s="644">
        <v>12.0</v>
      </c>
      <c r="B57" s="645">
        <f>'Parte 1'!B18</f>
        <v>115</v>
      </c>
      <c r="C57" s="646">
        <f>'Parte 1'!C18</f>
        <v>82</v>
      </c>
      <c r="D57" s="646">
        <f>'Parte 1'!D18</f>
        <v>92.91666667</v>
      </c>
      <c r="H57" s="637">
        <v>2.5</v>
      </c>
      <c r="I57" s="637">
        <v>2.5</v>
      </c>
      <c r="J57" s="647">
        <v>2.5</v>
      </c>
      <c r="L57" s="648">
        <v>21.0</v>
      </c>
      <c r="M57" s="637">
        <v>14.9</v>
      </c>
      <c r="N57" s="637">
        <v>19.3</v>
      </c>
      <c r="Q57" s="702">
        <v>0.6</v>
      </c>
      <c r="R57" s="702">
        <v>0.3</v>
      </c>
      <c r="S57" s="702">
        <v>0.416666666666667</v>
      </c>
      <c r="V57" s="702">
        <v>0.4</v>
      </c>
      <c r="W57" s="702">
        <v>0.3</v>
      </c>
      <c r="X57" s="702">
        <v>0.341666666666667</v>
      </c>
      <c r="AE57" s="702">
        <v>6.6</v>
      </c>
      <c r="AF57" s="702">
        <v>6.6</v>
      </c>
      <c r="AG57" s="702">
        <v>6.6</v>
      </c>
      <c r="AJ57" s="702">
        <v>7.1</v>
      </c>
      <c r="AK57" s="702">
        <v>7.0</v>
      </c>
      <c r="AL57" s="702">
        <v>7.05833333333333</v>
      </c>
    </row>
    <row r="58" ht="12.0" customHeight="1">
      <c r="A58" s="644">
        <v>13.0</v>
      </c>
      <c r="B58" s="645">
        <f>'Parte 1'!B19</f>
        <v>97</v>
      </c>
      <c r="C58" s="646">
        <f>'Parte 1'!C19</f>
        <v>80</v>
      </c>
      <c r="D58" s="646">
        <f>'Parte 1'!D19</f>
        <v>85.91666667</v>
      </c>
      <c r="H58" s="637">
        <v>2.5</v>
      </c>
      <c r="I58" s="637">
        <v>2.5</v>
      </c>
      <c r="J58" s="647">
        <v>2.5</v>
      </c>
      <c r="L58" s="648">
        <v>14.0</v>
      </c>
      <c r="M58" s="637">
        <v>9.1</v>
      </c>
      <c r="N58" s="637">
        <v>10.8416666666667</v>
      </c>
      <c r="Q58" s="702">
        <v>0.6</v>
      </c>
      <c r="R58" s="702">
        <v>0.4</v>
      </c>
      <c r="S58" s="702">
        <v>0.525</v>
      </c>
      <c r="V58" s="702">
        <v>0.4</v>
      </c>
      <c r="W58" s="702">
        <v>0.3</v>
      </c>
      <c r="X58" s="702">
        <v>0.325</v>
      </c>
      <c r="AE58" s="702">
        <v>6.6</v>
      </c>
      <c r="AF58" s="702">
        <v>6.6</v>
      </c>
      <c r="AG58" s="702">
        <v>6.6</v>
      </c>
      <c r="AJ58" s="702">
        <v>7.1</v>
      </c>
      <c r="AK58" s="702">
        <v>7.0</v>
      </c>
      <c r="AL58" s="702">
        <v>7.04166666666667</v>
      </c>
    </row>
    <row r="59" ht="12.0" customHeight="1">
      <c r="A59" s="644">
        <v>14.0</v>
      </c>
      <c r="B59" s="645">
        <f>'Parte 1'!B20</f>
        <v>98</v>
      </c>
      <c r="C59" s="646">
        <f>'Parte 1'!C20</f>
        <v>74</v>
      </c>
      <c r="D59" s="646">
        <f>'Parte 1'!D20</f>
        <v>83.33333333</v>
      </c>
      <c r="H59" s="654">
        <v>2.5</v>
      </c>
      <c r="I59" s="637">
        <v>2.5</v>
      </c>
      <c r="J59" s="647">
        <v>2.5</v>
      </c>
      <c r="L59" s="648">
        <v>8.8</v>
      </c>
      <c r="M59" s="637">
        <v>6.1</v>
      </c>
      <c r="N59" s="637">
        <v>7.33333333333333</v>
      </c>
      <c r="Q59" s="702">
        <v>0.6</v>
      </c>
      <c r="R59" s="702">
        <v>0.4</v>
      </c>
      <c r="S59" s="702">
        <v>0.475</v>
      </c>
      <c r="V59" s="702">
        <v>0.5</v>
      </c>
      <c r="W59" s="702">
        <v>0.3</v>
      </c>
      <c r="X59" s="702">
        <v>0.375</v>
      </c>
      <c r="AE59" s="702">
        <v>6.7</v>
      </c>
      <c r="AF59" s="702">
        <v>6.7</v>
      </c>
      <c r="AG59" s="702">
        <v>6.7</v>
      </c>
      <c r="AJ59" s="702">
        <v>7.1</v>
      </c>
      <c r="AK59" s="702">
        <v>7.0</v>
      </c>
      <c r="AL59" s="702">
        <v>7.05833333333333</v>
      </c>
    </row>
    <row r="60" ht="12.0" customHeight="1">
      <c r="A60" s="644">
        <v>15.0</v>
      </c>
      <c r="B60" s="645">
        <f>'Parte 1'!B21</f>
        <v>90</v>
      </c>
      <c r="C60" s="646">
        <v>50.0</v>
      </c>
      <c r="D60" s="646">
        <v>50.0</v>
      </c>
      <c r="H60" s="654">
        <v>2.5</v>
      </c>
      <c r="I60" s="637">
        <v>2.5</v>
      </c>
      <c r="J60" s="647">
        <v>2.5</v>
      </c>
      <c r="L60" s="648">
        <v>5.9</v>
      </c>
      <c r="M60" s="637">
        <v>5.0</v>
      </c>
      <c r="N60" s="637">
        <v>5.56666666666667</v>
      </c>
      <c r="Q60" s="702">
        <v>0.5</v>
      </c>
      <c r="R60" s="702">
        <v>0.3</v>
      </c>
      <c r="S60" s="702">
        <v>0.375</v>
      </c>
      <c r="V60" s="702">
        <v>0.4</v>
      </c>
      <c r="W60" s="702">
        <v>0.3</v>
      </c>
      <c r="X60" s="702">
        <v>0.308333333333333</v>
      </c>
      <c r="AE60" s="702">
        <v>6.7</v>
      </c>
      <c r="AF60" s="702">
        <v>6.6</v>
      </c>
      <c r="AG60" s="702">
        <v>6.64166666666667</v>
      </c>
      <c r="AJ60" s="702">
        <v>7.1</v>
      </c>
      <c r="AK60" s="702">
        <v>7.0</v>
      </c>
      <c r="AL60" s="702">
        <v>7.04166666666667</v>
      </c>
    </row>
    <row r="61" ht="12.0" customHeight="1">
      <c r="A61" s="644">
        <v>16.0</v>
      </c>
      <c r="B61" s="645"/>
      <c r="C61" s="646"/>
      <c r="D61" s="646"/>
      <c r="H61" s="654"/>
      <c r="I61" s="637"/>
      <c r="J61" s="647"/>
      <c r="L61" s="648"/>
      <c r="M61" s="637"/>
      <c r="N61" s="637"/>
      <c r="Q61" s="702"/>
      <c r="R61" s="702"/>
      <c r="S61" s="702"/>
      <c r="V61" s="702"/>
      <c r="W61" s="702"/>
      <c r="X61" s="702"/>
      <c r="AE61" s="702"/>
      <c r="AF61" s="702"/>
      <c r="AG61" s="702"/>
      <c r="AJ61" s="702"/>
      <c r="AK61" s="702"/>
      <c r="AL61" s="702"/>
    </row>
    <row r="62" ht="12.0" customHeight="1">
      <c r="A62" s="644">
        <v>17.0</v>
      </c>
      <c r="B62" s="645"/>
      <c r="C62" s="646"/>
      <c r="D62" s="646"/>
      <c r="H62" s="637"/>
      <c r="I62" s="637"/>
      <c r="J62" s="647"/>
      <c r="L62" s="648"/>
      <c r="M62" s="637"/>
      <c r="N62" s="637"/>
      <c r="Q62" s="702"/>
      <c r="R62" s="702"/>
      <c r="S62" s="702"/>
      <c r="V62" s="702"/>
      <c r="W62" s="702"/>
      <c r="X62" s="702"/>
      <c r="AE62" s="702"/>
      <c r="AF62" s="702"/>
      <c r="AG62" s="702"/>
      <c r="AJ62" s="702"/>
      <c r="AK62" s="702"/>
      <c r="AL62" s="702"/>
    </row>
    <row r="63" ht="12.0" customHeight="1">
      <c r="A63" s="644">
        <v>18.0</v>
      </c>
      <c r="B63" s="645"/>
      <c r="C63" s="646"/>
      <c r="D63" s="646"/>
      <c r="H63" s="637"/>
      <c r="I63" s="637"/>
      <c r="J63" s="647"/>
      <c r="L63" s="648"/>
      <c r="M63" s="637"/>
      <c r="N63" s="637"/>
      <c r="Q63" s="702"/>
      <c r="R63" s="702"/>
      <c r="S63" s="702"/>
      <c r="V63" s="702"/>
      <c r="W63" s="702"/>
      <c r="X63" s="702"/>
      <c r="AE63" s="702"/>
      <c r="AF63" s="702"/>
      <c r="AG63" s="702"/>
      <c r="AJ63" s="702"/>
      <c r="AK63" s="702"/>
      <c r="AL63" s="702"/>
    </row>
    <row r="64" ht="12.0" customHeight="1">
      <c r="A64" s="644">
        <v>19.0</v>
      </c>
      <c r="B64" s="704"/>
      <c r="C64" s="646"/>
      <c r="D64" s="646"/>
      <c r="H64" s="637"/>
      <c r="I64" s="637"/>
      <c r="J64" s="647"/>
      <c r="L64" s="648"/>
      <c r="M64" s="637"/>
      <c r="N64" s="637"/>
      <c r="Q64" s="702"/>
      <c r="R64" s="702"/>
      <c r="S64" s="702"/>
      <c r="V64" s="702"/>
      <c r="W64" s="702"/>
      <c r="X64" s="702"/>
      <c r="AE64" s="702"/>
      <c r="AF64" s="702"/>
      <c r="AG64" s="702"/>
      <c r="AJ64" s="702"/>
      <c r="AK64" s="702"/>
      <c r="AL64" s="702"/>
    </row>
    <row r="65" ht="12.0" customHeight="1">
      <c r="A65" s="644">
        <v>20.0</v>
      </c>
      <c r="B65" s="704"/>
      <c r="C65" s="646"/>
      <c r="D65" s="646"/>
      <c r="H65" s="637"/>
      <c r="I65" s="637"/>
      <c r="J65" s="647"/>
      <c r="L65" s="648"/>
      <c r="M65" s="637"/>
      <c r="N65" s="637"/>
      <c r="Q65" s="702"/>
      <c r="R65" s="702"/>
      <c r="S65" s="702"/>
      <c r="V65" s="702"/>
      <c r="W65" s="702"/>
      <c r="X65" s="702"/>
      <c r="AE65" s="702"/>
      <c r="AF65" s="702"/>
      <c r="AG65" s="702"/>
      <c r="AJ65" s="702"/>
      <c r="AK65" s="702"/>
      <c r="AL65" s="702"/>
    </row>
    <row r="66" ht="12.0" customHeight="1">
      <c r="A66" s="644">
        <v>21.0</v>
      </c>
      <c r="B66" s="645"/>
      <c r="C66" s="646"/>
      <c r="D66" s="646"/>
      <c r="H66" s="637"/>
      <c r="I66" s="637"/>
      <c r="J66" s="647"/>
      <c r="L66" s="648"/>
      <c r="M66" s="637"/>
      <c r="N66" s="637"/>
      <c r="Q66" s="702"/>
      <c r="R66" s="702"/>
      <c r="S66" s="702"/>
      <c r="V66" s="702"/>
      <c r="W66" s="702"/>
      <c r="X66" s="702"/>
      <c r="AE66" s="702"/>
      <c r="AF66" s="702"/>
      <c r="AG66" s="702"/>
      <c r="AJ66" s="702"/>
      <c r="AK66" s="702"/>
      <c r="AL66" s="702"/>
    </row>
    <row r="67" ht="12.0" customHeight="1">
      <c r="A67" s="644">
        <v>22.0</v>
      </c>
      <c r="B67" s="645"/>
      <c r="C67" s="646"/>
      <c r="D67" s="646"/>
      <c r="H67" s="637"/>
      <c r="I67" s="637"/>
      <c r="J67" s="647"/>
      <c r="L67" s="648"/>
      <c r="M67" s="637"/>
      <c r="N67" s="637"/>
      <c r="Q67" s="702"/>
      <c r="R67" s="702"/>
      <c r="S67" s="702"/>
      <c r="V67" s="702"/>
      <c r="W67" s="702"/>
      <c r="X67" s="702"/>
      <c r="AE67" s="702"/>
      <c r="AF67" s="702"/>
      <c r="AG67" s="702"/>
      <c r="AJ67" s="702"/>
      <c r="AK67" s="702"/>
      <c r="AL67" s="702"/>
    </row>
    <row r="68" ht="11.25" customHeight="1">
      <c r="A68" s="644">
        <v>23.0</v>
      </c>
      <c r="B68" s="705"/>
      <c r="C68" s="705"/>
      <c r="D68" s="706"/>
      <c r="H68" s="707"/>
      <c r="I68" s="707"/>
      <c r="J68" s="707"/>
      <c r="L68" s="707"/>
      <c r="M68" s="707"/>
      <c r="N68" s="707"/>
      <c r="Q68" s="702"/>
      <c r="R68" s="702"/>
      <c r="S68" s="702"/>
      <c r="V68" s="702"/>
      <c r="W68" s="702"/>
      <c r="X68" s="702"/>
      <c r="AE68" s="702"/>
      <c r="AF68" s="702"/>
      <c r="AG68" s="702"/>
      <c r="AJ68" s="702"/>
      <c r="AK68" s="702"/>
      <c r="AL68" s="702"/>
    </row>
    <row r="69" ht="11.25" customHeight="1">
      <c r="A69" s="644">
        <v>24.0</v>
      </c>
      <c r="B69" s="705"/>
      <c r="C69" s="705"/>
      <c r="D69" s="706"/>
      <c r="H69" s="707"/>
      <c r="I69" s="707"/>
      <c r="J69" s="707"/>
      <c r="L69" s="707"/>
      <c r="M69" s="707"/>
      <c r="N69" s="707"/>
      <c r="Q69" s="702"/>
      <c r="R69" s="702"/>
      <c r="S69" s="702"/>
      <c r="V69" s="702"/>
      <c r="W69" s="702"/>
      <c r="X69" s="702"/>
      <c r="AE69" s="702"/>
      <c r="AF69" s="702"/>
      <c r="AG69" s="702"/>
      <c r="AJ69" s="702"/>
      <c r="AK69" s="702"/>
      <c r="AL69" s="702"/>
    </row>
    <row r="70" ht="11.25" customHeight="1">
      <c r="A70" s="644">
        <v>25.0</v>
      </c>
      <c r="B70" s="705"/>
      <c r="C70" s="705"/>
      <c r="D70" s="706"/>
      <c r="H70" s="707"/>
      <c r="I70" s="707"/>
      <c r="J70" s="707"/>
      <c r="L70" s="707"/>
      <c r="M70" s="707"/>
      <c r="N70" s="707"/>
      <c r="Q70" s="702"/>
      <c r="R70" s="702"/>
      <c r="S70" s="702"/>
      <c r="V70" s="702"/>
      <c r="W70" s="702"/>
      <c r="X70" s="702"/>
      <c r="AE70" s="702"/>
      <c r="AF70" s="702"/>
      <c r="AG70" s="702"/>
      <c r="AJ70" s="702"/>
      <c r="AK70" s="702"/>
      <c r="AL70" s="702"/>
    </row>
    <row r="71" ht="11.25" customHeight="1">
      <c r="A71" s="644">
        <v>26.0</v>
      </c>
      <c r="B71" s="705"/>
      <c r="C71" s="705"/>
      <c r="D71" s="706"/>
      <c r="H71" s="707"/>
      <c r="I71" s="707"/>
      <c r="J71" s="707"/>
      <c r="L71" s="707"/>
      <c r="M71" s="707"/>
      <c r="N71" s="707"/>
      <c r="Q71" s="702"/>
      <c r="R71" s="702"/>
      <c r="S71" s="702"/>
      <c r="V71" s="702"/>
      <c r="W71" s="702"/>
      <c r="X71" s="702"/>
      <c r="AE71" s="702"/>
      <c r="AF71" s="702"/>
      <c r="AG71" s="702"/>
      <c r="AJ71" s="702"/>
      <c r="AK71" s="702"/>
      <c r="AL71" s="702"/>
    </row>
    <row r="72" ht="11.25" customHeight="1">
      <c r="A72" s="644">
        <v>27.0</v>
      </c>
      <c r="B72" s="705"/>
      <c r="C72" s="705"/>
      <c r="D72" s="706"/>
      <c r="H72" s="707"/>
      <c r="I72" s="707"/>
      <c r="J72" s="707"/>
      <c r="L72" s="707"/>
      <c r="M72" s="707"/>
      <c r="N72" s="707"/>
      <c r="Q72" s="702"/>
      <c r="R72" s="702"/>
      <c r="S72" s="702"/>
      <c r="V72" s="702"/>
      <c r="W72" s="702"/>
      <c r="X72" s="702"/>
      <c r="AE72" s="702"/>
      <c r="AF72" s="702"/>
      <c r="AG72" s="702"/>
      <c r="AJ72" s="702"/>
      <c r="AK72" s="702"/>
      <c r="AL72" s="702"/>
    </row>
    <row r="73" ht="11.25" customHeight="1">
      <c r="A73" s="644">
        <v>28.0</v>
      </c>
      <c r="B73" s="708"/>
      <c r="C73" s="708"/>
      <c r="D73" s="709"/>
      <c r="H73" s="708"/>
      <c r="I73" s="708"/>
      <c r="J73" s="707"/>
      <c r="L73" s="708"/>
      <c r="M73" s="708"/>
      <c r="N73" s="708"/>
      <c r="Q73" s="702"/>
      <c r="R73" s="702"/>
      <c r="S73" s="702"/>
      <c r="V73" s="708"/>
      <c r="W73" s="708"/>
      <c r="X73" s="708"/>
      <c r="AE73" s="708"/>
      <c r="AF73" s="708"/>
      <c r="AG73" s="708"/>
      <c r="AJ73" s="708"/>
      <c r="AK73" s="708"/>
      <c r="AL73" s="708"/>
    </row>
    <row r="74" ht="11.25" customHeight="1">
      <c r="A74" s="644">
        <v>29.0</v>
      </c>
      <c r="B74" s="708"/>
      <c r="C74" s="708"/>
      <c r="D74" s="709"/>
      <c r="H74" s="708"/>
      <c r="I74" s="708"/>
      <c r="J74" s="707"/>
      <c r="L74" s="708"/>
      <c r="M74" s="708"/>
      <c r="N74" s="708"/>
      <c r="Q74" s="708"/>
      <c r="R74" s="708"/>
      <c r="S74" s="708"/>
      <c r="V74" s="708"/>
      <c r="W74" s="708"/>
      <c r="X74" s="708"/>
      <c r="AE74" s="708"/>
      <c r="AF74" s="708"/>
      <c r="AG74" s="708"/>
      <c r="AJ74" s="708"/>
      <c r="AK74" s="708"/>
      <c r="AL74" s="708"/>
    </row>
    <row r="75" ht="11.25" customHeight="1">
      <c r="A75" s="644">
        <v>30.0</v>
      </c>
      <c r="B75" s="708"/>
      <c r="C75" s="708"/>
      <c r="D75" s="709"/>
      <c r="H75" s="708"/>
      <c r="I75" s="708"/>
      <c r="J75" s="707"/>
      <c r="L75" s="708"/>
      <c r="M75" s="708"/>
      <c r="N75" s="708"/>
      <c r="Q75" s="708"/>
      <c r="R75" s="708"/>
      <c r="S75" s="708"/>
      <c r="V75" s="708"/>
      <c r="W75" s="708"/>
      <c r="X75" s="708"/>
      <c r="AE75" s="708"/>
      <c r="AF75" s="708"/>
      <c r="AG75" s="708"/>
      <c r="AJ75" s="708"/>
      <c r="AK75" s="708"/>
      <c r="AL75" s="708"/>
    </row>
    <row r="76" ht="12.0" customHeight="1">
      <c r="A76" s="655">
        <v>31.0</v>
      </c>
      <c r="B76" s="710"/>
      <c r="C76" s="710"/>
      <c r="D76" s="711"/>
      <c r="H76" s="708"/>
      <c r="I76" s="708"/>
      <c r="J76" s="707"/>
      <c r="L76" s="708"/>
      <c r="M76" s="708"/>
      <c r="N76" s="708"/>
      <c r="Q76" s="708"/>
      <c r="R76" s="708"/>
      <c r="S76" s="708"/>
      <c r="V76" s="708"/>
      <c r="W76" s="708"/>
      <c r="X76" s="708"/>
      <c r="AE76" s="708"/>
      <c r="AF76" s="708"/>
      <c r="AG76" s="708"/>
      <c r="AJ76" s="708"/>
      <c r="AK76" s="708"/>
      <c r="AL76" s="708"/>
    </row>
    <row r="77" ht="12.0" customHeight="1">
      <c r="B77" s="712" t="s">
        <v>244</v>
      </c>
      <c r="C77" s="712" t="s">
        <v>245</v>
      </c>
      <c r="D77" s="713" t="s">
        <v>52</v>
      </c>
      <c r="H77" s="714" t="s">
        <v>244</v>
      </c>
      <c r="I77" s="715" t="s">
        <v>245</v>
      </c>
      <c r="J77" s="716" t="s">
        <v>52</v>
      </c>
      <c r="L77" s="714" t="s">
        <v>244</v>
      </c>
      <c r="M77" s="715" t="s">
        <v>245</v>
      </c>
      <c r="N77" s="716" t="s">
        <v>52</v>
      </c>
      <c r="Q77" s="714" t="s">
        <v>244</v>
      </c>
      <c r="R77" s="715" t="s">
        <v>245</v>
      </c>
      <c r="S77" s="716" t="s">
        <v>52</v>
      </c>
      <c r="V77" s="714" t="s">
        <v>244</v>
      </c>
      <c r="W77" s="715" t="s">
        <v>245</v>
      </c>
      <c r="X77" s="716" t="s">
        <v>52</v>
      </c>
      <c r="AE77" s="714" t="s">
        <v>244</v>
      </c>
      <c r="AF77" s="715" t="s">
        <v>245</v>
      </c>
      <c r="AG77" s="717" t="s">
        <v>52</v>
      </c>
      <c r="AJ77" s="714" t="s">
        <v>244</v>
      </c>
      <c r="AK77" s="715" t="s">
        <v>245</v>
      </c>
      <c r="AL77" s="717" t="s">
        <v>52</v>
      </c>
    </row>
    <row r="78" ht="12.0" customHeight="1">
      <c r="B78" s="718">
        <f>MAX('Parte 1'!B46:B76)</f>
        <v>325</v>
      </c>
      <c r="C78" s="719">
        <f>MIN('Parte 1'!B44:B76)</f>
        <v>90</v>
      </c>
      <c r="D78" s="720">
        <f>AVERAGE('Parte 1'!D46:D76)</f>
        <v>169.3916667</v>
      </c>
      <c r="H78" s="718">
        <f>MAX('Parte 1'!H46:H76)</f>
        <v>2.5</v>
      </c>
      <c r="I78" s="721">
        <f>MIN('Parte 1'!H44:H76)</f>
        <v>2.5</v>
      </c>
      <c r="J78" s="720">
        <f>AVERAGE('Parte 1'!J46:J76)</f>
        <v>2.5</v>
      </c>
      <c r="L78" s="718">
        <f>MAX('Parte 1'!L46:L76)</f>
        <v>28</v>
      </c>
      <c r="M78" s="721">
        <f>MIN('Parte 1'!L44:L76)</f>
        <v>3.8</v>
      </c>
      <c r="N78" s="720">
        <f>AVERAGE('Parte 1'!N46:N76)</f>
        <v>8.263333333</v>
      </c>
      <c r="Q78" s="718">
        <f>MAX('Parte 1'!Q46:Q76)</f>
        <v>0.7</v>
      </c>
      <c r="R78" s="721">
        <f>MIN('Parte 1'!Q44:Q76)</f>
        <v>0.4</v>
      </c>
      <c r="S78" s="720">
        <f>AVERAGE('Parte 1'!S46:S76)</f>
        <v>0.4438888889</v>
      </c>
      <c r="V78" s="718">
        <f>MAX('Parte 1'!V46:V76)</f>
        <v>0.5</v>
      </c>
      <c r="W78" s="721">
        <f>MIN('Parte 1'!V44:V76)</f>
        <v>0.4</v>
      </c>
      <c r="X78" s="720">
        <f>AVERAGE('Parte 1'!X46:X76)</f>
        <v>0.3611111111</v>
      </c>
      <c r="AE78" s="718">
        <f>MAX('Parte 1'!AE46:AE76)</f>
        <v>6.8</v>
      </c>
      <c r="AF78" s="721">
        <f>MIN('Parte 1'!AE44:AE76)</f>
        <v>6.2</v>
      </c>
      <c r="AG78" s="720">
        <f>AVERAGE('Parte 1'!AG46:AG76)</f>
        <v>6.503484848</v>
      </c>
      <c r="AJ78" s="718">
        <f>MAX('Parte 1'!AJ46:AJ76)</f>
        <v>7.2</v>
      </c>
      <c r="AK78" s="721">
        <f>MIN('Parte 1'!AJ44:AJ76)</f>
        <v>6.7</v>
      </c>
      <c r="AL78" s="720">
        <f>AVERAGE('Parte 1'!AL46:AL76)</f>
        <v>6.972575758</v>
      </c>
    </row>
    <row r="79" ht="13.5" customHeight="1"/>
    <row r="80" ht="12.0" customHeight="1"/>
    <row r="81" ht="12.0" customHeight="1">
      <c r="H81" s="697" t="s">
        <v>246</v>
      </c>
      <c r="I81" s="128"/>
      <c r="J81" s="719">
        <f>COUNTA('Parte 1'!J46:J76)*12</f>
        <v>180</v>
      </c>
      <c r="L81" s="697" t="s">
        <v>246</v>
      </c>
      <c r="M81" s="128"/>
      <c r="N81" s="722">
        <f>COUNTA('Parte 1'!N46:N76)*12</f>
        <v>180</v>
      </c>
      <c r="Q81" s="697" t="s">
        <v>246</v>
      </c>
      <c r="R81" s="128"/>
      <c r="S81" s="722">
        <f>COUNTA('Parte 1'!S46:S76)*12</f>
        <v>180</v>
      </c>
      <c r="V81" s="697" t="s">
        <v>246</v>
      </c>
      <c r="W81" s="128"/>
      <c r="X81" s="722">
        <f>COUNTA('Parte 1'!X46:X76)*12</f>
        <v>180</v>
      </c>
      <c r="AE81" s="697" t="s">
        <v>246</v>
      </c>
      <c r="AF81" s="128"/>
      <c r="AG81" s="722">
        <f>COUNTA('Parte 1'!AG46:AG76)*12</f>
        <v>180</v>
      </c>
    </row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5">
    <mergeCell ref="B5:D5"/>
    <mergeCell ref="E5:G5"/>
    <mergeCell ref="N5:P5"/>
    <mergeCell ref="Q5:S5"/>
    <mergeCell ref="T5:V5"/>
    <mergeCell ref="W5:Y5"/>
    <mergeCell ref="G1:V2"/>
    <mergeCell ref="W1:AE1"/>
    <mergeCell ref="W2:AE2"/>
    <mergeCell ref="A4:A6"/>
    <mergeCell ref="B4:J4"/>
    <mergeCell ref="K4:V4"/>
    <mergeCell ref="W4:AE4"/>
    <mergeCell ref="AE45:AH45"/>
    <mergeCell ref="AJ45:AM45"/>
    <mergeCell ref="AE81:AF81"/>
    <mergeCell ref="Z5:AB5"/>
    <mergeCell ref="AC5:AE5"/>
    <mergeCell ref="N40:AE40"/>
    <mergeCell ref="N42:AE42"/>
    <mergeCell ref="N44:AE44"/>
    <mergeCell ref="P45:T45"/>
    <mergeCell ref="V45:AC45"/>
    <mergeCell ref="F45:J45"/>
    <mergeCell ref="H81:I81"/>
    <mergeCell ref="L81:M81"/>
    <mergeCell ref="Q81:R81"/>
    <mergeCell ref="V81:W81"/>
    <mergeCell ref="H5:J5"/>
    <mergeCell ref="K5:M5"/>
    <mergeCell ref="D40:M40"/>
    <mergeCell ref="A41:M41"/>
    <mergeCell ref="A42:M42"/>
    <mergeCell ref="B45:D45"/>
    <mergeCell ref="L45:O45"/>
  </mergeCells>
  <printOptions horizontalCentered="1"/>
  <pageMargins bottom="0.590277777777778" footer="0.0" header="0.0" left="0.118055555555556" right="0.118055555555556" top="0.78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19" width="3.57"/>
    <col customWidth="1" min="20" max="20" width="6.14"/>
    <col customWidth="1" min="21" max="21" width="8.43"/>
    <col customWidth="1" min="22" max="22" width="6.14"/>
    <col customWidth="1" min="23" max="42" width="8.86"/>
  </cols>
  <sheetData>
    <row r="1" ht="23.25" customHeight="1">
      <c r="A1" s="607"/>
      <c r="B1" s="608"/>
      <c r="C1" s="608"/>
      <c r="D1" s="608"/>
      <c r="E1" s="608"/>
      <c r="F1" s="609"/>
      <c r="G1" s="610" t="s">
        <v>217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723" t="s">
        <v>247</v>
      </c>
      <c r="W1" s="12"/>
    </row>
    <row r="2" ht="16.5" customHeight="1">
      <c r="A2" s="613"/>
      <c r="B2" s="614"/>
      <c r="C2" s="614"/>
      <c r="D2" s="614"/>
      <c r="E2" s="614"/>
      <c r="F2" s="615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724">
        <f>'1'!$U$25</f>
        <v>43922</v>
      </c>
      <c r="W2" s="128"/>
    </row>
    <row r="3" ht="3.0" customHeight="1">
      <c r="A3" s="616"/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  <c r="R3" s="616"/>
      <c r="S3" s="616"/>
      <c r="T3" s="616"/>
      <c r="U3" s="616"/>
      <c r="V3" s="616"/>
      <c r="W3" s="725"/>
    </row>
    <row r="4" ht="30.0" customHeight="1">
      <c r="A4" s="617" t="s">
        <v>219</v>
      </c>
      <c r="B4" s="622" t="s">
        <v>248</v>
      </c>
      <c r="C4" s="284"/>
      <c r="D4" s="284"/>
      <c r="E4" s="284"/>
      <c r="F4" s="284"/>
      <c r="G4" s="285"/>
      <c r="H4" s="726" t="s">
        <v>249</v>
      </c>
      <c r="I4" s="284"/>
      <c r="J4" s="284"/>
      <c r="K4" s="284"/>
      <c r="L4" s="284"/>
      <c r="M4" s="285"/>
      <c r="N4" s="726" t="s">
        <v>222</v>
      </c>
      <c r="O4" s="284"/>
      <c r="P4" s="284"/>
      <c r="Q4" s="284"/>
      <c r="R4" s="284"/>
      <c r="S4" s="285"/>
      <c r="T4" s="726" t="s">
        <v>250</v>
      </c>
      <c r="U4" s="285"/>
      <c r="V4" s="726" t="s">
        <v>251</v>
      </c>
      <c r="W4" s="621"/>
      <c r="X4" s="623"/>
      <c r="Y4" s="623"/>
      <c r="Z4" s="623"/>
      <c r="AA4" s="623"/>
      <c r="AB4" s="623"/>
      <c r="AC4" s="623"/>
      <c r="AD4" s="623"/>
      <c r="AE4" s="623"/>
      <c r="AF4" s="623"/>
      <c r="AG4" s="623"/>
      <c r="AH4" s="623"/>
      <c r="AI4" s="623"/>
      <c r="AJ4" s="623"/>
      <c r="AK4" s="623"/>
      <c r="AL4" s="623"/>
      <c r="AM4" s="623"/>
      <c r="AN4" s="623"/>
      <c r="AO4" s="623"/>
      <c r="AP4" s="623"/>
    </row>
    <row r="5" ht="18.75" customHeight="1">
      <c r="A5" s="203"/>
      <c r="B5" s="727" t="s">
        <v>224</v>
      </c>
      <c r="C5" s="519"/>
      <c r="D5" s="519"/>
      <c r="E5" s="728" t="s">
        <v>224</v>
      </c>
      <c r="F5" s="519"/>
      <c r="G5" s="198"/>
      <c r="H5" s="727" t="s">
        <v>224</v>
      </c>
      <c r="I5" s="519"/>
      <c r="J5" s="519"/>
      <c r="K5" s="728" t="s">
        <v>224</v>
      </c>
      <c r="L5" s="519"/>
      <c r="M5" s="198"/>
      <c r="N5" s="727" t="s">
        <v>224</v>
      </c>
      <c r="O5" s="519"/>
      <c r="P5" s="519"/>
      <c r="Q5" s="728" t="s">
        <v>224</v>
      </c>
      <c r="R5" s="519"/>
      <c r="S5" s="198"/>
      <c r="T5" s="729" t="s">
        <v>223</v>
      </c>
      <c r="U5" s="729" t="s">
        <v>225</v>
      </c>
      <c r="V5" s="729" t="s">
        <v>223</v>
      </c>
      <c r="W5" s="730" t="s">
        <v>225</v>
      </c>
    </row>
    <row r="6" ht="17.25" customHeight="1">
      <c r="A6" s="203"/>
      <c r="B6" s="731" t="s">
        <v>252</v>
      </c>
      <c r="C6" s="53"/>
      <c r="D6" s="53"/>
      <c r="E6" s="732" t="s">
        <v>253</v>
      </c>
      <c r="F6" s="53"/>
      <c r="G6" s="522"/>
      <c r="H6" s="731" t="s">
        <v>252</v>
      </c>
      <c r="I6" s="53"/>
      <c r="J6" s="53"/>
      <c r="K6" s="732" t="s">
        <v>253</v>
      </c>
      <c r="L6" s="53"/>
      <c r="M6" s="522"/>
      <c r="N6" s="731" t="s">
        <v>252</v>
      </c>
      <c r="O6" s="53"/>
      <c r="P6" s="53"/>
      <c r="Q6" s="732" t="s">
        <v>254</v>
      </c>
      <c r="R6" s="53"/>
      <c r="S6" s="522"/>
      <c r="T6" s="545"/>
      <c r="U6" s="545"/>
      <c r="V6" s="545"/>
      <c r="W6" s="733"/>
    </row>
    <row r="7" ht="17.25" customHeight="1">
      <c r="A7" s="219"/>
      <c r="B7" s="628" t="s">
        <v>227</v>
      </c>
      <c r="C7" s="629" t="s">
        <v>228</v>
      </c>
      <c r="D7" s="629" t="s">
        <v>229</v>
      </c>
      <c r="E7" s="629" t="s">
        <v>227</v>
      </c>
      <c r="F7" s="629" t="s">
        <v>228</v>
      </c>
      <c r="G7" s="629" t="s">
        <v>229</v>
      </c>
      <c r="H7" s="629" t="s">
        <v>227</v>
      </c>
      <c r="I7" s="629" t="s">
        <v>228</v>
      </c>
      <c r="J7" s="629" t="s">
        <v>229</v>
      </c>
      <c r="K7" s="629" t="s">
        <v>227</v>
      </c>
      <c r="L7" s="629" t="s">
        <v>228</v>
      </c>
      <c r="M7" s="629" t="s">
        <v>229</v>
      </c>
      <c r="N7" s="629" t="s">
        <v>227</v>
      </c>
      <c r="O7" s="629" t="s">
        <v>228</v>
      </c>
      <c r="P7" s="629" t="s">
        <v>229</v>
      </c>
      <c r="Q7" s="629" t="s">
        <v>227</v>
      </c>
      <c r="R7" s="629" t="s">
        <v>228</v>
      </c>
      <c r="S7" s="629" t="s">
        <v>229</v>
      </c>
      <c r="T7" s="734"/>
      <c r="U7" s="734"/>
      <c r="V7" s="734"/>
      <c r="W7" s="735"/>
    </row>
    <row r="8" ht="19.5" customHeight="1">
      <c r="A8" s="736">
        <v>1.0</v>
      </c>
      <c r="B8" s="737">
        <f>'1'!$C$20</f>
        <v>13</v>
      </c>
      <c r="C8" s="738">
        <f>'1'!$C$21</f>
        <v>12</v>
      </c>
      <c r="D8" s="738">
        <f>'1'!$C$19</f>
        <v>12.08333333</v>
      </c>
      <c r="E8" s="638">
        <f>'1'!$D$20</f>
        <v>14</v>
      </c>
      <c r="F8" s="739">
        <f>'1'!$D$21</f>
        <v>11</v>
      </c>
      <c r="G8" s="638">
        <f>'1'!$D$19</f>
        <v>12</v>
      </c>
      <c r="H8" s="638">
        <f>'1'!$G$20</f>
        <v>1</v>
      </c>
      <c r="I8" s="638">
        <f>'1'!$G$21</f>
        <v>0.8</v>
      </c>
      <c r="J8" s="638">
        <f>'1'!$G$19</f>
        <v>0.9333333333</v>
      </c>
      <c r="K8" s="638">
        <f>'1'!$H$20</f>
        <v>1.1</v>
      </c>
      <c r="L8" s="638">
        <f>'1'!$H$21</f>
        <v>0.9</v>
      </c>
      <c r="M8" s="638">
        <f>'1'!$H$19</f>
        <v>0.9583333333</v>
      </c>
      <c r="N8" s="641">
        <f>'1'!$L$20</f>
        <v>6.6</v>
      </c>
      <c r="O8" s="641">
        <f>'1'!$L$21</f>
        <v>6.6</v>
      </c>
      <c r="P8" s="641">
        <f>'1'!$L$19</f>
        <v>6.6</v>
      </c>
      <c r="Q8" s="641">
        <f>'1'!$M$20</f>
        <v>6.6</v>
      </c>
      <c r="R8" s="641">
        <f>'1'!$M$21</f>
        <v>6</v>
      </c>
      <c r="S8" s="641">
        <f>'1'!$M$19</f>
        <v>6.55</v>
      </c>
      <c r="T8" s="638">
        <f>'1'!$F$37</f>
        <v>1</v>
      </c>
      <c r="U8" s="638">
        <f>'1'!$G$37</f>
        <v>0.2</v>
      </c>
      <c r="V8" s="740">
        <f>'1'!$I$37</f>
        <v>0.15</v>
      </c>
      <c r="W8" s="741">
        <f>'1'!$K$37</f>
        <v>0.03</v>
      </c>
    </row>
    <row r="9" ht="19.5" customHeight="1">
      <c r="A9" s="626">
        <v>2.0</v>
      </c>
      <c r="B9" s="742">
        <f>'2'!$C$20</f>
        <v>18.3</v>
      </c>
      <c r="C9" s="743">
        <f>'2'!$C$21</f>
        <v>12</v>
      </c>
      <c r="D9" s="743">
        <f>'2'!$C$19</f>
        <v>14.175</v>
      </c>
      <c r="E9" s="654">
        <f>'2'!$D$20</f>
        <v>17.8</v>
      </c>
      <c r="F9" s="654">
        <f>'2'!$D$21</f>
        <v>10.6</v>
      </c>
      <c r="G9" s="654">
        <f>'2'!$D$19</f>
        <v>13.15833333</v>
      </c>
      <c r="H9" s="637">
        <f>'2'!$G$20</f>
        <v>5.7</v>
      </c>
      <c r="I9" s="637">
        <f>'2'!$G$21</f>
        <v>1.1</v>
      </c>
      <c r="J9" s="637">
        <f>'2'!$G$19</f>
        <v>3.2</v>
      </c>
      <c r="K9" s="637">
        <f>'2'!$H$20</f>
        <v>4.6</v>
      </c>
      <c r="L9" s="637">
        <f>'2'!$H$21</f>
        <v>1</v>
      </c>
      <c r="M9" s="637">
        <f>'2'!$H$19</f>
        <v>2.391666667</v>
      </c>
      <c r="N9" s="649">
        <f>'2'!$L$20</f>
        <v>6.6</v>
      </c>
      <c r="O9" s="649">
        <f>'2'!$L$21</f>
        <v>6.4</v>
      </c>
      <c r="P9" s="649">
        <f>'2'!$L$19</f>
        <v>6.5</v>
      </c>
      <c r="Q9" s="649">
        <f>'2'!$M$20</f>
        <v>6.6</v>
      </c>
      <c r="R9" s="649">
        <f>'2'!$M$21</f>
        <v>6.3</v>
      </c>
      <c r="S9" s="649">
        <f>'2'!$M$19</f>
        <v>6.458333333</v>
      </c>
      <c r="T9" s="637">
        <f>'2'!$F$37</f>
        <v>1.2</v>
      </c>
      <c r="U9" s="637">
        <f>'2'!$G$37</f>
        <v>0.2</v>
      </c>
      <c r="V9" s="744">
        <f>'2'!$I$37</f>
        <v>0.15</v>
      </c>
      <c r="W9" s="745">
        <f>'2'!$K$37</f>
        <v>0</v>
      </c>
    </row>
    <row r="10" ht="19.5" customHeight="1">
      <c r="A10" s="626">
        <v>3.0</v>
      </c>
      <c r="B10" s="742">
        <f>'3'!$C$20</f>
        <v>20</v>
      </c>
      <c r="C10" s="743">
        <f>'3'!$C$21</f>
        <v>9.9</v>
      </c>
      <c r="D10" s="743">
        <f>'3'!$C$19</f>
        <v>15.575</v>
      </c>
      <c r="E10" s="637">
        <f>'3'!$D$20</f>
        <v>20</v>
      </c>
      <c r="F10" s="654">
        <f>'3'!$D$21</f>
        <v>7.2</v>
      </c>
      <c r="G10" s="637">
        <f>'3'!$D$19</f>
        <v>14.275</v>
      </c>
      <c r="H10" s="637">
        <f>'3'!$G$20</f>
        <v>4.9</v>
      </c>
      <c r="I10" s="637">
        <f>'3'!$G$21</f>
        <v>2.7</v>
      </c>
      <c r="J10" s="637">
        <f>'3'!$G$19</f>
        <v>3.558333333</v>
      </c>
      <c r="K10" s="637">
        <f>'3'!$H$20</f>
        <v>2.8</v>
      </c>
      <c r="L10" s="637">
        <f>'3'!$H$21</f>
        <v>1.5</v>
      </c>
      <c r="M10" s="637">
        <f>'3'!$H$19</f>
        <v>2.225</v>
      </c>
      <c r="N10" s="649">
        <f>'3'!$L$20</f>
        <v>6.4</v>
      </c>
      <c r="O10" s="649">
        <f>'3'!$L$21</f>
        <v>6.1</v>
      </c>
      <c r="P10" s="649">
        <f>'3'!$L$19</f>
        <v>6.225</v>
      </c>
      <c r="Q10" s="649">
        <f>'3'!$M$20</f>
        <v>6.3</v>
      </c>
      <c r="R10" s="649">
        <f>'3'!$M$21</f>
        <v>6.1</v>
      </c>
      <c r="S10" s="649">
        <f>'3'!$M$19</f>
        <v>6.191666667</v>
      </c>
      <c r="T10" s="637">
        <f>'3'!$F$37</f>
        <v>1</v>
      </c>
      <c r="U10" s="637">
        <f>'3'!$G$37</f>
        <v>0.2</v>
      </c>
      <c r="V10" s="744">
        <f>'3'!$I$37</f>
        <v>0.1</v>
      </c>
      <c r="W10" s="745">
        <f>'3'!$K$37</f>
        <v>0</v>
      </c>
    </row>
    <row r="11" ht="19.5" customHeight="1">
      <c r="A11" s="626">
        <v>4.0</v>
      </c>
      <c r="B11" s="742">
        <f>'4'!$C$20</f>
        <v>17</v>
      </c>
      <c r="C11" s="743">
        <f>'4'!$C$21</f>
        <v>14</v>
      </c>
      <c r="D11" s="743">
        <f>'4'!$C$19</f>
        <v>15.575</v>
      </c>
      <c r="E11" s="654">
        <f>'4'!$D$20</f>
        <v>13</v>
      </c>
      <c r="F11" s="654">
        <f>'4'!$D$21</f>
        <v>10</v>
      </c>
      <c r="G11" s="637">
        <f>'4'!$D$19</f>
        <v>14.275</v>
      </c>
      <c r="H11" s="637">
        <f>'4'!$G$20</f>
        <v>2</v>
      </c>
      <c r="I11" s="637">
        <f>'4'!$G$21</f>
        <v>3.1</v>
      </c>
      <c r="J11" s="637">
        <f>'4'!$G$19</f>
        <v>3.558333333</v>
      </c>
      <c r="K11" s="637">
        <f>'4'!$H$20</f>
        <v>1.6</v>
      </c>
      <c r="L11" s="637">
        <f>'4'!$H$21</f>
        <v>1.7</v>
      </c>
      <c r="M11" s="637">
        <f>'4'!$H$19</f>
        <v>2.225</v>
      </c>
      <c r="N11" s="649">
        <f>'4'!$L$20</f>
        <v>6.3</v>
      </c>
      <c r="O11" s="649">
        <f>'4'!$L$21</f>
        <v>6.2</v>
      </c>
      <c r="P11" s="649">
        <f>'4'!$L$19</f>
        <v>6.225</v>
      </c>
      <c r="Q11" s="649">
        <f>'4'!$M$20</f>
        <v>6.3</v>
      </c>
      <c r="R11" s="649">
        <f>'4'!$M$21</f>
        <v>6.2</v>
      </c>
      <c r="S11" s="649">
        <f>'4'!$M$19</f>
        <v>6.191666667</v>
      </c>
      <c r="T11" s="637" t="str">
        <f>'4'!$F$37</f>
        <v/>
      </c>
      <c r="U11" s="637" t="str">
        <f>'4'!$G$37</f>
        <v/>
      </c>
      <c r="V11" s="744" t="str">
        <f>'4'!$I$37</f>
        <v/>
      </c>
      <c r="W11" s="745" t="str">
        <f>'4'!$K$37</f>
        <v/>
      </c>
    </row>
    <row r="12" ht="19.5" customHeight="1">
      <c r="A12" s="626">
        <v>5.0</v>
      </c>
      <c r="B12" s="742">
        <f>'5'!$C$20</f>
        <v>14</v>
      </c>
      <c r="C12" s="743">
        <f>'5'!$C$21</f>
        <v>12</v>
      </c>
      <c r="D12" s="743">
        <f>'5'!$C$19</f>
        <v>13</v>
      </c>
      <c r="E12" s="637">
        <f>'5'!$D$20</f>
        <v>13</v>
      </c>
      <c r="F12" s="654">
        <f>'5'!$D$21</f>
        <v>10</v>
      </c>
      <c r="G12" s="637">
        <f>'5'!$D$19</f>
        <v>11.75</v>
      </c>
      <c r="H12" s="637">
        <f>'5'!$G$20</f>
        <v>2</v>
      </c>
      <c r="I12" s="637">
        <f>'5'!$G$21</f>
        <v>1.7</v>
      </c>
      <c r="J12" s="654">
        <f>'5'!$G$19</f>
        <v>1.875</v>
      </c>
      <c r="K12" s="637">
        <f>'5'!$H$20</f>
        <v>1.6</v>
      </c>
      <c r="L12" s="637">
        <f>'5'!$H$21</f>
        <v>1.2</v>
      </c>
      <c r="M12" s="654">
        <f>'5'!$H$19</f>
        <v>1.475</v>
      </c>
      <c r="N12" s="649">
        <f>'5'!$L$20</f>
        <v>6.3</v>
      </c>
      <c r="O12" s="649">
        <f>'5'!$L$21</f>
        <v>6.3</v>
      </c>
      <c r="P12" s="649">
        <f>'5'!$L$19</f>
        <v>6.3</v>
      </c>
      <c r="Q12" s="649">
        <f>'5'!$M$20</f>
        <v>6.3</v>
      </c>
      <c r="R12" s="649">
        <f>'5'!$M$21</f>
        <v>6.3</v>
      </c>
      <c r="S12" s="649">
        <f>'5'!$M$19</f>
        <v>6.3</v>
      </c>
      <c r="T12" s="637">
        <f>'5'!$F$37</f>
        <v>1.4</v>
      </c>
      <c r="U12" s="637">
        <f>'5'!$G$37</f>
        <v>0.2</v>
      </c>
      <c r="V12" s="744">
        <f>'5'!$I$37</f>
        <v>0.15</v>
      </c>
      <c r="W12" s="745">
        <f>'5'!$K$37</f>
        <v>0.03</v>
      </c>
    </row>
    <row r="13" ht="19.5" customHeight="1">
      <c r="A13" s="626">
        <v>6.0</v>
      </c>
      <c r="B13" s="742">
        <f>'6'!$C$20</f>
        <v>13.5</v>
      </c>
      <c r="C13" s="743">
        <f>'6'!$C$21</f>
        <v>11</v>
      </c>
      <c r="D13" s="743">
        <f>'6'!$C$19</f>
        <v>12.20833333</v>
      </c>
      <c r="E13" s="637">
        <f>'6'!$D$20</f>
        <v>13.8</v>
      </c>
      <c r="F13" s="654">
        <f>'6'!$D$21</f>
        <v>10</v>
      </c>
      <c r="G13" s="637">
        <f>'6'!$D$19</f>
        <v>11.75</v>
      </c>
      <c r="H13" s="637">
        <f>'6'!$G$20</f>
        <v>1.8</v>
      </c>
      <c r="I13" s="637">
        <f>'6'!$G$21</f>
        <v>1.2</v>
      </c>
      <c r="J13" s="654">
        <f>'6'!$G$19</f>
        <v>1.425</v>
      </c>
      <c r="K13" s="637">
        <f>'6'!$H$20</f>
        <v>1.7</v>
      </c>
      <c r="L13" s="637">
        <f>'6'!$H$21</f>
        <v>1</v>
      </c>
      <c r="M13" s="654">
        <f>'6'!$H$19</f>
        <v>1.291666667</v>
      </c>
      <c r="N13" s="649">
        <f>'6'!$L$20</f>
        <v>6.5</v>
      </c>
      <c r="O13" s="649">
        <f>'6'!$L$21</f>
        <v>6.2</v>
      </c>
      <c r="P13" s="649">
        <f>'6'!$L$19</f>
        <v>6.358333333</v>
      </c>
      <c r="Q13" s="649">
        <f>'6'!$M$20</f>
        <v>6.5</v>
      </c>
      <c r="R13" s="649">
        <f>'6'!$M$21</f>
        <v>6.3</v>
      </c>
      <c r="S13" s="649">
        <f>'6'!$M$19</f>
        <v>6.358333333</v>
      </c>
      <c r="T13" s="637">
        <f>'6'!$F$37</f>
        <v>1.4</v>
      </c>
      <c r="U13" s="637">
        <f>'6'!$G$37</f>
        <v>0</v>
      </c>
      <c r="V13" s="744">
        <f>'6'!$I$37</f>
        <v>0.06</v>
      </c>
      <c r="W13" s="745">
        <f>'6'!$K$37</f>
        <v>0</v>
      </c>
    </row>
    <row r="14" ht="19.5" customHeight="1">
      <c r="A14" s="626">
        <v>7.0</v>
      </c>
      <c r="B14" s="742">
        <f>'7'!$C$20</f>
        <v>18</v>
      </c>
      <c r="C14" s="743">
        <f>'7'!$C$21</f>
        <v>12.4</v>
      </c>
      <c r="D14" s="743">
        <f>'7'!$C$19</f>
        <v>14.95</v>
      </c>
      <c r="E14" s="637">
        <f>'7'!$D$20</f>
        <v>20</v>
      </c>
      <c r="F14" s="654">
        <f>'7'!$D$21</f>
        <v>11.5</v>
      </c>
      <c r="G14" s="637">
        <f>'7'!$D$19</f>
        <v>15.30833333</v>
      </c>
      <c r="H14" s="637">
        <f>'7'!$G$20</f>
        <v>1.6</v>
      </c>
      <c r="I14" s="637">
        <f>'7'!$G$21</f>
        <v>0.9</v>
      </c>
      <c r="J14" s="654">
        <f>'7'!$G$19</f>
        <v>1.3</v>
      </c>
      <c r="K14" s="637">
        <f>'7'!$H$20</f>
        <v>1.8</v>
      </c>
      <c r="L14" s="637">
        <f>'7'!$H$21</f>
        <v>0.9</v>
      </c>
      <c r="M14" s="654">
        <f>'7'!$H$19</f>
        <v>1.375</v>
      </c>
      <c r="N14" s="649">
        <f>'7'!$L$20</f>
        <v>6.5</v>
      </c>
      <c r="O14" s="649">
        <f>'7'!$L$21</f>
        <v>6.2</v>
      </c>
      <c r="P14" s="649">
        <f>'7'!$L$19</f>
        <v>6.433333333</v>
      </c>
      <c r="Q14" s="649">
        <f>'7'!$M$20</f>
        <v>6.5</v>
      </c>
      <c r="R14" s="649">
        <f>'7'!$M$21</f>
        <v>6.3</v>
      </c>
      <c r="S14" s="649">
        <f>'7'!$M$19</f>
        <v>6.458333333</v>
      </c>
      <c r="T14" s="637">
        <f>'7'!$F$37</f>
        <v>1.4</v>
      </c>
      <c r="U14" s="637">
        <f>'7'!$G$37</f>
        <v>0.2</v>
      </c>
      <c r="V14" s="744">
        <f>'7'!$I$37</f>
        <v>0.15</v>
      </c>
      <c r="W14" s="745">
        <f>'7'!$K$37</f>
        <v>0.03</v>
      </c>
    </row>
    <row r="15" ht="19.5" customHeight="1">
      <c r="A15" s="626">
        <v>8.0</v>
      </c>
      <c r="B15" s="742">
        <f>'8'!$C$20</f>
        <v>15</v>
      </c>
      <c r="C15" s="743">
        <f>'8'!$C$21</f>
        <v>11</v>
      </c>
      <c r="D15" s="743">
        <f>'8'!$C$19</f>
        <v>13.08333333</v>
      </c>
      <c r="E15" s="637">
        <f>'8'!$D$20</f>
        <v>14</v>
      </c>
      <c r="F15" s="654">
        <f>'8'!$D$21</f>
        <v>10</v>
      </c>
      <c r="G15" s="637">
        <f>'8'!$D$19</f>
        <v>12</v>
      </c>
      <c r="H15" s="637">
        <f>'8'!$G$20</f>
        <v>1.7</v>
      </c>
      <c r="I15" s="637">
        <f>'8'!$G$21</f>
        <v>0.8</v>
      </c>
      <c r="J15" s="637">
        <f>'8'!$G$19</f>
        <v>1.291666667</v>
      </c>
      <c r="K15" s="637">
        <f>'8'!$H$20</f>
        <v>1.1</v>
      </c>
      <c r="L15" s="637">
        <f>'8'!$H$21</f>
        <v>0.8</v>
      </c>
      <c r="M15" s="637">
        <f>'8'!$H$19</f>
        <v>0.9333333333</v>
      </c>
      <c r="N15" s="649">
        <f>'8'!$L$20</f>
        <v>6.5</v>
      </c>
      <c r="O15" s="649">
        <f>'8'!$L$21</f>
        <v>6.5</v>
      </c>
      <c r="P15" s="649">
        <f>'8'!$L$19</f>
        <v>6.5</v>
      </c>
      <c r="Q15" s="649">
        <f>'8'!$M$20</f>
        <v>6.5</v>
      </c>
      <c r="R15" s="649">
        <f>'8'!$M$21</f>
        <v>6.5</v>
      </c>
      <c r="S15" s="649">
        <f>'8'!$M$19</f>
        <v>6.5</v>
      </c>
      <c r="T15" s="637">
        <f>'8'!$F$37</f>
        <v>1</v>
      </c>
      <c r="U15" s="637">
        <f>'8'!$G$37</f>
        <v>0.1</v>
      </c>
      <c r="V15" s="744">
        <f>'8'!$I$37</f>
        <v>0.1</v>
      </c>
      <c r="W15" s="745">
        <f>'8'!$K$37</f>
        <v>0.03</v>
      </c>
    </row>
    <row r="16" ht="19.5" customHeight="1">
      <c r="A16" s="626">
        <v>9.0</v>
      </c>
      <c r="B16" s="742">
        <f>'9'!$C$20</f>
        <v>14</v>
      </c>
      <c r="C16" s="743">
        <f>'9'!$C$21</f>
        <v>11</v>
      </c>
      <c r="D16" s="743">
        <f>'9'!$C$19</f>
        <v>12.16666667</v>
      </c>
      <c r="E16" s="637">
        <f>'9'!$D$20</f>
        <v>11</v>
      </c>
      <c r="F16" s="654">
        <f>'9'!$D$21</f>
        <v>9</v>
      </c>
      <c r="G16" s="637">
        <f>'9'!$D$19</f>
        <v>10.08333333</v>
      </c>
      <c r="H16" s="637">
        <f>'9'!$G$20</f>
        <v>1.4</v>
      </c>
      <c r="I16" s="637">
        <f>'9'!$G$21</f>
        <v>0.91</v>
      </c>
      <c r="J16" s="637">
        <f>'9'!$G$19</f>
        <v>1.1675</v>
      </c>
      <c r="K16" s="637">
        <f>'9'!$H$20</f>
        <v>1.2</v>
      </c>
      <c r="L16" s="637">
        <f>'9'!$H$21</f>
        <v>0.9</v>
      </c>
      <c r="M16" s="637">
        <f>'9'!$H$19</f>
        <v>1.058333333</v>
      </c>
      <c r="N16" s="649">
        <f>'9'!$L$20</f>
        <v>6.5</v>
      </c>
      <c r="O16" s="649">
        <f>'9'!$L$21</f>
        <v>6.5</v>
      </c>
      <c r="P16" s="649">
        <f>'9'!$L$19</f>
        <v>6.5</v>
      </c>
      <c r="Q16" s="649">
        <f>'9'!$M$20</f>
        <v>6.5</v>
      </c>
      <c r="R16" s="649">
        <f>'9'!$M$21</f>
        <v>6.5</v>
      </c>
      <c r="S16" s="649">
        <f>'9'!$M$19</f>
        <v>6.5</v>
      </c>
      <c r="T16" s="637">
        <f>'9'!$F$37</f>
        <v>1.2</v>
      </c>
      <c r="U16" s="637">
        <f>'9'!$G$37</f>
        <v>0.2</v>
      </c>
      <c r="V16" s="744">
        <f>'9'!$I$37</f>
        <v>0.2</v>
      </c>
      <c r="W16" s="745">
        <f>'9'!$K$37</f>
        <v>0.03</v>
      </c>
    </row>
    <row r="17" ht="19.5" customHeight="1">
      <c r="A17" s="626">
        <v>10.0</v>
      </c>
      <c r="B17" s="742">
        <f>'10'!$C$20</f>
        <v>12</v>
      </c>
      <c r="C17" s="743">
        <f>'10'!$C$21</f>
        <v>8.7</v>
      </c>
      <c r="D17" s="743">
        <f>'10'!$C$21</f>
        <v>8.7</v>
      </c>
      <c r="E17" s="637">
        <f>'10'!$D$20</f>
        <v>11</v>
      </c>
      <c r="F17" s="654">
        <f>'10'!$D$21</f>
        <v>8.6</v>
      </c>
      <c r="G17" s="637">
        <f>'10'!$D$19</f>
        <v>9.733333333</v>
      </c>
      <c r="H17" s="637">
        <f>'10'!$G$21</f>
        <v>0.8</v>
      </c>
      <c r="I17" s="637">
        <f>'10'!$G$21</f>
        <v>0.8</v>
      </c>
      <c r="J17" s="637">
        <f>'10'!$G$19</f>
        <v>1.125</v>
      </c>
      <c r="K17" s="637">
        <f>'10'!$H$20</f>
        <v>1.2</v>
      </c>
      <c r="L17" s="637">
        <f>'10'!$H$21</f>
        <v>0.8</v>
      </c>
      <c r="M17" s="637">
        <f>'10'!$H$19</f>
        <v>1.025</v>
      </c>
      <c r="N17" s="649">
        <f>'10'!$L$20</f>
        <v>6.6</v>
      </c>
      <c r="O17" s="649">
        <f>'10'!$L$21</f>
        <v>6.4</v>
      </c>
      <c r="P17" s="649">
        <f>'10'!$L$21</f>
        <v>6.4</v>
      </c>
      <c r="Q17" s="649">
        <f>'10'!$M$20</f>
        <v>6.6</v>
      </c>
      <c r="R17" s="649">
        <f>'10'!$M$21</f>
        <v>6.4</v>
      </c>
      <c r="S17" s="649">
        <f>'10'!$M$20</f>
        <v>6.6</v>
      </c>
      <c r="T17" s="637">
        <f>'10'!$F$37</f>
        <v>1</v>
      </c>
      <c r="U17" s="637">
        <f>'10'!$G$37</f>
        <v>0.2</v>
      </c>
      <c r="V17" s="744">
        <f>'10'!$I$37</f>
        <v>0.1</v>
      </c>
      <c r="W17" s="745" t="str">
        <f>'10'!$J$36</f>
        <v>Filt.</v>
      </c>
    </row>
    <row r="18" ht="19.5" customHeight="1">
      <c r="A18" s="626">
        <v>11.0</v>
      </c>
      <c r="B18" s="742">
        <f>'11'!$C$20</f>
        <v>12</v>
      </c>
      <c r="C18" s="743">
        <f>'11'!$C$21</f>
        <v>8</v>
      </c>
      <c r="D18" s="743">
        <f>'11'!$C$21</f>
        <v>8</v>
      </c>
      <c r="E18" s="637">
        <f>'11'!$D$20</f>
        <v>13</v>
      </c>
      <c r="F18" s="654">
        <f>'11'!$D$21</f>
        <v>8</v>
      </c>
      <c r="G18" s="637">
        <f>'11'!$D$21</f>
        <v>8</v>
      </c>
      <c r="H18" s="637">
        <f>'11'!$G$20</f>
        <v>1.3</v>
      </c>
      <c r="I18" s="637">
        <f>'11'!$G$21</f>
        <v>0.9</v>
      </c>
      <c r="J18" s="637">
        <f>'10'!$G$19</f>
        <v>1.125</v>
      </c>
      <c r="K18" s="637">
        <f>'11'!$H$20</f>
        <v>1.4</v>
      </c>
      <c r="L18" s="637">
        <f>'11'!$H$21</f>
        <v>0.9</v>
      </c>
      <c r="M18" s="637">
        <f>'11'!$H$19</f>
        <v>1.216666667</v>
      </c>
      <c r="N18" s="649">
        <f>'11'!$L$20</f>
        <v>6.5</v>
      </c>
      <c r="O18" s="649">
        <f>'11'!$L$21</f>
        <v>6.5</v>
      </c>
      <c r="P18" s="649">
        <f>'10'!$L$21</f>
        <v>6.4</v>
      </c>
      <c r="Q18" s="649">
        <f>'11'!$M$20</f>
        <v>6.4</v>
      </c>
      <c r="R18" s="649">
        <f>'11'!$M$21</f>
        <v>6.4</v>
      </c>
      <c r="S18" s="649">
        <f>'10'!$M$20</f>
        <v>6.6</v>
      </c>
      <c r="T18" s="637">
        <f>'11'!$F$37</f>
        <v>1</v>
      </c>
      <c r="U18" s="637">
        <f>'11'!$G$37</f>
        <v>0.2</v>
      </c>
      <c r="V18" s="744">
        <f>'11'!$I$37</f>
        <v>0.1</v>
      </c>
      <c r="W18" s="745">
        <f>'11'!$K$37</f>
        <v>0</v>
      </c>
    </row>
    <row r="19" ht="19.5" customHeight="1">
      <c r="A19" s="626">
        <v>12.0</v>
      </c>
      <c r="B19" s="742">
        <f>'12'!$C$20</f>
        <v>15</v>
      </c>
      <c r="C19" s="743">
        <f>'12'!$C$21</f>
        <v>9</v>
      </c>
      <c r="D19" s="743">
        <f>'12'!$C$19</f>
        <v>12</v>
      </c>
      <c r="E19" s="637">
        <f>'12'!$D$20</f>
        <v>13</v>
      </c>
      <c r="F19" s="654">
        <f>'12'!$D$21</f>
        <v>9</v>
      </c>
      <c r="G19" s="637">
        <f>'12'!$D$19</f>
        <v>11.25</v>
      </c>
      <c r="H19" s="637">
        <f>'12'!$G$20</f>
        <v>1.2</v>
      </c>
      <c r="I19" s="637">
        <f>'12'!$G$21</f>
        <v>0.9</v>
      </c>
      <c r="J19" s="637">
        <f>'12'!$G$19</f>
        <v>1.066666667</v>
      </c>
      <c r="K19" s="637">
        <f>'12'!$H$20</f>
        <v>1.3</v>
      </c>
      <c r="L19" s="637">
        <f>'12'!$H$21</f>
        <v>1</v>
      </c>
      <c r="M19" s="637">
        <f>'12'!$H$19</f>
        <v>1.075</v>
      </c>
      <c r="N19" s="649">
        <f>'12'!$L$20</f>
        <v>6.5</v>
      </c>
      <c r="O19" s="649">
        <f>'12'!$L$21</f>
        <v>6.5</v>
      </c>
      <c r="P19" s="649">
        <f>'12'!$L$19</f>
        <v>6.5</v>
      </c>
      <c r="Q19" s="649">
        <f>'12'!$M$20</f>
        <v>6.5</v>
      </c>
      <c r="R19" s="649">
        <f>'12'!$M$21</f>
        <v>6.5</v>
      </c>
      <c r="S19" s="649">
        <f>'12'!$M$19</f>
        <v>6.5</v>
      </c>
      <c r="T19" s="637">
        <f>'12'!$F$37</f>
        <v>1</v>
      </c>
      <c r="U19" s="637">
        <f>'12'!$G$37</f>
        <v>0.2</v>
      </c>
      <c r="V19" s="744">
        <f>'12'!$I$37</f>
        <v>0.15</v>
      </c>
      <c r="W19" s="745">
        <f>'12'!$K$37</f>
        <v>0.03</v>
      </c>
    </row>
    <row r="20" ht="19.5" customHeight="1">
      <c r="A20" s="626">
        <v>13.0</v>
      </c>
      <c r="B20" s="742">
        <f>'13'!$C$20</f>
        <v>15</v>
      </c>
      <c r="C20" s="743">
        <f>'13'!$C$21</f>
        <v>14</v>
      </c>
      <c r="D20" s="743">
        <f>'13'!$C$19</f>
        <v>14.83333333</v>
      </c>
      <c r="E20" s="637">
        <f>'13'!$D$20</f>
        <v>14</v>
      </c>
      <c r="F20" s="654">
        <f>'13'!$D$21</f>
        <v>13</v>
      </c>
      <c r="G20" s="637">
        <f>'13'!$D$19</f>
        <v>13.33333333</v>
      </c>
      <c r="H20" s="637">
        <f>'13'!$G$20</f>
        <v>1.3</v>
      </c>
      <c r="I20" s="637">
        <f>'13'!$G$21</f>
        <v>0.9</v>
      </c>
      <c r="J20" s="637">
        <f>'13'!$G$19</f>
        <v>1.133333333</v>
      </c>
      <c r="K20" s="637">
        <f>'13'!$H$20</f>
        <v>1.1</v>
      </c>
      <c r="L20" s="637">
        <f>'13'!$H$21</f>
        <v>0.7</v>
      </c>
      <c r="M20" s="637">
        <f>'13'!$H$19</f>
        <v>0.9666666667</v>
      </c>
      <c r="N20" s="649">
        <f>'13'!$L$20</f>
        <v>6.5</v>
      </c>
      <c r="O20" s="649">
        <f>'13'!$L$21</f>
        <v>6.5</v>
      </c>
      <c r="P20" s="649">
        <f>'13'!$L$19</f>
        <v>6.5</v>
      </c>
      <c r="Q20" s="649">
        <f>'13'!$M$20</f>
        <v>6.5</v>
      </c>
      <c r="R20" s="649">
        <f>'13'!$M$21</f>
        <v>6.5</v>
      </c>
      <c r="S20" s="649">
        <f>'13'!$M$19</f>
        <v>6.5</v>
      </c>
      <c r="T20" s="637">
        <f>'13'!$F$37</f>
        <v>1</v>
      </c>
      <c r="U20" s="637">
        <f>'13'!$G$37</f>
        <v>0.2</v>
      </c>
      <c r="V20" s="744">
        <f>'13'!$I$37</f>
        <v>0.1</v>
      </c>
      <c r="W20" s="745">
        <f>'13'!$K$37</f>
        <v>0.03</v>
      </c>
    </row>
    <row r="21" ht="19.5" customHeight="1">
      <c r="A21" s="626">
        <v>14.0</v>
      </c>
      <c r="B21" s="742">
        <f>'14'!$C$20</f>
        <v>16</v>
      </c>
      <c r="C21" s="743">
        <f>'14'!$C$21</f>
        <v>14</v>
      </c>
      <c r="D21" s="743">
        <f>'14'!$C$19</f>
        <v>15.16666667</v>
      </c>
      <c r="E21" s="637">
        <f>'14'!$D$20</f>
        <v>16</v>
      </c>
      <c r="F21" s="654">
        <f>'14'!$D$21</f>
        <v>12</v>
      </c>
      <c r="G21" s="637">
        <f>'14'!$D$19</f>
        <v>13.66666667</v>
      </c>
      <c r="H21" s="637">
        <f>'14'!$G$20</f>
        <v>1.4</v>
      </c>
      <c r="I21" s="637">
        <f>'14'!$G$21</f>
        <v>1</v>
      </c>
      <c r="J21" s="637">
        <f>'14'!$G$19</f>
        <v>1.183333333</v>
      </c>
      <c r="K21" s="637">
        <f>'14'!$H$20</f>
        <v>1</v>
      </c>
      <c r="L21" s="637">
        <f>'14'!$H$21</f>
        <v>0.5</v>
      </c>
      <c r="M21" s="637">
        <f>'14'!$H$19</f>
        <v>0.8083333333</v>
      </c>
      <c r="N21" s="649">
        <f>'14'!$L$20</f>
        <v>6.5</v>
      </c>
      <c r="O21" s="649">
        <f>'14'!$L$21</f>
        <v>6.5</v>
      </c>
      <c r="P21" s="649">
        <f>'14'!$L$19</f>
        <v>6.5</v>
      </c>
      <c r="Q21" s="649">
        <f>'14'!$M$20</f>
        <v>6.5</v>
      </c>
      <c r="R21" s="649">
        <f>'14'!$M$21</f>
        <v>6.5</v>
      </c>
      <c r="S21" s="649">
        <f>'14'!$M$19</f>
        <v>6.5</v>
      </c>
      <c r="T21" s="637">
        <f>'14'!$F$37</f>
        <v>1</v>
      </c>
      <c r="U21" s="637">
        <f>'14'!$G$37</f>
        <v>0.2</v>
      </c>
      <c r="V21" s="744">
        <f>'14'!$I$37</f>
        <v>0.1</v>
      </c>
      <c r="W21" s="745">
        <f>'14'!$K$37</f>
        <v>0.03</v>
      </c>
    </row>
    <row r="22" ht="19.5" customHeight="1">
      <c r="A22" s="626">
        <v>15.0</v>
      </c>
      <c r="B22" s="742">
        <f>'15'!$C$20</f>
        <v>15</v>
      </c>
      <c r="C22" s="743">
        <f>'15'!$C$21</f>
        <v>12</v>
      </c>
      <c r="D22" s="743">
        <f>'15'!$C$19</f>
        <v>13.91666667</v>
      </c>
      <c r="E22" s="637">
        <f>'15'!$D$20</f>
        <v>16</v>
      </c>
      <c r="F22" s="654">
        <f>'15'!$D$21</f>
        <v>12</v>
      </c>
      <c r="G22" s="637">
        <f>'15'!$D$20</f>
        <v>16</v>
      </c>
      <c r="H22" s="637">
        <f>'15'!$G$20</f>
        <v>1.3</v>
      </c>
      <c r="I22" s="637">
        <f>'15'!$G$21</f>
        <v>1.2</v>
      </c>
      <c r="J22" s="637">
        <f>'15'!$G$19</f>
        <v>1.233333333</v>
      </c>
      <c r="K22" s="637">
        <f>'15'!$H$20</f>
        <v>1.2</v>
      </c>
      <c r="L22" s="637">
        <f>'15'!$H$21</f>
        <v>0.9</v>
      </c>
      <c r="M22" s="637">
        <f>'15'!$H$19</f>
        <v>1.083333333</v>
      </c>
      <c r="N22" s="649">
        <f>'15'!$L$20</f>
        <v>6.5</v>
      </c>
      <c r="O22" s="649">
        <f>'15'!$L$21</f>
        <v>6.5</v>
      </c>
      <c r="P22" s="649">
        <f>'15'!$L$19</f>
        <v>6.5</v>
      </c>
      <c r="Q22" s="649">
        <f>'15'!$M$20</f>
        <v>6.5</v>
      </c>
      <c r="R22" s="649">
        <f>'15'!$M$21</f>
        <v>6.5</v>
      </c>
      <c r="S22" s="649">
        <f>'15'!$M$19</f>
        <v>6.5</v>
      </c>
      <c r="T22" s="637">
        <f>'15'!$F$37</f>
        <v>1</v>
      </c>
      <c r="U22" s="637">
        <f>'15'!$G$37</f>
        <v>0.2</v>
      </c>
      <c r="V22" s="744">
        <f>'15'!$I$37</f>
        <v>0.15</v>
      </c>
      <c r="W22" s="745">
        <f>'15'!$K$37</f>
        <v>0.03</v>
      </c>
    </row>
    <row r="23" ht="19.5" customHeight="1">
      <c r="A23" s="626">
        <v>16.0</v>
      </c>
      <c r="B23" s="742">
        <f>'16'!$C$20</f>
        <v>20</v>
      </c>
      <c r="C23" s="743">
        <f>'16'!$C$21</f>
        <v>15</v>
      </c>
      <c r="D23" s="743">
        <f>'16'!$C$19</f>
        <v>16.25</v>
      </c>
      <c r="E23" s="637">
        <f>'16'!$D$20</f>
        <v>17</v>
      </c>
      <c r="F23" s="654">
        <f>'16'!$D$21</f>
        <v>14</v>
      </c>
      <c r="G23" s="654">
        <f>'16'!$B$18</f>
        <v>80</v>
      </c>
      <c r="H23" s="654">
        <f>'16'!$G$20</f>
        <v>1.5</v>
      </c>
      <c r="I23" s="637">
        <f>'16'!$G$21</f>
        <v>0.8</v>
      </c>
      <c r="J23" s="654">
        <f>'16'!$E$18</f>
        <v>8</v>
      </c>
      <c r="K23" s="654">
        <f>'16'!$H$20</f>
        <v>1.3</v>
      </c>
      <c r="L23" s="654">
        <f>'16'!$H$21</f>
        <v>0.7</v>
      </c>
      <c r="M23" s="637">
        <f>'16'!$H18</f>
        <v>1</v>
      </c>
      <c r="N23" s="743">
        <f>'16'!$L$20</f>
        <v>6.5</v>
      </c>
      <c r="O23" s="743">
        <f>'16'!$L$21</f>
        <v>6.5</v>
      </c>
      <c r="P23" s="743">
        <f>'16'!$J$18</f>
        <v>0.6</v>
      </c>
      <c r="Q23" s="649">
        <f>'16'!$M$20</f>
        <v>6.5</v>
      </c>
      <c r="R23" s="743">
        <f>'16'!$M$21</f>
        <v>6.4</v>
      </c>
      <c r="S23" s="743">
        <f>'16'!$K$18</f>
        <v>6.9</v>
      </c>
      <c r="T23" s="654">
        <f>'16'!$F$37</f>
        <v>0.8</v>
      </c>
      <c r="U23" s="637">
        <f>'16'!$G$37</f>
        <v>0.1</v>
      </c>
      <c r="V23" s="744">
        <f>'16'!$I$37</f>
        <v>0.15</v>
      </c>
      <c r="W23" s="745">
        <f>'16'!$K$37</f>
        <v>0</v>
      </c>
    </row>
    <row r="24" ht="19.5" customHeight="1">
      <c r="A24" s="626">
        <v>17.0</v>
      </c>
      <c r="B24" s="742">
        <f>'17'!$C$20</f>
        <v>17</v>
      </c>
      <c r="C24" s="743">
        <f>'17'!$C$21</f>
        <v>14</v>
      </c>
      <c r="D24" s="743">
        <f>'17'!$C$19</f>
        <v>15.41666667</v>
      </c>
      <c r="E24" s="637">
        <f>'17'!$D$20</f>
        <v>14</v>
      </c>
      <c r="F24" s="654">
        <f>'17'!$D$21</f>
        <v>12</v>
      </c>
      <c r="G24" s="654">
        <f>'17'!$D$19</f>
        <v>13.16666667</v>
      </c>
      <c r="H24" s="637">
        <f>'17'!$G$20</f>
        <v>2.1</v>
      </c>
      <c r="I24" s="637">
        <f>'17'!$G$21</f>
        <v>1.3</v>
      </c>
      <c r="J24" s="637">
        <f>'17'!$G$19</f>
        <v>1.509090909</v>
      </c>
      <c r="K24" s="637">
        <f>'17'!$H$20</f>
        <v>2.2</v>
      </c>
      <c r="L24" s="637">
        <f>'17'!$H$21</f>
        <v>0.9</v>
      </c>
      <c r="M24" s="637">
        <f>'17'!$H$19</f>
        <v>1.175</v>
      </c>
      <c r="N24" s="649">
        <f>'17'!$L$20</f>
        <v>6.5</v>
      </c>
      <c r="O24" s="649">
        <f>'17'!$L$21</f>
        <v>6.5</v>
      </c>
      <c r="P24" s="649">
        <f>'17'!$L$19</f>
        <v>6.5</v>
      </c>
      <c r="Q24" s="649">
        <f>'17'!$M$20</f>
        <v>6.4</v>
      </c>
      <c r="R24" s="649">
        <f>'17'!$M$21</f>
        <v>6.4</v>
      </c>
      <c r="S24" s="649">
        <f>'17'!$M$19</f>
        <v>6.4</v>
      </c>
      <c r="T24" s="637">
        <f>'17'!$F$37</f>
        <v>1</v>
      </c>
      <c r="U24" s="637">
        <f>'17'!$G$37</f>
        <v>0.2</v>
      </c>
      <c r="V24" s="744">
        <f>'17'!$I$37</f>
        <v>0.15</v>
      </c>
      <c r="W24" s="745">
        <f>'17'!$K$37</f>
        <v>0.03</v>
      </c>
    </row>
    <row r="25" ht="19.5" customHeight="1">
      <c r="A25" s="626">
        <v>18.0</v>
      </c>
      <c r="B25" s="742">
        <f>'18'!$C$20</f>
        <v>16</v>
      </c>
      <c r="C25" s="743">
        <f>'18'!$C$21</f>
        <v>15</v>
      </c>
      <c r="D25" s="743">
        <f>'18'!$C$19</f>
        <v>15.58333333</v>
      </c>
      <c r="E25" s="637">
        <f>'18'!$D$20</f>
        <v>14</v>
      </c>
      <c r="F25" s="654">
        <f>'18'!$D$21</f>
        <v>13</v>
      </c>
      <c r="G25" s="637">
        <f>'18'!$D$19</f>
        <v>13.83333333</v>
      </c>
      <c r="H25" s="637">
        <f>'18'!$G$20</f>
        <v>1.6</v>
      </c>
      <c r="I25" s="637">
        <f>'18'!$G$21</f>
        <v>1.1</v>
      </c>
      <c r="J25" s="637">
        <f>'18'!$G$19</f>
        <v>1.4</v>
      </c>
      <c r="K25" s="637">
        <f>'18'!$H$20</f>
        <v>1.3</v>
      </c>
      <c r="L25" s="637">
        <f>'18'!$H$21</f>
        <v>1.1</v>
      </c>
      <c r="M25" s="637">
        <f>'18'!$H$19</f>
        <v>1.166666667</v>
      </c>
      <c r="N25" s="649">
        <f>'18'!$L$20</f>
        <v>6.5</v>
      </c>
      <c r="O25" s="649">
        <f>'18'!$L$21</f>
        <v>6.5</v>
      </c>
      <c r="P25" s="649">
        <f>'18'!$L$19</f>
        <v>6.5</v>
      </c>
      <c r="Q25" s="649">
        <f>'18'!$M$20</f>
        <v>6.5</v>
      </c>
      <c r="R25" s="649">
        <f>'18'!$M$21</f>
        <v>6.5</v>
      </c>
      <c r="S25" s="649">
        <f>'18'!$M$19</f>
        <v>6.5</v>
      </c>
      <c r="T25" s="637">
        <f>'18'!$F$37</f>
        <v>1</v>
      </c>
      <c r="U25" s="637">
        <f>'18'!$G$37</f>
        <v>0.2</v>
      </c>
      <c r="V25" s="744">
        <f>'18'!$I$37</f>
        <v>0.15</v>
      </c>
      <c r="W25" s="745">
        <f>'18'!$K$37</f>
        <v>0.03</v>
      </c>
    </row>
    <row r="26" ht="19.5" customHeight="1">
      <c r="A26" s="626">
        <v>19.0</v>
      </c>
      <c r="B26" s="742" t="str">
        <f>'19'!$C$1048576</f>
        <v/>
      </c>
      <c r="C26" s="743" t="str">
        <f>'19'!$C$1048576</f>
        <v/>
      </c>
      <c r="D26" s="743" t="str">
        <f>'19'!$C$1048576</f>
        <v/>
      </c>
      <c r="E26" s="637" t="str">
        <f>'19'!$D$1048576</f>
        <v/>
      </c>
      <c r="F26" s="654" t="str">
        <f>'19'!$D$1048576</f>
        <v/>
      </c>
      <c r="G26" s="637" t="str">
        <f>'19'!$D$1048576</f>
        <v/>
      </c>
      <c r="H26" s="637" t="str">
        <f>'19'!$G$1048576</f>
        <v/>
      </c>
      <c r="I26" s="637" t="str">
        <f>'19'!$G$1048576</f>
        <v/>
      </c>
      <c r="J26" s="637" t="str">
        <f>'19'!$G$1048576</f>
        <v/>
      </c>
      <c r="K26" s="637" t="str">
        <f>'19'!$H$1048576</f>
        <v/>
      </c>
      <c r="L26" s="637" t="str">
        <f>'19'!$H$1048576</f>
        <v/>
      </c>
      <c r="M26" s="637" t="str">
        <f>'19'!$H$1048576</f>
        <v/>
      </c>
      <c r="N26" s="649" t="str">
        <f>'19'!$L$1048576</f>
        <v/>
      </c>
      <c r="O26" s="649" t="str">
        <f>'19'!$L$1048576</f>
        <v/>
      </c>
      <c r="P26" s="649" t="str">
        <f>'19'!$L$1048576</f>
        <v/>
      </c>
      <c r="Q26" s="649" t="str">
        <f>'19'!$M$1048576</f>
        <v/>
      </c>
      <c r="R26" s="649" t="str">
        <f>'19'!$M$1048576</f>
        <v/>
      </c>
      <c r="S26" s="649" t="str">
        <f>'19'!$M$1048576</f>
        <v/>
      </c>
      <c r="T26" s="637" t="str">
        <f>'19'!$F$1048576</f>
        <v/>
      </c>
      <c r="U26" s="637" t="str">
        <f>'19'!$G$1048576</f>
        <v/>
      </c>
      <c r="V26" s="744" t="str">
        <f>'19'!$I$1048576</f>
        <v/>
      </c>
      <c r="W26" s="745" t="str">
        <f>'19'!$K$1048576</f>
        <v/>
      </c>
    </row>
    <row r="27" ht="19.5" customHeight="1">
      <c r="A27" s="626">
        <v>20.0</v>
      </c>
      <c r="B27" s="742">
        <f>'20'!$C$20</f>
        <v>25</v>
      </c>
      <c r="C27" s="743">
        <f>'20'!$C$21</f>
        <v>17</v>
      </c>
      <c r="D27" s="743">
        <f>'20'!$C$19</f>
        <v>19.25</v>
      </c>
      <c r="E27" s="637">
        <f>'20'!$D$20</f>
        <v>18</v>
      </c>
      <c r="F27" s="654">
        <f>'20'!$D$21</f>
        <v>12</v>
      </c>
      <c r="G27" s="637">
        <f>'20'!$D$19</f>
        <v>14.08333333</v>
      </c>
      <c r="H27" s="637">
        <f>'20'!$G$20</f>
        <v>3.2</v>
      </c>
      <c r="I27" s="637">
        <f>'20'!$G$21</f>
        <v>2.6</v>
      </c>
      <c r="J27" s="637">
        <f>'20'!$G$19</f>
        <v>2.854545455</v>
      </c>
      <c r="K27" s="637">
        <f>'20'!$H$20</f>
        <v>1.9</v>
      </c>
      <c r="L27" s="637">
        <f>'20'!$H$21</f>
        <v>1.2</v>
      </c>
      <c r="M27" s="637">
        <f>'20'!$H$19</f>
        <v>1.541666667</v>
      </c>
      <c r="N27" s="649">
        <f>'20'!$L$20</f>
        <v>6.5</v>
      </c>
      <c r="O27" s="649">
        <f>'20'!$L$21</f>
        <v>6.5</v>
      </c>
      <c r="P27" s="649">
        <f>'20'!$L$19</f>
        <v>6.5</v>
      </c>
      <c r="Q27" s="649">
        <f>'20'!$M$20</f>
        <v>6.5</v>
      </c>
      <c r="R27" s="649">
        <f>'20'!$M$21</f>
        <v>6.5</v>
      </c>
      <c r="S27" s="649">
        <f>'20'!$M$19</f>
        <v>6.5</v>
      </c>
      <c r="T27" s="637">
        <f>'20'!$F$37</f>
        <v>1</v>
      </c>
      <c r="U27" s="637">
        <f>'20'!$G$37</f>
        <v>0.2</v>
      </c>
      <c r="V27" s="744">
        <f>'20'!$I$37</f>
        <v>0.15</v>
      </c>
      <c r="W27" s="745">
        <f>'20'!$K$37</f>
        <v>0.03</v>
      </c>
    </row>
    <row r="28" ht="19.5" customHeight="1">
      <c r="A28" s="626">
        <v>21.0</v>
      </c>
      <c r="B28" s="742">
        <f>'21'!$C$20</f>
        <v>23</v>
      </c>
      <c r="C28" s="743">
        <f>'21'!$C$21</f>
        <v>18</v>
      </c>
      <c r="D28" s="743">
        <f>'21'!$C$19</f>
        <v>19.58333333</v>
      </c>
      <c r="E28" s="637">
        <f>'21'!$D$20</f>
        <v>17</v>
      </c>
      <c r="F28" s="654">
        <f>'21'!$D$21</f>
        <v>14</v>
      </c>
      <c r="G28" s="637">
        <f>'21'!$D$19</f>
        <v>15.58333333</v>
      </c>
      <c r="H28" s="637">
        <f>'21'!$G$20</f>
        <v>2.7</v>
      </c>
      <c r="I28" s="637">
        <f>'21'!$G$21</f>
        <v>1.4</v>
      </c>
      <c r="J28" s="637">
        <f>'21'!$G$19</f>
        <v>2.225</v>
      </c>
      <c r="K28" s="637">
        <f>'21'!$H$20</f>
        <v>1.8</v>
      </c>
      <c r="L28" s="637">
        <f>'21'!$H$21</f>
        <v>1.3</v>
      </c>
      <c r="M28" s="637">
        <f>'21'!$H$19</f>
        <v>1.541666667</v>
      </c>
      <c r="N28" s="649">
        <f>'21'!$L$20</f>
        <v>6.5</v>
      </c>
      <c r="O28" s="649">
        <f>'21'!$L$21</f>
        <v>6.5</v>
      </c>
      <c r="P28" s="649">
        <f>'21'!$L$19</f>
        <v>6.5</v>
      </c>
      <c r="Q28" s="649">
        <f>'21'!$M$20</f>
        <v>6.5</v>
      </c>
      <c r="R28" s="649">
        <f>'21'!$M$21</f>
        <v>6.5</v>
      </c>
      <c r="S28" s="649">
        <f>'21'!$M$19</f>
        <v>6.5</v>
      </c>
      <c r="T28" s="637">
        <f>'21'!$F$37</f>
        <v>1.2</v>
      </c>
      <c r="U28" s="637">
        <f>'21'!$G$37</f>
        <v>1.2</v>
      </c>
      <c r="V28" s="744">
        <f>'21'!$I$37</f>
        <v>0.1</v>
      </c>
      <c r="W28" s="745">
        <f>'21'!$K$37</f>
        <v>0.03</v>
      </c>
    </row>
    <row r="29" ht="19.5" customHeight="1">
      <c r="A29" s="626">
        <v>22.0</v>
      </c>
      <c r="B29" s="742">
        <f>'22'!$C$20</f>
        <v>17</v>
      </c>
      <c r="C29" s="743">
        <f>'22'!$C$21</f>
        <v>12</v>
      </c>
      <c r="D29" s="743">
        <f>'22'!$C$19</f>
        <v>14.5</v>
      </c>
      <c r="E29" s="637">
        <f>'22'!$D$20</f>
        <v>16</v>
      </c>
      <c r="F29" s="654">
        <f>'22'!$D$21</f>
        <v>11</v>
      </c>
      <c r="G29" s="637">
        <f>'22'!$D$19</f>
        <v>13.08333333</v>
      </c>
      <c r="H29" s="637">
        <f>'22'!$G$20</f>
        <v>2.3</v>
      </c>
      <c r="I29" s="637">
        <f>'22'!$G$21</f>
        <v>1.5</v>
      </c>
      <c r="J29" s="637">
        <f>'22'!$G$19</f>
        <v>1.958333333</v>
      </c>
      <c r="K29" s="637">
        <f>'22'!$H$20</f>
        <v>1.5</v>
      </c>
      <c r="L29" s="637">
        <f>'22'!$H$21</f>
        <v>1.2</v>
      </c>
      <c r="M29" s="637">
        <f>'22'!$H$19</f>
        <v>1.325</v>
      </c>
      <c r="N29" s="649">
        <f>'22'!$L$20</f>
        <v>6.5</v>
      </c>
      <c r="O29" s="649">
        <f>'22'!$L$21</f>
        <v>6.3</v>
      </c>
      <c r="P29" s="649">
        <f>'22'!$L$19</f>
        <v>6.366666667</v>
      </c>
      <c r="Q29" s="649">
        <f>'22'!$M$20</f>
        <v>6.5</v>
      </c>
      <c r="R29" s="649">
        <f>'22'!$M$21</f>
        <v>6.4</v>
      </c>
      <c r="S29" s="649">
        <f>'22'!$M$19</f>
        <v>6.433333333</v>
      </c>
      <c r="T29" s="637">
        <f>'22'!$F$37</f>
        <v>1</v>
      </c>
      <c r="U29" s="637">
        <f>'22'!$G$37</f>
        <v>0.1</v>
      </c>
      <c r="V29" s="744">
        <f>'22'!$I$37</f>
        <v>0.1</v>
      </c>
      <c r="W29" s="745">
        <f>'22'!$K$37</f>
        <v>0</v>
      </c>
    </row>
    <row r="30" ht="19.5" customHeight="1">
      <c r="A30" s="626">
        <v>23.0</v>
      </c>
      <c r="B30" s="653">
        <f>'23'!$C$20</f>
        <v>24</v>
      </c>
      <c r="C30" s="743">
        <f>'23'!$C$21</f>
        <v>13</v>
      </c>
      <c r="D30" s="649">
        <f>'23'!$C$19</f>
        <v>18.25</v>
      </c>
      <c r="E30" s="637">
        <f>'23'!$D$20</f>
        <v>19</v>
      </c>
      <c r="F30" s="654">
        <f>'23'!$D$21</f>
        <v>12</v>
      </c>
      <c r="G30" s="654">
        <f>'23'!$D$19</f>
        <v>15.75</v>
      </c>
      <c r="H30" s="637">
        <f>'23'!$G$20</f>
        <v>2.8</v>
      </c>
      <c r="I30" s="637">
        <f>'23'!$G$21</f>
        <v>2.2</v>
      </c>
      <c r="J30" s="637">
        <f>'23'!$G$19</f>
        <v>2.483333333</v>
      </c>
      <c r="K30" s="637">
        <f>'23'!$H$20</f>
        <v>0.2</v>
      </c>
      <c r="L30" s="637">
        <f>'23'!$H$21</f>
        <v>1.3</v>
      </c>
      <c r="M30" s="637">
        <f>'23'!$H$19</f>
        <v>1.566666667</v>
      </c>
      <c r="N30" s="649">
        <f>'23'!$L$20</f>
        <v>6.4</v>
      </c>
      <c r="O30" s="649">
        <f>'23'!$L$21</f>
        <v>6.4</v>
      </c>
      <c r="P30" s="649">
        <f>'23'!$L$19</f>
        <v>6.4</v>
      </c>
      <c r="Q30" s="649">
        <f>'23'!$M$20</f>
        <v>6.4</v>
      </c>
      <c r="R30" s="649">
        <f>'23'!$M$21</f>
        <v>6.4</v>
      </c>
      <c r="S30" s="649">
        <f>'23'!$M$19</f>
        <v>6.4</v>
      </c>
      <c r="T30" s="637">
        <f>'23'!$F$37</f>
        <v>1</v>
      </c>
      <c r="U30" s="637">
        <f>'23'!$G$37</f>
        <v>0.1</v>
      </c>
      <c r="V30" s="744">
        <f>'23'!$I$37</f>
        <v>0.15</v>
      </c>
      <c r="W30" s="745">
        <f>'23'!$K$37</f>
        <v>0</v>
      </c>
    </row>
    <row r="31" ht="19.5" customHeight="1">
      <c r="A31" s="626">
        <v>24.0</v>
      </c>
      <c r="B31" s="742">
        <f>'24'!$C$16</f>
        <v>21</v>
      </c>
      <c r="C31" s="743">
        <f>'24'!$C$21</f>
        <v>19</v>
      </c>
      <c r="D31" s="743">
        <f>'24'!$C$15</f>
        <v>20</v>
      </c>
      <c r="E31" s="637">
        <f>'24'!$D$16</f>
        <v>1.7</v>
      </c>
      <c r="F31" s="654">
        <f>'24'!$D$21</f>
        <v>1.4</v>
      </c>
      <c r="G31" s="637">
        <f>'24'!$D$15</f>
        <v>16</v>
      </c>
      <c r="H31" s="637">
        <f>'24'!$G$20</f>
        <v>2.2</v>
      </c>
      <c r="I31" s="637">
        <f>'24'!$G$21</f>
        <v>1</v>
      </c>
      <c r="J31" s="637">
        <f>'24'!$G$19</f>
        <v>1.858333333</v>
      </c>
      <c r="K31" s="637">
        <f>'24'!$H$20</f>
        <v>1.7</v>
      </c>
      <c r="L31" s="637">
        <f>'24'!$H$21</f>
        <v>1.2</v>
      </c>
      <c r="M31" s="637">
        <f>'24'!$H$19</f>
        <v>1.541666667</v>
      </c>
      <c r="N31" s="649">
        <f>'24'!$L$20</f>
        <v>6.4</v>
      </c>
      <c r="O31" s="649">
        <f>'24'!$L$21</f>
        <v>6.4</v>
      </c>
      <c r="P31" s="649">
        <f>'24'!$L$19</f>
        <v>6.4</v>
      </c>
      <c r="Q31" s="649">
        <f>'24'!$M$20</f>
        <v>6.4</v>
      </c>
      <c r="R31" s="649">
        <f>'24'!$M$21</f>
        <v>6.4</v>
      </c>
      <c r="S31" s="649">
        <f>'24'!$M$19</f>
        <v>6.4</v>
      </c>
      <c r="T31" s="637">
        <f>'24'!$F$37</f>
        <v>1.2</v>
      </c>
      <c r="U31" s="637">
        <f>'24'!$G$37</f>
        <v>0.2</v>
      </c>
      <c r="V31" s="744">
        <f>'24'!$I$37</f>
        <v>0.15</v>
      </c>
      <c r="W31" s="745">
        <f>'24'!$K$37</f>
        <v>0.03</v>
      </c>
    </row>
    <row r="32" ht="19.5" customHeight="1">
      <c r="A32" s="626">
        <v>25.0</v>
      </c>
      <c r="B32" s="742">
        <f>'25'!$C$20</f>
        <v>21</v>
      </c>
      <c r="C32" s="743">
        <f>'25'!$C$21</f>
        <v>14</v>
      </c>
      <c r="D32" s="743">
        <f>'25'!$C$19</f>
        <v>16.66666667</v>
      </c>
      <c r="E32" s="637">
        <f>'25'!$D$20</f>
        <v>18</v>
      </c>
      <c r="F32" s="654">
        <f>'25'!$D$21</f>
        <v>13</v>
      </c>
      <c r="G32" s="637">
        <f>'25'!$D$19</f>
        <v>15</v>
      </c>
      <c r="H32" s="637">
        <f>'25'!$G$20</f>
        <v>2.5</v>
      </c>
      <c r="I32" s="637">
        <f>'25'!$G$21</f>
        <v>1.8</v>
      </c>
      <c r="J32" s="637">
        <f>'25'!$G$19</f>
        <v>2.016666667</v>
      </c>
      <c r="K32" s="637">
        <f>'25'!$H$20</f>
        <v>1.3</v>
      </c>
      <c r="L32" s="637">
        <f>'25'!$H$21</f>
        <v>1.1</v>
      </c>
      <c r="M32" s="637">
        <f>'25'!$H$19</f>
        <v>1.166666667</v>
      </c>
      <c r="N32" s="649">
        <f>'25'!$L$20</f>
        <v>6.4</v>
      </c>
      <c r="O32" s="649">
        <f>'25'!$L$21</f>
        <v>6.3</v>
      </c>
      <c r="P32" s="649">
        <f>'25'!$L$19</f>
        <v>6.333333333</v>
      </c>
      <c r="Q32" s="649">
        <f>'25'!$M$20</f>
        <v>6.4</v>
      </c>
      <c r="R32" s="649">
        <f>'25'!$M$21</f>
        <v>6.3</v>
      </c>
      <c r="S32" s="649">
        <f>'25'!$M$19</f>
        <v>6.333333333</v>
      </c>
      <c r="T32" s="637">
        <f>'25'!$F$37</f>
        <v>1</v>
      </c>
      <c r="U32" s="637">
        <f>'25'!$G$37</f>
        <v>0.1</v>
      </c>
      <c r="V32" s="744">
        <f>'25'!$I$37</f>
        <v>0.15</v>
      </c>
      <c r="W32" s="745">
        <f>'25'!$K$37</f>
        <v>0.03</v>
      </c>
    </row>
    <row r="33" ht="19.5" customHeight="1">
      <c r="A33" s="626">
        <v>26.0</v>
      </c>
      <c r="B33" s="653">
        <f>'26'!$C$20</f>
        <v>19</v>
      </c>
      <c r="C33" s="743">
        <f>'26'!$C$21</f>
        <v>15</v>
      </c>
      <c r="D33" s="743">
        <f>'26'!$C$19</f>
        <v>16.16666667</v>
      </c>
      <c r="E33" s="637">
        <f>'26'!$D$20</f>
        <v>17</v>
      </c>
      <c r="F33" s="654">
        <f>'26'!$D$21</f>
        <v>14</v>
      </c>
      <c r="G33" s="654">
        <f>'26'!$D$19</f>
        <v>14.66666667</v>
      </c>
      <c r="H33" s="637">
        <f>'26'!$G$20</f>
        <v>1.8</v>
      </c>
      <c r="I33" s="637">
        <f>'26'!$G$21</f>
        <v>1.4</v>
      </c>
      <c r="J33" s="637">
        <f>'26'!$G$19</f>
        <v>1.691666667</v>
      </c>
      <c r="K33" s="637">
        <f>'26'!$H$20</f>
        <v>1.6</v>
      </c>
      <c r="L33" s="637">
        <f>'26'!$H$21</f>
        <v>1.2</v>
      </c>
      <c r="M33" s="637">
        <f>'26'!$H$19</f>
        <v>1.291666667</v>
      </c>
      <c r="N33" s="649">
        <f>'26'!$L$20</f>
        <v>6.3</v>
      </c>
      <c r="O33" s="649">
        <f>'26'!$L$21</f>
        <v>6.3</v>
      </c>
      <c r="P33" s="649">
        <f>'26'!$L$19</f>
        <v>6.3</v>
      </c>
      <c r="Q33" s="649">
        <f>'26'!$M$20</f>
        <v>6.3</v>
      </c>
      <c r="R33" s="649">
        <f>'26'!$M$21</f>
        <v>6.3</v>
      </c>
      <c r="S33" s="649">
        <f>'26'!$M$19</f>
        <v>6.3</v>
      </c>
      <c r="T33" s="637">
        <f>'26'!$F$37</f>
        <v>1</v>
      </c>
      <c r="U33" s="637">
        <f>'26'!$G$37</f>
        <v>0.1</v>
      </c>
      <c r="V33" s="744">
        <f>'26'!$I$37</f>
        <v>0.15</v>
      </c>
      <c r="W33" s="745">
        <f>'26'!$K$37</f>
        <v>0.03</v>
      </c>
    </row>
    <row r="34" ht="19.5" customHeight="1">
      <c r="A34" s="626">
        <v>27.0</v>
      </c>
      <c r="B34" s="742">
        <f>'27'!$C$20</f>
        <v>23</v>
      </c>
      <c r="C34" s="743">
        <f>'27'!$C$21</f>
        <v>19</v>
      </c>
      <c r="D34" s="743">
        <f>'27'!$C$19</f>
        <v>20.41666667</v>
      </c>
      <c r="E34" s="637">
        <f>'27'!$D$20</f>
        <v>21</v>
      </c>
      <c r="F34" s="654">
        <f>'27'!$D$21</f>
        <v>17</v>
      </c>
      <c r="G34" s="637">
        <f>'27'!$D$19</f>
        <v>18.33333333</v>
      </c>
      <c r="H34" s="637">
        <f>'27'!$G$20</f>
        <v>1.7</v>
      </c>
      <c r="I34" s="637">
        <f>'27'!$G$21</f>
        <v>1.1</v>
      </c>
      <c r="J34" s="637">
        <f>'27'!$G$19</f>
        <v>1.466666667</v>
      </c>
      <c r="K34" s="637">
        <f>'27'!$H$20</f>
        <v>1.4</v>
      </c>
      <c r="L34" s="637">
        <f>'27'!$H$21</f>
        <v>1</v>
      </c>
      <c r="M34" s="637">
        <f>'27'!$H$19</f>
        <v>1.233333333</v>
      </c>
      <c r="N34" s="649">
        <f>'27'!$L$20</f>
        <v>6.3</v>
      </c>
      <c r="O34" s="649">
        <f>'27'!$L$21</f>
        <v>6.3</v>
      </c>
      <c r="P34" s="649">
        <f>'27'!$L$19</f>
        <v>6.3</v>
      </c>
      <c r="Q34" s="649">
        <f>'27'!$M$20</f>
        <v>6.3</v>
      </c>
      <c r="R34" s="649">
        <f>'27'!$M$21</f>
        <v>6.3</v>
      </c>
      <c r="S34" s="649">
        <f>'27'!$M$19</f>
        <v>6.3</v>
      </c>
      <c r="T34" s="637">
        <f>'27'!$F$37</f>
        <v>1</v>
      </c>
      <c r="U34" s="637">
        <f>'27'!$G$37</f>
        <v>0.1</v>
      </c>
      <c r="V34" s="744">
        <f>'27'!$I$37</f>
        <v>0.15</v>
      </c>
      <c r="W34" s="745">
        <f>'27'!$K$37</f>
        <v>0.03</v>
      </c>
    </row>
    <row r="35" ht="19.5" customHeight="1">
      <c r="A35" s="626">
        <v>28.0</v>
      </c>
      <c r="B35" s="742">
        <f>'28'!$C$20</f>
        <v>22</v>
      </c>
      <c r="C35" s="743">
        <f>'28'!$C$21</f>
        <v>13</v>
      </c>
      <c r="D35" s="743">
        <f>'28'!$C$19</f>
        <v>16.58333333</v>
      </c>
      <c r="E35" s="637">
        <f>'28'!$D$20</f>
        <v>16</v>
      </c>
      <c r="F35" s="654">
        <f>'28'!$D$21</f>
        <v>11</v>
      </c>
      <c r="G35" s="637">
        <f>'28'!$D$19</f>
        <v>13.5</v>
      </c>
      <c r="H35" s="637">
        <f>'28'!$G$20</f>
        <v>1.8</v>
      </c>
      <c r="I35" s="637">
        <f>'28'!$G$21</f>
        <v>1.1</v>
      </c>
      <c r="J35" s="637">
        <f>'28'!$G$19</f>
        <v>1.45</v>
      </c>
      <c r="K35" s="637">
        <f>'28'!$H$20</f>
        <v>1.1</v>
      </c>
      <c r="L35" s="637">
        <f>'28'!$H$21</f>
        <v>1</v>
      </c>
      <c r="M35" s="637">
        <f>'28'!$H$19</f>
        <v>1.033333333</v>
      </c>
      <c r="N35" s="649">
        <f>'28'!$L$20</f>
        <v>6.5</v>
      </c>
      <c r="O35" s="649">
        <f>'28'!$L$21</f>
        <v>6.3</v>
      </c>
      <c r="P35" s="649">
        <f>'28'!$L$19</f>
        <v>6.433333333</v>
      </c>
      <c r="Q35" s="649">
        <f>'28'!$M$20</f>
        <v>6.5</v>
      </c>
      <c r="R35" s="649">
        <f>'28'!$M$21</f>
        <v>6.3</v>
      </c>
      <c r="S35" s="649">
        <f>'28'!$M$19</f>
        <v>6.433333333</v>
      </c>
      <c r="T35" s="637">
        <f>'28'!$F$37</f>
        <v>1.2</v>
      </c>
      <c r="U35" s="637">
        <f>'28'!$G$37</f>
        <v>0.1</v>
      </c>
      <c r="V35" s="744">
        <f>'28'!$I$37</f>
        <v>0.1</v>
      </c>
      <c r="W35" s="745">
        <f>'28'!$K$37</f>
        <v>0</v>
      </c>
    </row>
    <row r="36" ht="19.5" customHeight="1">
      <c r="A36" s="626">
        <v>29.0</v>
      </c>
      <c r="B36" s="742">
        <f>'29'!$C$20</f>
        <v>17</v>
      </c>
      <c r="C36" s="743">
        <f>'29'!$C$21</f>
        <v>14</v>
      </c>
      <c r="D36" s="743">
        <f>'29'!$C$19</f>
        <v>15.33333333</v>
      </c>
      <c r="E36" s="637">
        <f>'29'!$D$20</f>
        <v>14</v>
      </c>
      <c r="F36" s="654">
        <f>'29'!$D$21</f>
        <v>1.2</v>
      </c>
      <c r="G36" s="637">
        <f>'29'!$D$19</f>
        <v>11.45</v>
      </c>
      <c r="H36" s="637">
        <f>'29'!$G$20</f>
        <v>1.7</v>
      </c>
      <c r="I36" s="637">
        <f>'29'!$G$21</f>
        <v>1.1</v>
      </c>
      <c r="J36" s="637">
        <f>'29'!$G$19</f>
        <v>1.391666667</v>
      </c>
      <c r="K36" s="637">
        <f>'29'!$H$20</f>
        <v>1.1</v>
      </c>
      <c r="L36" s="637">
        <f>'29'!$H$21</f>
        <v>0.9</v>
      </c>
      <c r="M36" s="637">
        <f>'29'!$H$19</f>
        <v>0.9666666667</v>
      </c>
      <c r="N36" s="649">
        <f>'29'!$L$20</f>
        <v>6.5</v>
      </c>
      <c r="O36" s="649">
        <f>'29'!$L$21</f>
        <v>6.5</v>
      </c>
      <c r="P36" s="649">
        <f>'29'!$L$19</f>
        <v>6.5</v>
      </c>
      <c r="Q36" s="649">
        <f>'29'!$M$20</f>
        <v>6.5</v>
      </c>
      <c r="R36" s="649">
        <f>'29'!$M$21</f>
        <v>6.5</v>
      </c>
      <c r="S36" s="649">
        <f>'29'!$M$19</f>
        <v>6.5</v>
      </c>
      <c r="T36" s="637">
        <f>'29'!$F$37</f>
        <v>1</v>
      </c>
      <c r="U36" s="637">
        <f>'29'!$G$37</f>
        <v>0.1</v>
      </c>
      <c r="V36" s="744">
        <f>'29'!$I$37</f>
        <v>0.1</v>
      </c>
      <c r="W36" s="745">
        <f>'29'!$K$37</f>
        <v>0</v>
      </c>
    </row>
    <row r="37" ht="19.5" customHeight="1">
      <c r="A37" s="626">
        <v>30.0</v>
      </c>
      <c r="B37" s="742">
        <f>'30'!$C$20</f>
        <v>15</v>
      </c>
      <c r="C37" s="743">
        <f>'30'!$C$21</f>
        <v>12</v>
      </c>
      <c r="D37" s="743">
        <f>'30'!$C$19</f>
        <v>13.75</v>
      </c>
      <c r="E37" s="637">
        <f>'30'!$D$20</f>
        <v>14</v>
      </c>
      <c r="F37" s="654">
        <f>'30'!$D$21</f>
        <v>13</v>
      </c>
      <c r="G37" s="637">
        <f>'30'!$D$19</f>
        <v>13.58333333</v>
      </c>
      <c r="H37" s="637">
        <f>'30'!$G$20</f>
        <v>1.4</v>
      </c>
      <c r="I37" s="637">
        <f>'30'!$G$21</f>
        <v>1</v>
      </c>
      <c r="J37" s="637">
        <f>'30'!$G$19</f>
        <v>1</v>
      </c>
      <c r="K37" s="637">
        <f>'30'!$H$20</f>
        <v>1.6</v>
      </c>
      <c r="L37" s="637">
        <f>'30'!$H$21</f>
        <v>1</v>
      </c>
      <c r="M37" s="637">
        <f>'30'!$H$19</f>
        <v>1.341666667</v>
      </c>
      <c r="N37" s="649">
        <f>'30'!$L$20</f>
        <v>6.5</v>
      </c>
      <c r="O37" s="649">
        <f>'30'!$L$21</f>
        <v>6.5</v>
      </c>
      <c r="P37" s="649">
        <f>'30'!$L$19</f>
        <v>6.5</v>
      </c>
      <c r="Q37" s="649">
        <f>'30'!$M$20</f>
        <v>6.5</v>
      </c>
      <c r="R37" s="649">
        <f>'30'!$M$21</f>
        <v>6.5</v>
      </c>
      <c r="S37" s="649">
        <f>'30'!$M$19</f>
        <v>6.5</v>
      </c>
      <c r="T37" s="637">
        <f>'30'!$F$37</f>
        <v>1</v>
      </c>
      <c r="U37" s="637">
        <f>'30'!$G$37</f>
        <v>0.2</v>
      </c>
      <c r="V37" s="744">
        <f>'30'!$I$37</f>
        <v>0.15</v>
      </c>
      <c r="W37" s="745">
        <f>'30'!$K$37</f>
        <v>0.03</v>
      </c>
    </row>
    <row r="38" ht="19.5" customHeight="1">
      <c r="A38" s="623">
        <v>31.0</v>
      </c>
      <c r="B38" s="742">
        <f>'30'!$C$20</f>
        <v>15</v>
      </c>
      <c r="C38" s="743">
        <f>'30'!$C$21</f>
        <v>12</v>
      </c>
      <c r="D38" s="743">
        <f>'30'!$C$19</f>
        <v>13.75</v>
      </c>
      <c r="E38" s="637">
        <f>'30'!$D$20</f>
        <v>14</v>
      </c>
      <c r="F38" s="654">
        <f>'30'!$D$21</f>
        <v>13</v>
      </c>
      <c r="G38" s="637">
        <f>'30'!$D$19</f>
        <v>13.58333333</v>
      </c>
      <c r="H38" s="637">
        <f>'30'!$G$20</f>
        <v>1.4</v>
      </c>
      <c r="I38" s="637">
        <f>'30'!$G$21</f>
        <v>1</v>
      </c>
      <c r="J38" s="637">
        <f>'30'!$G$19</f>
        <v>1</v>
      </c>
      <c r="K38" s="637">
        <f>'30'!$H$20</f>
        <v>1.6</v>
      </c>
      <c r="L38" s="637">
        <f>'30'!$H$21</f>
        <v>1</v>
      </c>
      <c r="M38" s="637">
        <f>'30'!$H$19</f>
        <v>1.341666667</v>
      </c>
      <c r="N38" s="649">
        <f>'30'!$L$20</f>
        <v>6.5</v>
      </c>
      <c r="O38" s="649">
        <f>'30'!$L$21</f>
        <v>6.5</v>
      </c>
      <c r="P38" s="649">
        <f>'30'!$L$19</f>
        <v>6.5</v>
      </c>
      <c r="Q38" s="649">
        <f>'30'!$M$20</f>
        <v>6.5</v>
      </c>
      <c r="R38" s="649">
        <f>'30'!$M$21</f>
        <v>6.5</v>
      </c>
      <c r="S38" s="649">
        <f>'30'!$M$19</f>
        <v>6.5</v>
      </c>
      <c r="T38" s="637">
        <f>'30'!$F$37</f>
        <v>1</v>
      </c>
      <c r="U38" s="637">
        <f>'30'!$G$37</f>
        <v>0.2</v>
      </c>
      <c r="V38" s="744">
        <f>'30'!$I$37</f>
        <v>0.15</v>
      </c>
      <c r="W38" s="745">
        <f>'30'!$K$37</f>
        <v>0.03</v>
      </c>
    </row>
    <row r="39" ht="19.5" customHeight="1">
      <c r="A39" s="746" t="s">
        <v>255</v>
      </c>
      <c r="B39" s="669">
        <f>MAX('Parte 2'!B8:B38)</f>
        <v>25</v>
      </c>
      <c r="C39" s="670">
        <f>MIN('Parte 2'!C8:C38)</f>
        <v>8</v>
      </c>
      <c r="D39" s="670">
        <f>AVERAGE('Parte 2'!D8:D38)</f>
        <v>14.89777778</v>
      </c>
      <c r="E39" s="669">
        <f>MAX('Parte 2'!E8:E38)</f>
        <v>21</v>
      </c>
      <c r="F39" s="670">
        <f>MIN('Parte 2'!F8:F38)</f>
        <v>1.2</v>
      </c>
      <c r="G39" s="670">
        <f>AVERAGE('Parte 2'!G8:G38)</f>
        <v>15.60666667</v>
      </c>
      <c r="H39" s="669">
        <f>MAX('Parte 2'!H8:H38)</f>
        <v>5.7</v>
      </c>
      <c r="I39" s="670">
        <f>MIN('Parte 2'!I8:I38)</f>
        <v>0.8</v>
      </c>
      <c r="J39" s="670">
        <f>AVERAGE('Parte 2'!J8:J38)</f>
        <v>1.916037879</v>
      </c>
      <c r="K39" s="669">
        <f>MAX('Parte 2'!K8:K38)</f>
        <v>4.6</v>
      </c>
      <c r="L39" s="670">
        <f>MIN('Parte 2'!L8:L38)</f>
        <v>0.5</v>
      </c>
      <c r="M39" s="670">
        <f>AVERAGE('Parte 2'!M8:M38)</f>
        <v>1.311388889</v>
      </c>
      <c r="N39" s="669">
        <f>MAX('Parte 2'!N8:N38)</f>
        <v>6.6</v>
      </c>
      <c r="O39" s="670">
        <f>MIN('Parte 2'!O8:O38)</f>
        <v>6.1</v>
      </c>
      <c r="P39" s="670">
        <f>AVERAGE('Parte 2'!P8:P38)</f>
        <v>6.235833333</v>
      </c>
      <c r="Q39" s="669">
        <f>MAX('Parte 2'!Q8:Q38)</f>
        <v>6.6</v>
      </c>
      <c r="R39" s="670">
        <f>MIN('Parte 2'!R8:R38)</f>
        <v>6</v>
      </c>
      <c r="S39" s="670">
        <f>AVERAGE('Parte 2'!S8:S38)</f>
        <v>6.453611111</v>
      </c>
      <c r="T39" s="670">
        <f>AVERAGE('Parte 2'!T8:T38)</f>
        <v>1.068965517</v>
      </c>
      <c r="U39" s="637" t="s">
        <v>256</v>
      </c>
      <c r="V39" s="747">
        <f>AVERAGE('Parte 2'!V8:V38)</f>
        <v>0.1313793103</v>
      </c>
      <c r="W39" s="747">
        <f>AVERAGE('Parte 2'!W8:W38)</f>
        <v>0.02035714286</v>
      </c>
    </row>
    <row r="40" ht="11.25" customHeight="1">
      <c r="A40" s="748" t="s">
        <v>232</v>
      </c>
      <c r="B40" s="749"/>
      <c r="C40" s="749"/>
      <c r="D40" s="749"/>
      <c r="E40" s="749"/>
      <c r="F40" s="749"/>
      <c r="G40" s="749"/>
      <c r="H40" s="749"/>
      <c r="I40" s="749"/>
      <c r="J40" s="749"/>
      <c r="K40" s="749"/>
      <c r="L40" s="749"/>
      <c r="M40" s="749"/>
      <c r="N40" s="676"/>
      <c r="O40" s="674"/>
      <c r="P40" s="674"/>
      <c r="Q40" s="674"/>
      <c r="R40" s="674"/>
      <c r="S40" s="674"/>
      <c r="T40" s="674"/>
      <c r="U40" s="674"/>
      <c r="V40" s="674"/>
      <c r="W40" s="675"/>
    </row>
    <row r="41" ht="12.75" customHeight="1">
      <c r="A41" s="677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80"/>
      <c r="N41" s="689"/>
      <c r="O41" s="689"/>
      <c r="P41" s="689"/>
      <c r="Q41" s="689"/>
      <c r="R41" s="689"/>
      <c r="S41" s="678"/>
      <c r="T41" s="678"/>
      <c r="U41" s="678"/>
      <c r="V41" s="678"/>
      <c r="W41" s="680"/>
    </row>
    <row r="42" ht="11.25" customHeight="1">
      <c r="A42" s="686"/>
      <c r="B42" s="687"/>
      <c r="C42" s="687"/>
      <c r="D42" s="687"/>
      <c r="E42" s="687"/>
      <c r="F42" s="687"/>
      <c r="G42" s="687"/>
      <c r="H42" s="687"/>
      <c r="I42" s="687"/>
      <c r="J42" s="687"/>
      <c r="K42" s="687"/>
      <c r="L42" s="687"/>
      <c r="M42" s="687"/>
      <c r="N42" s="683"/>
      <c r="O42" s="684"/>
      <c r="P42" s="684"/>
      <c r="Q42" s="684"/>
      <c r="R42" s="684"/>
      <c r="S42" s="684"/>
      <c r="T42" s="684"/>
      <c r="U42" s="684"/>
      <c r="V42" s="684"/>
      <c r="W42" s="685"/>
    </row>
    <row r="43" ht="11.25" customHeight="1">
      <c r="A43" s="686"/>
      <c r="B43" s="687"/>
      <c r="C43" s="687"/>
      <c r="D43" s="687"/>
      <c r="E43" s="687"/>
      <c r="F43" s="687"/>
      <c r="G43" s="687"/>
      <c r="H43" s="687"/>
      <c r="I43" s="687"/>
      <c r="J43" s="687"/>
      <c r="K43" s="687"/>
      <c r="L43" s="687"/>
      <c r="M43" s="687"/>
      <c r="N43" s="688"/>
      <c r="O43" s="689"/>
      <c r="P43" s="689"/>
      <c r="Q43" s="689"/>
      <c r="R43" s="689"/>
      <c r="S43" s="689"/>
      <c r="T43" s="616"/>
      <c r="U43" s="690"/>
      <c r="V43" s="690"/>
      <c r="W43" s="750" t="s">
        <v>257</v>
      </c>
    </row>
    <row r="44" ht="12.0" customHeight="1">
      <c r="A44" s="694"/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751"/>
      <c r="O44" s="752"/>
      <c r="P44" s="752"/>
      <c r="Q44" s="752"/>
      <c r="R44" s="752"/>
      <c r="S44" s="752"/>
      <c r="T44" s="752"/>
      <c r="U44" s="752"/>
      <c r="V44" s="752"/>
      <c r="W44" s="528"/>
    </row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9"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N40:W40"/>
    <mergeCell ref="N42:W42"/>
    <mergeCell ref="N44:W44"/>
    <mergeCell ref="B6:D6"/>
    <mergeCell ref="E6:G6"/>
    <mergeCell ref="A41:M41"/>
  </mergeCells>
  <printOptions horizontalCentered="1"/>
  <pageMargins bottom="0.590277777777778" footer="0.0" header="0.0" left="0.129861111111111" right="0.120138888888889" top="0.78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8.86"/>
    <col customWidth="1" min="2" max="2" width="6.14"/>
    <col customWidth="1" min="3" max="3" width="6.71"/>
    <col customWidth="1" min="4" max="4" width="7.0"/>
    <col customWidth="1" min="5" max="5" width="7.29"/>
    <col customWidth="1" min="6" max="6" width="5.14"/>
    <col customWidth="1" min="7" max="7" width="5.0"/>
    <col customWidth="1" min="8" max="8" width="4.71"/>
    <col customWidth="1" min="9" max="11" width="6.14"/>
    <col customWidth="1" hidden="1" min="12" max="12" width="11.57"/>
    <col customWidth="1" min="13" max="13" width="7.43"/>
    <col customWidth="1" min="14" max="14" width="7.71"/>
    <col customWidth="1" min="15" max="15" width="7.43"/>
    <col customWidth="1" min="16" max="16" width="7.71"/>
    <col customWidth="1" min="17" max="18" width="6.14"/>
    <col customWidth="1" min="19" max="19" width="6.43"/>
    <col customWidth="1" min="20" max="20" width="4.43"/>
    <col customWidth="1" min="21" max="21" width="4.71"/>
    <col customWidth="1" min="22" max="23" width="8.86"/>
    <col customWidth="1" min="24" max="25" width="10.0"/>
    <col customWidth="1" min="26" max="28" width="8.57"/>
    <col customWidth="1" min="29" max="30" width="9.0"/>
    <col customWidth="1" min="31" max="32" width="8.57"/>
    <col customWidth="1" min="33" max="33" width="25.29"/>
    <col customWidth="1" min="34" max="34" width="6.86"/>
    <col customWidth="1" min="35" max="45" width="8.86"/>
  </cols>
  <sheetData>
    <row r="1" ht="13.5" customHeight="1">
      <c r="A1" s="753"/>
      <c r="B1" s="753"/>
      <c r="C1" s="753"/>
      <c r="D1" s="753"/>
      <c r="E1" s="753"/>
      <c r="F1" s="753"/>
      <c r="G1" s="753"/>
      <c r="H1" s="754" t="s">
        <v>217</v>
      </c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6"/>
      <c r="U1" s="757" t="s">
        <v>247</v>
      </c>
      <c r="V1" s="570"/>
      <c r="W1" s="571"/>
      <c r="X1" s="758"/>
      <c r="Y1" s="758"/>
      <c r="Z1" s="758"/>
      <c r="AA1" s="758"/>
      <c r="AB1" s="758"/>
      <c r="AC1" s="758"/>
      <c r="AD1" s="758"/>
      <c r="AE1" s="758"/>
      <c r="AF1" s="758"/>
      <c r="AG1" s="758"/>
      <c r="AH1" s="758"/>
    </row>
    <row r="2" ht="13.5" customHeight="1">
      <c r="A2" s="753"/>
      <c r="B2" s="753"/>
      <c r="C2" s="753"/>
      <c r="D2" s="753"/>
      <c r="E2" s="753"/>
      <c r="F2" s="753"/>
      <c r="G2" s="753"/>
      <c r="H2" s="759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6"/>
      <c r="U2" s="757">
        <f>'1'!$U$25</f>
        <v>43922</v>
      </c>
      <c r="V2" s="570"/>
      <c r="W2" s="571"/>
      <c r="X2" s="760"/>
      <c r="Y2" s="760"/>
      <c r="Z2" s="760"/>
      <c r="AA2" s="758"/>
      <c r="AB2" s="758"/>
      <c r="AC2" s="758"/>
      <c r="AD2" s="758"/>
      <c r="AE2" s="758"/>
      <c r="AF2" s="758"/>
      <c r="AG2" s="758"/>
      <c r="AH2" s="758"/>
    </row>
    <row r="3" ht="3.0" customHeight="1">
      <c r="A3" s="761"/>
      <c r="B3" s="761"/>
      <c r="C3" s="761"/>
      <c r="D3" s="761"/>
      <c r="E3" s="762"/>
      <c r="F3" s="762"/>
      <c r="G3" s="762"/>
      <c r="H3" s="762"/>
      <c r="I3" s="761"/>
      <c r="J3" s="761"/>
      <c r="K3" s="761"/>
      <c r="L3" s="761"/>
      <c r="M3" s="761"/>
      <c r="N3" s="761"/>
      <c r="O3" s="761"/>
      <c r="P3" s="761"/>
      <c r="Q3" s="761"/>
      <c r="R3" s="761"/>
      <c r="S3" s="761"/>
      <c r="T3" s="761"/>
      <c r="U3" s="762"/>
      <c r="V3" s="762"/>
      <c r="W3" s="762"/>
      <c r="X3" s="758"/>
      <c r="Y3" s="758"/>
      <c r="Z3" s="758"/>
      <c r="AA3" s="758"/>
      <c r="AB3" s="758"/>
      <c r="AC3" s="758"/>
      <c r="AD3" s="758"/>
      <c r="AE3" s="758"/>
      <c r="AF3" s="758"/>
      <c r="AG3" s="758"/>
      <c r="AH3" s="758"/>
    </row>
    <row r="4" ht="36.75" customHeight="1">
      <c r="A4" s="763" t="s">
        <v>219</v>
      </c>
      <c r="B4" s="764" t="s">
        <v>258</v>
      </c>
      <c r="C4" s="570"/>
      <c r="D4" s="571"/>
      <c r="E4" s="765" t="s">
        <v>259</v>
      </c>
      <c r="F4" s="570"/>
      <c r="G4" s="570"/>
      <c r="H4" s="571"/>
      <c r="I4" s="766" t="s">
        <v>260</v>
      </c>
      <c r="J4" s="571"/>
      <c r="K4" s="766" t="s">
        <v>261</v>
      </c>
      <c r="L4" s="571"/>
      <c r="M4" s="767" t="s">
        <v>262</v>
      </c>
      <c r="N4" s="755"/>
      <c r="O4" s="756"/>
      <c r="P4" s="768" t="s">
        <v>263</v>
      </c>
      <c r="Q4" s="765" t="s">
        <v>264</v>
      </c>
      <c r="R4" s="571"/>
      <c r="S4" s="765" t="s">
        <v>265</v>
      </c>
      <c r="T4" s="570"/>
      <c r="U4" s="571"/>
      <c r="V4" s="769" t="s">
        <v>266</v>
      </c>
      <c r="W4" s="769" t="s">
        <v>267</v>
      </c>
      <c r="X4" s="770" t="s">
        <v>268</v>
      </c>
      <c r="Y4" s="770" t="s">
        <v>269</v>
      </c>
      <c r="Z4" s="771" t="s">
        <v>270</v>
      </c>
      <c r="AA4" s="771" t="s">
        <v>271</v>
      </c>
      <c r="AB4" s="772" t="s">
        <v>272</v>
      </c>
      <c r="AC4" s="773" t="s">
        <v>273</v>
      </c>
      <c r="AD4" s="774" t="s">
        <v>274</v>
      </c>
      <c r="AE4" s="775" t="s">
        <v>275</v>
      </c>
      <c r="AF4" s="571"/>
      <c r="AG4" s="776" t="s">
        <v>276</v>
      </c>
      <c r="AH4" s="571"/>
    </row>
    <row r="5" ht="40.5" customHeight="1">
      <c r="A5" s="415"/>
      <c r="B5" s="777" t="s">
        <v>223</v>
      </c>
      <c r="C5" s="778" t="s">
        <v>277</v>
      </c>
      <c r="D5" s="778" t="s">
        <v>278</v>
      </c>
      <c r="E5" s="779" t="s">
        <v>279</v>
      </c>
      <c r="F5" s="780" t="s">
        <v>280</v>
      </c>
      <c r="G5" s="570"/>
      <c r="H5" s="571"/>
      <c r="I5" s="781" t="s">
        <v>281</v>
      </c>
      <c r="J5" s="781" t="s">
        <v>282</v>
      </c>
      <c r="K5" s="781" t="s">
        <v>283</v>
      </c>
      <c r="L5" s="781" t="s">
        <v>284</v>
      </c>
      <c r="M5" s="759"/>
      <c r="N5" s="135"/>
      <c r="O5" s="136"/>
      <c r="P5" s="415"/>
      <c r="Q5" s="782" t="s">
        <v>285</v>
      </c>
      <c r="R5" s="783" t="s">
        <v>286</v>
      </c>
      <c r="S5" s="782" t="s">
        <v>287</v>
      </c>
      <c r="T5" s="783" t="s">
        <v>288</v>
      </c>
      <c r="U5" s="783" t="s">
        <v>286</v>
      </c>
      <c r="V5" s="415"/>
      <c r="W5" s="415"/>
      <c r="X5" s="415"/>
      <c r="Y5" s="415"/>
      <c r="Z5" s="415"/>
      <c r="AA5" s="415"/>
      <c r="AB5" s="415"/>
      <c r="AC5" s="415"/>
      <c r="AD5" s="415"/>
      <c r="AE5" s="784" t="s">
        <v>289</v>
      </c>
      <c r="AF5" s="784" t="s">
        <v>290</v>
      </c>
      <c r="AG5" s="785" t="s">
        <v>291</v>
      </c>
      <c r="AH5" s="785" t="s">
        <v>292</v>
      </c>
    </row>
    <row r="6" ht="13.5" customHeight="1">
      <c r="A6" s="3"/>
      <c r="B6" s="786" t="s">
        <v>229</v>
      </c>
      <c r="C6" s="786" t="s">
        <v>229</v>
      </c>
      <c r="D6" s="786" t="s">
        <v>229</v>
      </c>
      <c r="E6" s="787" t="s">
        <v>129</v>
      </c>
      <c r="F6" s="787" t="s">
        <v>227</v>
      </c>
      <c r="G6" s="787" t="s">
        <v>228</v>
      </c>
      <c r="H6" s="787" t="s">
        <v>229</v>
      </c>
      <c r="I6" s="3"/>
      <c r="J6" s="3"/>
      <c r="K6" s="3"/>
      <c r="L6" s="3"/>
      <c r="M6" s="788" t="s">
        <v>227</v>
      </c>
      <c r="N6" s="788" t="s">
        <v>228</v>
      </c>
      <c r="O6" s="788" t="s">
        <v>229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17.25" customHeight="1">
      <c r="A7" s="789">
        <v>1.0</v>
      </c>
      <c r="B7" s="790">
        <f>'1'!$C$37</f>
        <v>60.2</v>
      </c>
      <c r="C7" s="790">
        <f>'1'!$D$37</f>
        <v>33.1</v>
      </c>
      <c r="D7" s="790">
        <f>'1'!$E$37</f>
        <v>29.1</v>
      </c>
      <c r="E7" s="791">
        <f>'1'!AA32</f>
        <v>38016.72</v>
      </c>
      <c r="F7" s="792">
        <f>MAX('1'!$AB$6:$AB$29)</f>
        <v>77.02991453</v>
      </c>
      <c r="G7" s="792">
        <f>MIN('1'!$AB$6:$AB$29)</f>
        <v>65.64735159</v>
      </c>
      <c r="H7" s="792">
        <f>'1'!$AB$32</f>
        <v>66.47601613</v>
      </c>
      <c r="I7" s="793">
        <f>'1'!$AL$40</f>
        <v>0</v>
      </c>
      <c r="J7" s="794">
        <f>'1'!$AL$41</f>
        <v>0</v>
      </c>
      <c r="K7" s="793">
        <f>'1'!$AQ$40</f>
        <v>2383.5</v>
      </c>
      <c r="L7" s="794">
        <f>'1'!$AQ$41</f>
        <v>8.320870356</v>
      </c>
      <c r="M7" s="795">
        <f>'1'!$O$20</f>
        <v>3.8</v>
      </c>
      <c r="N7" s="795">
        <f>'1'!$O$21</f>
        <v>3.5</v>
      </c>
      <c r="O7" s="795">
        <f>'1'!$O$19</f>
        <v>3.625</v>
      </c>
      <c r="P7" s="796">
        <f>'1'!$Y$34</f>
        <v>3315.375</v>
      </c>
      <c r="Q7" s="791" t="str">
        <f>'1'!$AB$36</f>
        <v/>
      </c>
      <c r="R7" s="797" t="s">
        <v>293</v>
      </c>
      <c r="S7" s="791" t="str">
        <f>'1'!$Y$36</f>
        <v/>
      </c>
      <c r="T7" s="798">
        <v>1.0</v>
      </c>
      <c r="U7" s="797">
        <v>80.0</v>
      </c>
      <c r="V7" s="799">
        <f>'1'!$A$41</f>
        <v>12</v>
      </c>
      <c r="W7" s="799">
        <f>'1'!$J$41</f>
        <v>12</v>
      </c>
      <c r="X7" s="800">
        <f>'1'!$B$41</f>
        <v>12</v>
      </c>
      <c r="Y7" s="800">
        <f>'1'!$H$45</f>
        <v>12</v>
      </c>
      <c r="Z7" s="801">
        <f>'1'!$C$41</f>
        <v>12</v>
      </c>
      <c r="AA7" s="801">
        <f>'1'!$O$41</f>
        <v>12</v>
      </c>
      <c r="AB7" s="801">
        <f>'1'!$Q$45</f>
        <v>0</v>
      </c>
      <c r="AC7" s="802">
        <f>'1'!$O$51</f>
        <v>12</v>
      </c>
      <c r="AD7" s="803">
        <f>'1'!$R$51</f>
        <v>12</v>
      </c>
      <c r="AE7" s="804">
        <f>'1'!$O$57</f>
        <v>12</v>
      </c>
      <c r="AF7" s="804">
        <f>'1'!$R$57</f>
        <v>12</v>
      </c>
      <c r="AG7" s="805">
        <f>'1'!$L$45</f>
        <v>1</v>
      </c>
      <c r="AH7" s="806">
        <f>'1'!$L$37</f>
        <v>0.15</v>
      </c>
    </row>
    <row r="8" ht="17.25" customHeight="1">
      <c r="A8" s="789">
        <v>2.0</v>
      </c>
      <c r="B8" s="790">
        <f>'2'!$C$37</f>
        <v>72.3</v>
      </c>
      <c r="C8" s="790">
        <f>'2'!$D$37</f>
        <v>54.2</v>
      </c>
      <c r="D8" s="790">
        <f>'2'!$E$37</f>
        <v>36.1</v>
      </c>
      <c r="E8" s="791">
        <f>'2'!AA32</f>
        <v>39939.9</v>
      </c>
      <c r="F8" s="792">
        <f>MAX('2'!$AB$6:$AB$29)</f>
        <v>100.5106209</v>
      </c>
      <c r="G8" s="792">
        <f>MIN('2'!$AB$6:$AB$29)</f>
        <v>65.19607843</v>
      </c>
      <c r="H8" s="792">
        <f>'2'!$AB$32</f>
        <v>74.22244508</v>
      </c>
      <c r="I8" s="793">
        <f>'2'!$AL$40</f>
        <v>0</v>
      </c>
      <c r="J8" s="794">
        <f>'2'!$AL$41</f>
        <v>0</v>
      </c>
      <c r="K8" s="793">
        <f>'2'!$AQ$40</f>
        <v>1967.333333</v>
      </c>
      <c r="L8" s="794">
        <f>'2'!$AQ$41</f>
        <v>6.712707057</v>
      </c>
      <c r="M8" s="795">
        <f>'2'!$O$20</f>
        <v>3.6</v>
      </c>
      <c r="N8" s="795">
        <f>'2'!$O$21</f>
        <v>3.5</v>
      </c>
      <c r="O8" s="795">
        <f>'2'!$O$19</f>
        <v>3.566666667</v>
      </c>
      <c r="P8" s="796">
        <f>'2'!$Y$34</f>
        <v>3392.083333</v>
      </c>
      <c r="Q8" s="791">
        <f>'2'!$AB$36</f>
        <v>4</v>
      </c>
      <c r="R8" s="797" t="s">
        <v>293</v>
      </c>
      <c r="S8" s="791">
        <f>'2'!$Y$36</f>
        <v>1</v>
      </c>
      <c r="T8" s="798">
        <v>1.0</v>
      </c>
      <c r="U8" s="797">
        <v>80.0</v>
      </c>
      <c r="V8" s="799">
        <f>'2'!$A$41</f>
        <v>12</v>
      </c>
      <c r="W8" s="799">
        <f>'2'!$J$41</f>
        <v>12</v>
      </c>
      <c r="X8" s="800">
        <f>'2'!$B$41</f>
        <v>12</v>
      </c>
      <c r="Y8" s="800">
        <f>'2'!$H$45</f>
        <v>12</v>
      </c>
      <c r="Z8" s="801">
        <f>'2'!$C$41</f>
        <v>12</v>
      </c>
      <c r="AA8" s="801">
        <f>'2'!$O$41</f>
        <v>6</v>
      </c>
      <c r="AB8" s="801">
        <f>'2'!$Q$45</f>
        <v>3</v>
      </c>
      <c r="AC8" s="802">
        <f>'2'!$O$51</f>
        <v>12</v>
      </c>
      <c r="AD8" s="803">
        <f>'2'!$R$51</f>
        <v>12</v>
      </c>
      <c r="AE8" s="804">
        <f>'2'!$O$57</f>
        <v>12</v>
      </c>
      <c r="AF8" s="804">
        <f>'2'!$R$57</f>
        <v>12</v>
      </c>
      <c r="AG8" s="805">
        <f>'2'!$L$45</f>
        <v>1</v>
      </c>
      <c r="AH8" s="806">
        <f>'2'!$L$37</f>
        <v>0.1</v>
      </c>
    </row>
    <row r="9" ht="17.25" customHeight="1">
      <c r="A9" s="789">
        <v>3.0</v>
      </c>
      <c r="B9" s="790">
        <f>'3'!$C$37</f>
        <v>72.3</v>
      </c>
      <c r="C9" s="790">
        <f>'3'!$D$37</f>
        <v>48.2</v>
      </c>
      <c r="D9" s="790">
        <f>'3'!$E$37</f>
        <v>33.1</v>
      </c>
      <c r="E9" s="791">
        <f>'3'!AA32</f>
        <v>55062</v>
      </c>
      <c r="F9" s="792">
        <f>MAX('3'!$AB$6:$AB$29)</f>
        <v>101.1053583</v>
      </c>
      <c r="G9" s="792">
        <f>MIN('3'!$AB$6:$AB$29)</f>
        <v>83.7191358</v>
      </c>
      <c r="H9" s="792">
        <f>'3'!$AB$32</f>
        <v>94.13855076</v>
      </c>
      <c r="I9" s="793">
        <f>'3'!$AL$40</f>
        <v>0</v>
      </c>
      <c r="J9" s="794">
        <f>'3'!$AL$41</f>
        <v>0</v>
      </c>
      <c r="K9" s="793">
        <f>'3'!$AQ$40</f>
        <v>2330.533333</v>
      </c>
      <c r="L9" s="794">
        <f>'3'!$AQ$41</f>
        <v>7.969498964</v>
      </c>
      <c r="M9" s="795">
        <f>'3'!$O$20</f>
        <v>3.8</v>
      </c>
      <c r="N9" s="795">
        <f>'3'!$O$21</f>
        <v>3.6</v>
      </c>
      <c r="O9" s="795">
        <f>'3'!$O$19</f>
        <v>3.65</v>
      </c>
      <c r="P9" s="796">
        <f>'3'!$Y$34</f>
        <v>3384.625</v>
      </c>
      <c r="Q9" s="791" t="str">
        <f>'3'!$AB$36</f>
        <v/>
      </c>
      <c r="R9" s="797" t="s">
        <v>293</v>
      </c>
      <c r="S9" s="791">
        <f>'3'!$Y$36</f>
        <v>3436</v>
      </c>
      <c r="T9" s="798">
        <v>1.0</v>
      </c>
      <c r="U9" s="797">
        <v>80.0</v>
      </c>
      <c r="V9" s="799">
        <f>'3'!$A$41</f>
        <v>12</v>
      </c>
      <c r="W9" s="799">
        <f>'3'!$J$41</f>
        <v>12</v>
      </c>
      <c r="X9" s="800">
        <f>'3'!$B$41</f>
        <v>12</v>
      </c>
      <c r="Y9" s="800">
        <f>'3'!$H$45</f>
        <v>12</v>
      </c>
      <c r="Z9" s="801">
        <f>'3'!$C$41</f>
        <v>12</v>
      </c>
      <c r="AA9" s="801">
        <f>'3'!$O$41</f>
        <v>2</v>
      </c>
      <c r="AB9" s="801">
        <f>'3'!$Q$45</f>
        <v>6</v>
      </c>
      <c r="AC9" s="802">
        <f>'3'!$O$51</f>
        <v>12</v>
      </c>
      <c r="AD9" s="803">
        <f>'3'!$R$51</f>
        <v>12</v>
      </c>
      <c r="AE9" s="804">
        <f>'3'!$O$57</f>
        <v>12</v>
      </c>
      <c r="AF9" s="804">
        <f>'3'!$R$57</f>
        <v>12</v>
      </c>
      <c r="AG9" s="805">
        <f>'3'!$L$45</f>
        <v>0</v>
      </c>
      <c r="AH9" s="806" t="str">
        <f>'3'!$L$37</f>
        <v/>
      </c>
    </row>
    <row r="10" ht="17.25" customHeight="1">
      <c r="A10" s="789">
        <v>4.0</v>
      </c>
      <c r="B10" s="790" t="str">
        <f>'4'!$C$37</f>
        <v/>
      </c>
      <c r="C10" s="790" t="str">
        <f>'4'!$D$37</f>
        <v/>
      </c>
      <c r="D10" s="790" t="str">
        <f>'4'!$E$37</f>
        <v/>
      </c>
      <c r="E10" s="791">
        <f>'4'!AA32</f>
        <v>49476</v>
      </c>
      <c r="F10" s="792">
        <f>MAX('4'!$AB$6:$AB$29)</f>
        <v>86.94790296</v>
      </c>
      <c r="G10" s="792">
        <f>MIN('4'!$AB$6:$AB$29)</f>
        <v>82.67959701</v>
      </c>
      <c r="H10" s="792">
        <f>'4'!$AB$32</f>
        <v>85.17901009</v>
      </c>
      <c r="I10" s="793">
        <f>'4'!$AL$40</f>
        <v>0</v>
      </c>
      <c r="J10" s="794">
        <f>'4'!$AL$41</f>
        <v>0</v>
      </c>
      <c r="K10" s="793">
        <f>'4'!$AQ$40</f>
        <v>2329.422168</v>
      </c>
      <c r="L10" s="794">
        <f>'4'!$AQ$41</f>
        <v>8.01950417</v>
      </c>
      <c r="M10" s="795">
        <f>'4'!$O$20</f>
        <v>3.5</v>
      </c>
      <c r="N10" s="795">
        <f>'4'!$O$21</f>
        <v>3.5</v>
      </c>
      <c r="O10" s="795">
        <f>'4'!$O$19</f>
        <v>3.65</v>
      </c>
      <c r="P10" s="796">
        <f>'4'!$Y$34</f>
        <v>3361.916667</v>
      </c>
      <c r="Q10" s="791" t="str">
        <f>'4'!$AB$36</f>
        <v/>
      </c>
      <c r="R10" s="797" t="s">
        <v>293</v>
      </c>
      <c r="S10" s="791" t="str">
        <f>'4'!$Y$36</f>
        <v/>
      </c>
      <c r="T10" s="798">
        <v>1.0</v>
      </c>
      <c r="U10" s="797">
        <v>80.0</v>
      </c>
      <c r="V10" s="799">
        <f>'4'!$A$41</f>
        <v>4</v>
      </c>
      <c r="W10" s="799">
        <f>'4'!$J$41</f>
        <v>4</v>
      </c>
      <c r="X10" s="800">
        <f>'4'!$B$41</f>
        <v>4</v>
      </c>
      <c r="Y10" s="800">
        <f>'4'!$H$45</f>
        <v>4</v>
      </c>
      <c r="Z10" s="801">
        <f>'4'!$C$41</f>
        <v>4</v>
      </c>
      <c r="AA10" s="801">
        <f>'4'!$O$41</f>
        <v>0</v>
      </c>
      <c r="AB10" s="801">
        <f>'4'!$Q$45</f>
        <v>2</v>
      </c>
      <c r="AC10" s="802">
        <f>'4'!$O$51</f>
        <v>4</v>
      </c>
      <c r="AD10" s="803">
        <f>'4'!$R$51</f>
        <v>4</v>
      </c>
      <c r="AE10" s="804">
        <f>'4'!$O$57</f>
        <v>4</v>
      </c>
      <c r="AF10" s="804">
        <f>'4'!$R$57</f>
        <v>4</v>
      </c>
      <c r="AG10" s="805">
        <f>'4'!$L$45</f>
        <v>0</v>
      </c>
      <c r="AH10" s="806" t="str">
        <f>'4'!$L$37</f>
        <v/>
      </c>
    </row>
    <row r="11" ht="17.25" customHeight="1">
      <c r="A11" s="789">
        <v>5.0</v>
      </c>
      <c r="B11" s="790">
        <f>'5'!$C$37</f>
        <v>54.2</v>
      </c>
      <c r="C11" s="790">
        <f>'5'!$D$37</f>
        <v>22.1</v>
      </c>
      <c r="D11" s="790">
        <f>'5'!$E$37</f>
        <v>18.1</v>
      </c>
      <c r="E11" s="791">
        <f>'5'!AA32</f>
        <v>49476</v>
      </c>
      <c r="F11" s="792">
        <f>MAX('5'!$AB$6:$AB$29)</f>
        <v>89.61484959</v>
      </c>
      <c r="G11" s="792">
        <f>MIN('5'!$AB$6:$AB$29)</f>
        <v>84.91086727</v>
      </c>
      <c r="H11" s="792">
        <f>'5'!$AB$32</f>
        <v>87.84042164</v>
      </c>
      <c r="I11" s="793">
        <f>'5'!$AL$40</f>
        <v>0</v>
      </c>
      <c r="J11" s="794">
        <f>'5'!$AL$41</f>
        <v>0</v>
      </c>
      <c r="K11" s="793">
        <f>'5'!$AQ$40</f>
        <v>2103.533333</v>
      </c>
      <c r="L11" s="794">
        <f>'5'!$AQ$41</f>
        <v>7.466995704</v>
      </c>
      <c r="M11" s="795">
        <f>'5'!$O$20</f>
        <v>3.8</v>
      </c>
      <c r="N11" s="795">
        <f>'5'!$O$21</f>
        <v>3.6</v>
      </c>
      <c r="O11" s="795">
        <f>'5'!$O$19</f>
        <v>3.766666667</v>
      </c>
      <c r="P11" s="796">
        <f>'5'!$Y$34</f>
        <v>3260.541667</v>
      </c>
      <c r="Q11" s="791" t="str">
        <f>'5'!$AB$36</f>
        <v/>
      </c>
      <c r="R11" s="797" t="s">
        <v>293</v>
      </c>
      <c r="S11" s="791" t="str">
        <f>'5'!$Y$36</f>
        <v/>
      </c>
      <c r="T11" s="798">
        <v>1.0</v>
      </c>
      <c r="U11" s="797">
        <v>80.0</v>
      </c>
      <c r="V11" s="799">
        <f>'5'!$A$41</f>
        <v>12</v>
      </c>
      <c r="W11" s="799">
        <f>'5'!$J$41</f>
        <v>12</v>
      </c>
      <c r="X11" s="800">
        <f>'5'!$B$41</f>
        <v>12</v>
      </c>
      <c r="Y11" s="800">
        <f>'5'!$H$45</f>
        <v>12</v>
      </c>
      <c r="Z11" s="801">
        <f>'5'!$C$41</f>
        <v>12</v>
      </c>
      <c r="AA11" s="801">
        <f>'5'!$O$41</f>
        <v>0</v>
      </c>
      <c r="AB11" s="801">
        <f>'5'!$Q$45</f>
        <v>12</v>
      </c>
      <c r="AC11" s="802">
        <f>'5'!$O$51</f>
        <v>12</v>
      </c>
      <c r="AD11" s="803">
        <f>'5'!$R$51</f>
        <v>12</v>
      </c>
      <c r="AE11" s="804">
        <f>'5'!$O$57</f>
        <v>12</v>
      </c>
      <c r="AF11" s="804">
        <f>'5'!$R$57</f>
        <v>12</v>
      </c>
      <c r="AG11" s="805">
        <f>'5'!$L$45</f>
        <v>1</v>
      </c>
      <c r="AH11" s="806">
        <f>'5'!$L$37</f>
        <v>0.1</v>
      </c>
    </row>
    <row r="12" ht="17.25" customHeight="1">
      <c r="A12" s="789">
        <v>6.0</v>
      </c>
      <c r="B12" s="790">
        <f>'6'!$C$37</f>
        <v>78.3</v>
      </c>
      <c r="C12" s="790">
        <f>'6'!$D$37</f>
        <v>28.1</v>
      </c>
      <c r="D12" s="790">
        <f>'6'!$E$37</f>
        <v>26.1</v>
      </c>
      <c r="E12" s="791">
        <f>'6'!AA32</f>
        <v>47414.5</v>
      </c>
      <c r="F12" s="792">
        <f>MAX('6'!$AB$6:$AB$29)</f>
        <v>85.08835633</v>
      </c>
      <c r="G12" s="792">
        <f>MIN('6'!$AB$6:$AB$29)</f>
        <v>83.40112535</v>
      </c>
      <c r="H12" s="792">
        <f>'6'!$AB$32</f>
        <v>84.38721745</v>
      </c>
      <c r="I12" s="793">
        <f>'6'!$AL$40</f>
        <v>0</v>
      </c>
      <c r="J12" s="794">
        <f>'6'!$AL$41</f>
        <v>0</v>
      </c>
      <c r="K12" s="793">
        <f>'6'!$AQ$40</f>
        <v>2133.8</v>
      </c>
      <c r="L12" s="794">
        <f>'6'!$AQ$41</f>
        <v>7.63482781</v>
      </c>
      <c r="M12" s="795">
        <f>'6'!$O$20</f>
        <v>3.8</v>
      </c>
      <c r="N12" s="795">
        <f>'6'!$O$21</f>
        <v>2.2</v>
      </c>
      <c r="O12" s="795">
        <f>'6'!$O$19</f>
        <v>3.175</v>
      </c>
      <c r="P12" s="796">
        <f>'6'!$Y$34</f>
        <v>3234.75</v>
      </c>
      <c r="Q12" s="791">
        <f>'6'!$AB$36</f>
        <v>5</v>
      </c>
      <c r="R12" s="797" t="s">
        <v>293</v>
      </c>
      <c r="S12" s="791">
        <f>'6'!$Y$36</f>
        <v>6</v>
      </c>
      <c r="T12" s="798">
        <v>1.0</v>
      </c>
      <c r="U12" s="797">
        <v>80.0</v>
      </c>
      <c r="V12" s="799">
        <f>'6'!$A$41</f>
        <v>12</v>
      </c>
      <c r="W12" s="799">
        <f>'6'!$J$41</f>
        <v>12</v>
      </c>
      <c r="X12" s="800">
        <f>'6'!$B$41</f>
        <v>12</v>
      </c>
      <c r="Y12" s="800">
        <f>'6'!$H$45</f>
        <v>12</v>
      </c>
      <c r="Z12" s="801">
        <f>'6'!$C$41</f>
        <v>12</v>
      </c>
      <c r="AA12" s="801">
        <f>'6'!$O$41</f>
        <v>3</v>
      </c>
      <c r="AB12" s="801">
        <f>'6'!$Q$45</f>
        <v>9</v>
      </c>
      <c r="AC12" s="802">
        <f>'6'!$O$51</f>
        <v>12</v>
      </c>
      <c r="AD12" s="803">
        <f>'6'!$R$51</f>
        <v>12</v>
      </c>
      <c r="AE12" s="804">
        <f>'6'!$O$57</f>
        <v>12</v>
      </c>
      <c r="AF12" s="804">
        <f>'6'!$R$57</f>
        <v>12</v>
      </c>
      <c r="AG12" s="805">
        <f>'6'!$L$45</f>
        <v>1</v>
      </c>
      <c r="AH12" s="806" t="str">
        <f>'6'!$L$37</f>
        <v>sem reagente Al  - 2</v>
      </c>
    </row>
    <row r="13" ht="17.25" customHeight="1">
      <c r="A13" s="789">
        <v>7.0</v>
      </c>
      <c r="B13" s="790">
        <f>'7'!$C$37</f>
        <v>58.2</v>
      </c>
      <c r="C13" s="790">
        <f>'7'!$D$37</f>
        <v>26.1</v>
      </c>
      <c r="D13" s="790">
        <f>'7'!$E$37</f>
        <v>22.1</v>
      </c>
      <c r="E13" s="791">
        <f>'7'!AA32</f>
        <v>47241.6</v>
      </c>
      <c r="F13" s="792">
        <f>MAX('7'!$AB$6:$AB$29)</f>
        <v>85.08835633</v>
      </c>
      <c r="G13" s="792">
        <f>MIN('7'!$AB$6:$AB$29)</f>
        <v>83.40112535</v>
      </c>
      <c r="H13" s="792">
        <f>'7'!$AB$32</f>
        <v>84.38721745</v>
      </c>
      <c r="I13" s="793">
        <f>'7'!$AL$40</f>
        <v>0</v>
      </c>
      <c r="J13" s="794">
        <f>'7'!$AL$41</f>
        <v>0</v>
      </c>
      <c r="K13" s="793">
        <f>'7'!$AQ$40</f>
        <v>662.0833333</v>
      </c>
      <c r="L13" s="794">
        <f>'7'!$AQ$41</f>
        <v>2.306685527</v>
      </c>
      <c r="M13" s="795">
        <f>'7'!$O$20</f>
        <v>3.6</v>
      </c>
      <c r="N13" s="795">
        <f>'7'!$O$21</f>
        <v>3.6</v>
      </c>
      <c r="O13" s="795">
        <f>'7'!$O$19</f>
        <v>3.6</v>
      </c>
      <c r="P13" s="796">
        <f>'7'!$Y$34</f>
        <v>3322.083333</v>
      </c>
      <c r="Q13" s="791" t="str">
        <f>'7'!$AB$36</f>
        <v/>
      </c>
      <c r="R13" s="797" t="s">
        <v>293</v>
      </c>
      <c r="S13" s="791">
        <f>'6'!$Y$36</f>
        <v>6</v>
      </c>
      <c r="T13" s="798">
        <v>1.0</v>
      </c>
      <c r="U13" s="797">
        <v>80.0</v>
      </c>
      <c r="V13" s="799">
        <f>'7'!$A$41</f>
        <v>12</v>
      </c>
      <c r="W13" s="799">
        <f>'7'!$J$41</f>
        <v>12</v>
      </c>
      <c r="X13" s="800">
        <f>'7'!$B$41</f>
        <v>12</v>
      </c>
      <c r="Y13" s="800">
        <f>'7'!$H$45</f>
        <v>12</v>
      </c>
      <c r="Z13" s="801">
        <f>'7'!$C$41</f>
        <v>12</v>
      </c>
      <c r="AA13" s="801">
        <f>'7'!$O$41</f>
        <v>0</v>
      </c>
      <c r="AB13" s="801">
        <f>'7'!$Q$45</f>
        <v>12</v>
      </c>
      <c r="AC13" s="802">
        <f>'7'!$O$51</f>
        <v>12</v>
      </c>
      <c r="AD13" s="803">
        <f>'7'!$R$51</f>
        <v>12</v>
      </c>
      <c r="AE13" s="804">
        <f>'7'!$O$57</f>
        <v>12</v>
      </c>
      <c r="AF13" s="804">
        <f>'7'!$R$57</f>
        <v>12</v>
      </c>
      <c r="AG13" s="805">
        <f>'7'!$L$45</f>
        <v>0</v>
      </c>
      <c r="AH13" s="806" t="str">
        <f>'7'!$L$37</f>
        <v/>
      </c>
    </row>
    <row r="14" ht="13.5" customHeight="1">
      <c r="A14" s="789">
        <v>8.0</v>
      </c>
      <c r="B14" s="807">
        <f>'8'!C37</f>
        <v>74.2</v>
      </c>
      <c r="C14" s="807">
        <f>'8'!$D$37</f>
        <v>28.2</v>
      </c>
      <c r="D14" s="807">
        <f>'8'!$E$37</f>
        <v>24.2</v>
      </c>
      <c r="E14" s="791">
        <f>'8'!AA32</f>
        <v>47241.6</v>
      </c>
      <c r="F14" s="792">
        <f>MAX('8'!$AB$6:$AB$29)</f>
        <v>82.32125531</v>
      </c>
      <c r="G14" s="792">
        <f>MIN('8'!$AB$6:$AB$29)</f>
        <v>78.76372483</v>
      </c>
      <c r="H14" s="792">
        <f>'8'!$AB$32</f>
        <v>81.08056001</v>
      </c>
      <c r="I14" s="793">
        <f>'8'!$AL$40</f>
        <v>0</v>
      </c>
      <c r="J14" s="794">
        <f>'8'!$AL$41</f>
        <v>0</v>
      </c>
      <c r="K14" s="793">
        <f>'8'!$AQ$40</f>
        <v>2270</v>
      </c>
      <c r="L14" s="794">
        <f>'8'!$AQ$41</f>
        <v>7.790888436</v>
      </c>
      <c r="M14" s="795">
        <f>'8'!$O$20</f>
        <v>3.6</v>
      </c>
      <c r="N14" s="795">
        <f>'8'!$O$21</f>
        <v>3.2</v>
      </c>
      <c r="O14" s="795">
        <f>'8'!$O$19</f>
        <v>3.391666667</v>
      </c>
      <c r="P14" s="796">
        <f>'8'!$Y$34</f>
        <v>3372.291667</v>
      </c>
      <c r="Q14" s="791" t="str">
        <f>'8'!$AB$36</f>
        <v/>
      </c>
      <c r="R14" s="797" t="s">
        <v>293</v>
      </c>
      <c r="S14" s="791">
        <f>'8'!$Y$36</f>
        <v>3343</v>
      </c>
      <c r="T14" s="798">
        <v>1.0</v>
      </c>
      <c r="U14" s="797">
        <v>80.0</v>
      </c>
      <c r="V14" s="799">
        <f>'8'!$A$41</f>
        <v>12</v>
      </c>
      <c r="W14" s="799">
        <f>'8'!$J$41</f>
        <v>12</v>
      </c>
      <c r="X14" s="800">
        <f>'8'!$B$41</f>
        <v>12</v>
      </c>
      <c r="Y14" s="800">
        <f>'8'!$H$45</f>
        <v>12</v>
      </c>
      <c r="Z14" s="801">
        <f>'8'!$C$41</f>
        <v>12</v>
      </c>
      <c r="AA14" s="801">
        <f>'8'!$O$41</f>
        <v>6</v>
      </c>
      <c r="AB14" s="801">
        <f>'8'!$Q$45</f>
        <v>2</v>
      </c>
      <c r="AC14" s="802">
        <f>'8'!$O$51</f>
        <v>12</v>
      </c>
      <c r="AD14" s="803">
        <f>'8'!$R$51</f>
        <v>12</v>
      </c>
      <c r="AE14" s="804">
        <f>'8'!$O$57</f>
        <v>12</v>
      </c>
      <c r="AF14" s="804">
        <f>'8'!$R$57</f>
        <v>12</v>
      </c>
      <c r="AG14" s="805">
        <f>'8'!$L$45</f>
        <v>0</v>
      </c>
      <c r="AH14" s="806" t="str">
        <f>'8'!$L$37</f>
        <v/>
      </c>
    </row>
    <row r="15" ht="17.25" customHeight="1">
      <c r="A15" s="789">
        <v>9.0</v>
      </c>
      <c r="B15" s="807">
        <f>'9'!$C$37</f>
        <v>58.2</v>
      </c>
      <c r="C15" s="807">
        <f>'9'!$D$37</f>
        <v>28.1</v>
      </c>
      <c r="D15" s="807">
        <f>'9'!$E$37</f>
        <v>23.1</v>
      </c>
      <c r="E15" s="791">
        <f>'9'!AA32</f>
        <v>46164.3</v>
      </c>
      <c r="F15" s="792" t="str">
        <f>MAX('9'!$AB$6:$AB$29)</f>
        <v>#DIV/0!</v>
      </c>
      <c r="G15" s="792" t="str">
        <f>MIN('9'!$AB$6:$AB$29)</f>
        <v>#DIV/0!</v>
      </c>
      <c r="H15" s="792" t="str">
        <f>'9'!$AB$32</f>
        <v>#DIV/0!</v>
      </c>
      <c r="I15" s="793">
        <f>'9'!$AL$40</f>
        <v>0</v>
      </c>
      <c r="J15" s="794">
        <f>'9'!$AL$41</f>
        <v>0</v>
      </c>
      <c r="K15" s="793">
        <f>'9'!$AQ$40</f>
        <v>2270</v>
      </c>
      <c r="L15" s="794">
        <f>'9'!$AQ$41</f>
        <v>8.367799822</v>
      </c>
      <c r="M15" s="795">
        <f>'9'!$O$20</f>
        <v>3.6</v>
      </c>
      <c r="N15" s="795">
        <f>'9'!$O$21</f>
        <v>3.3</v>
      </c>
      <c r="O15" s="795">
        <f>'9'!$O$19</f>
        <v>3.5</v>
      </c>
      <c r="P15" s="796">
        <f>'9'!$Y$34</f>
        <v>3276.304348</v>
      </c>
      <c r="Q15" s="791">
        <f>'9'!$AB$36</f>
        <v>5</v>
      </c>
      <c r="R15" s="797" t="s">
        <v>293</v>
      </c>
      <c r="S15" s="791" t="str">
        <f>'9'!$Y$36</f>
        <v/>
      </c>
      <c r="T15" s="798">
        <v>1.0</v>
      </c>
      <c r="U15" s="797">
        <v>80.0</v>
      </c>
      <c r="V15" s="799">
        <f>'9'!$A$41</f>
        <v>12</v>
      </c>
      <c r="W15" s="799">
        <f>'9'!$J$41</f>
        <v>12</v>
      </c>
      <c r="X15" s="800">
        <f>'9'!$B$41</f>
        <v>12</v>
      </c>
      <c r="Y15" s="800">
        <f>'9'!$H$45</f>
        <v>12</v>
      </c>
      <c r="Z15" s="801">
        <f>'9'!$C$41</f>
        <v>12</v>
      </c>
      <c r="AA15" s="801">
        <f>'9'!$O$41</f>
        <v>6</v>
      </c>
      <c r="AB15" s="801">
        <f>'9'!$Q$45</f>
        <v>6</v>
      </c>
      <c r="AC15" s="802">
        <f>'9'!$O$51</f>
        <v>12</v>
      </c>
      <c r="AD15" s="803">
        <f>'9'!$R$51</f>
        <v>12</v>
      </c>
      <c r="AE15" s="804">
        <f>'9'!$O$57</f>
        <v>12</v>
      </c>
      <c r="AF15" s="804">
        <f>'9'!$R$57</f>
        <v>12</v>
      </c>
      <c r="AG15" s="805">
        <f>'9'!$L$45</f>
        <v>0</v>
      </c>
      <c r="AH15" s="806" t="str">
        <f>'9'!$L$37</f>
        <v/>
      </c>
    </row>
    <row r="16" ht="17.25" customHeight="1">
      <c r="A16" s="789">
        <v>10.0</v>
      </c>
      <c r="B16" s="807">
        <f>'10'!$C$37</f>
        <v>56.2</v>
      </c>
      <c r="C16" s="807">
        <f>'10'!$D$37</f>
        <v>32.1</v>
      </c>
      <c r="D16" s="807">
        <f>'10'!$E$37</f>
        <v>24.1</v>
      </c>
      <c r="E16" s="791">
        <f>'10'!AA32</f>
        <v>44195.9</v>
      </c>
      <c r="F16" s="792">
        <f>MAX('10'!$AB$6:$AB$29)</f>
        <v>78.82762313</v>
      </c>
      <c r="G16" s="792">
        <f>MIN('10'!$AB$6:$AB$29)</f>
        <v>77.0183293</v>
      </c>
      <c r="H16" s="792">
        <f>'10'!$AB$32</f>
        <v>77.94587775</v>
      </c>
      <c r="I16" s="793">
        <f>'10'!$AL$40</f>
        <v>0</v>
      </c>
      <c r="J16" s="794">
        <f>'10'!$AL$41</f>
        <v>0</v>
      </c>
      <c r="K16" s="793">
        <f>'10'!$AQ$40</f>
        <v>2270</v>
      </c>
      <c r="L16" s="794">
        <f>'10'!$AQ$41</f>
        <v>8.007054674</v>
      </c>
      <c r="M16" s="795">
        <f>'10'!$O$20</f>
        <v>3.6</v>
      </c>
      <c r="N16" s="795">
        <f>'10'!$O$21</f>
        <v>3.6</v>
      </c>
      <c r="O16" s="795">
        <f>'10'!$O$19</f>
        <v>3.6</v>
      </c>
      <c r="P16" s="796">
        <f>'10'!$Y$34</f>
        <v>3281.25</v>
      </c>
      <c r="Q16" s="791">
        <f>'10'!$AB$36</f>
        <v>4</v>
      </c>
      <c r="R16" s="797">
        <v>0.0</v>
      </c>
      <c r="S16" s="791">
        <f>'10'!$Y$36</f>
        <v>4</v>
      </c>
      <c r="T16" s="798">
        <v>1.0</v>
      </c>
      <c r="U16" s="797">
        <v>80.0</v>
      </c>
      <c r="V16" s="799">
        <f>'10'!$A$41</f>
        <v>12</v>
      </c>
      <c r="W16" s="799">
        <f>'10'!$J$41</f>
        <v>12</v>
      </c>
      <c r="X16" s="800">
        <f>'10'!$B$41</f>
        <v>12</v>
      </c>
      <c r="Y16" s="800">
        <f>'10'!$H$45</f>
        <v>12</v>
      </c>
      <c r="Z16" s="801">
        <f>'10'!$C$41</f>
        <v>12</v>
      </c>
      <c r="AA16" s="801">
        <f>'10'!$O$41</f>
        <v>9</v>
      </c>
      <c r="AB16" s="801">
        <f>'10'!$Q$45</f>
        <v>3</v>
      </c>
      <c r="AC16" s="802">
        <f>'10'!$O$51</f>
        <v>12</v>
      </c>
      <c r="AD16" s="803">
        <f>'10'!$R$51</f>
        <v>12</v>
      </c>
      <c r="AE16" s="804">
        <f>'10'!$O$57</f>
        <v>12</v>
      </c>
      <c r="AF16" s="804">
        <f>'10'!$R$57</f>
        <v>12</v>
      </c>
      <c r="AG16" s="805">
        <f>'10'!$L$45</f>
        <v>1</v>
      </c>
      <c r="AH16" s="806" t="str">
        <f>'10'!$L$37</f>
        <v>xxx</v>
      </c>
    </row>
    <row r="17" ht="17.25" customHeight="1">
      <c r="A17" s="789">
        <v>11.0</v>
      </c>
      <c r="B17" s="807">
        <f>'11'!$C$37</f>
        <v>58.2</v>
      </c>
      <c r="C17" s="807">
        <f>'11'!$D$37</f>
        <v>34.1</v>
      </c>
      <c r="D17" s="807">
        <f>'11'!$E$37</f>
        <v>24.1</v>
      </c>
      <c r="E17" s="791">
        <f>'11'!AA32</f>
        <v>42340.55</v>
      </c>
      <c r="F17" s="792">
        <f>MAX('11'!$AB$6:$AB$29)</f>
        <v>79.7520857</v>
      </c>
      <c r="G17" s="792">
        <f>MIN('11'!$AB$6:$AB$29)</f>
        <v>70.21442642</v>
      </c>
      <c r="H17" s="792">
        <f>'11'!$AB$32</f>
        <v>76.06206894</v>
      </c>
      <c r="I17" s="793">
        <f>'11'!$AL$40</f>
        <v>0</v>
      </c>
      <c r="J17" s="794">
        <f>'11'!$AL$41</f>
        <v>0</v>
      </c>
      <c r="K17" s="793">
        <f>'11'!$AQ$40</f>
        <v>2251.083333</v>
      </c>
      <c r="L17" s="794">
        <f>'11'!$AQ$41</f>
        <v>8.078614583</v>
      </c>
      <c r="M17" s="795">
        <f>'11'!$O$20</f>
        <v>3.6</v>
      </c>
      <c r="N17" s="795">
        <f>'11'!$O$21</f>
        <v>3.6</v>
      </c>
      <c r="O17" s="795">
        <f>'11'!$O$19</f>
        <v>3.6</v>
      </c>
      <c r="P17" s="796">
        <f>'11'!$Y$34</f>
        <v>3225.083333</v>
      </c>
      <c r="Q17" s="791" t="str">
        <f>'11'!$AB$36</f>
        <v/>
      </c>
      <c r="R17" s="797" t="s">
        <v>293</v>
      </c>
      <c r="S17" s="791" t="str">
        <f>'11'!$Y$36</f>
        <v/>
      </c>
      <c r="T17" s="798">
        <v>1.0</v>
      </c>
      <c r="U17" s="797">
        <v>80.0</v>
      </c>
      <c r="V17" s="799">
        <f>'11'!$A$41</f>
        <v>12</v>
      </c>
      <c r="W17" s="799">
        <f>'11'!$J$41</f>
        <v>12</v>
      </c>
      <c r="X17" s="800">
        <f>'11'!$B$41</f>
        <v>12</v>
      </c>
      <c r="Y17" s="800">
        <f>'11'!$H$45</f>
        <v>12</v>
      </c>
      <c r="Z17" s="801">
        <f>'11'!$C$41</f>
        <v>12</v>
      </c>
      <c r="AA17" s="801">
        <f>'11'!$O$41</f>
        <v>11</v>
      </c>
      <c r="AB17" s="801">
        <f>'11'!$Q$45</f>
        <v>1</v>
      </c>
      <c r="AC17" s="802">
        <f>'11'!$O$51</f>
        <v>12</v>
      </c>
      <c r="AD17" s="803">
        <f>'11'!$R$51</f>
        <v>12</v>
      </c>
      <c r="AE17" s="804">
        <f>'11'!$O$57</f>
        <v>12</v>
      </c>
      <c r="AF17" s="804">
        <f>'11'!$R$57</f>
        <v>12</v>
      </c>
      <c r="AG17" s="805">
        <f>'11'!$L$45</f>
        <v>1</v>
      </c>
      <c r="AH17" s="806" t="str">
        <f>'11'!$L$37</f>
        <v>*</v>
      </c>
    </row>
    <row r="18" ht="17.25" customHeight="1">
      <c r="A18" s="789">
        <v>12.0</v>
      </c>
      <c r="B18" s="807">
        <f>'12'!$C$37</f>
        <v>58.2</v>
      </c>
      <c r="C18" s="807">
        <f>'12'!$D$37</f>
        <v>32.1</v>
      </c>
      <c r="D18" s="807">
        <f>'12'!$E$37</f>
        <v>25.1</v>
      </c>
      <c r="E18" s="791">
        <f>'12'!AA32</f>
        <v>41900.32</v>
      </c>
      <c r="F18" s="792">
        <f>MAX('12'!$AB$6:$AB$29)</f>
        <v>82.84437839</v>
      </c>
      <c r="G18" s="792">
        <f>MIN('12'!$AB$6:$AB$29)</f>
        <v>66.88027794</v>
      </c>
      <c r="H18" s="792">
        <f>'12'!$AB$32</f>
        <v>73.82459776</v>
      </c>
      <c r="I18" s="793">
        <f>'12'!$AL$40</f>
        <v>0</v>
      </c>
      <c r="J18" s="794">
        <f>'12'!$AL$41</f>
        <v>0</v>
      </c>
      <c r="K18" s="793">
        <f>'12'!$AQ$40</f>
        <v>2270</v>
      </c>
      <c r="L18" s="794">
        <f>'12'!$AQ$41</f>
        <v>7.989199447</v>
      </c>
      <c r="M18" s="795">
        <f>'12'!$O$20</f>
        <v>3.6</v>
      </c>
      <c r="N18" s="795">
        <f>'12'!$O$21</f>
        <v>3.5</v>
      </c>
      <c r="O18" s="795">
        <f>'12'!$O$19</f>
        <v>3.525</v>
      </c>
      <c r="P18" s="796">
        <f>'12'!$Y$34</f>
        <v>3288.583333</v>
      </c>
      <c r="Q18" s="791" t="str">
        <f>'12'!$AB$36</f>
        <v/>
      </c>
      <c r="R18" s="797" t="s">
        <v>293</v>
      </c>
      <c r="S18" s="791" t="str">
        <f>'12'!$Y$36</f>
        <v/>
      </c>
      <c r="T18" s="798">
        <v>1.0</v>
      </c>
      <c r="U18" s="797">
        <v>80.0</v>
      </c>
      <c r="V18" s="799">
        <f>'12'!$A$41</f>
        <v>12</v>
      </c>
      <c r="W18" s="799">
        <f>'12'!$J$41</f>
        <v>12</v>
      </c>
      <c r="X18" s="800">
        <f>'12'!$B$41</f>
        <v>12</v>
      </c>
      <c r="Y18" s="800">
        <f>'12'!$H$45</f>
        <v>12</v>
      </c>
      <c r="Z18" s="801">
        <f>'12'!$C$41</f>
        <v>12</v>
      </c>
      <c r="AA18" s="801">
        <f>'12'!$O$41</f>
        <v>10</v>
      </c>
      <c r="AB18" s="801">
        <f>'12'!$Q$45</f>
        <v>2</v>
      </c>
      <c r="AC18" s="802">
        <f>'12'!$O$51</f>
        <v>12</v>
      </c>
      <c r="AD18" s="803">
        <f>'12'!$R$51</f>
        <v>12</v>
      </c>
      <c r="AE18" s="804">
        <f>'12'!$O$57</f>
        <v>12</v>
      </c>
      <c r="AF18" s="804">
        <f>'12'!$R$57</f>
        <v>12</v>
      </c>
      <c r="AG18" s="805">
        <f>'12'!$L$45</f>
        <v>1</v>
      </c>
      <c r="AH18" s="806">
        <f>'12'!$L$37</f>
        <v>0.15</v>
      </c>
    </row>
    <row r="19" ht="17.25" customHeight="1">
      <c r="A19" s="789">
        <v>13.0</v>
      </c>
      <c r="B19" s="807">
        <f>'13'!$C$37</f>
        <v>54.2</v>
      </c>
      <c r="C19" s="807">
        <f>'13'!$D$37</f>
        <v>32.1</v>
      </c>
      <c r="D19" s="807">
        <f>'13'!$E$37</f>
        <v>24.1</v>
      </c>
      <c r="E19" s="791">
        <f>'13'!AA33</f>
        <v>38623.2</v>
      </c>
      <c r="F19" s="792">
        <f>MAX('13'!$AB$7:$AB$30)</f>
        <v>68.35287122</v>
      </c>
      <c r="G19" s="792">
        <f>MIN('13'!$AB$7:$AB$30)</f>
        <v>67.02065634</v>
      </c>
      <c r="H19" s="792">
        <f>'13'!$AB$33</f>
        <v>67.58486376</v>
      </c>
      <c r="I19" s="793">
        <f>'13'!$AL$41</f>
        <v>0</v>
      </c>
      <c r="J19" s="794">
        <f>'13'!$AL$42</f>
        <v>0</v>
      </c>
      <c r="K19" s="793">
        <f>'13'!$AQ$41</f>
        <v>2270</v>
      </c>
      <c r="L19" s="794">
        <f>'13'!$AQ$42</f>
        <v>7.944107082</v>
      </c>
      <c r="M19" s="795">
        <f>'13'!$O$20</f>
        <v>3.6</v>
      </c>
      <c r="N19" s="795">
        <f>'13'!$O$21</f>
        <v>3.6</v>
      </c>
      <c r="O19" s="795">
        <f>'13'!$O$19</f>
        <v>3.6</v>
      </c>
      <c r="P19" s="796">
        <f>'13'!$Y$35</f>
        <v>3307.25</v>
      </c>
      <c r="Q19" s="791">
        <f>'13'!$AB$37</f>
        <v>4</v>
      </c>
      <c r="R19" s="797" t="s">
        <v>293</v>
      </c>
      <c r="S19" s="791">
        <f>'13'!$Y$37</f>
        <v>0</v>
      </c>
      <c r="T19" s="798">
        <v>1.0</v>
      </c>
      <c r="U19" s="797">
        <v>80.0</v>
      </c>
      <c r="V19" s="799">
        <f>'13'!$A$41</f>
        <v>12</v>
      </c>
      <c r="W19" s="799">
        <f>'13'!$J$41</f>
        <v>12</v>
      </c>
      <c r="X19" s="800">
        <f>'13'!$B$41</f>
        <v>12</v>
      </c>
      <c r="Y19" s="800">
        <f>'13'!$H$45</f>
        <v>12</v>
      </c>
      <c r="Z19" s="801">
        <f>'13'!$C$41</f>
        <v>12</v>
      </c>
      <c r="AA19" s="801">
        <f>'13'!$O$41</f>
        <v>5</v>
      </c>
      <c r="AB19" s="801">
        <f>'13'!$Q$45</f>
        <v>7</v>
      </c>
      <c r="AC19" s="802">
        <f>'13'!$O$51</f>
        <v>12</v>
      </c>
      <c r="AD19" s="803">
        <f>'13'!$R$51</f>
        <v>12</v>
      </c>
      <c r="AE19" s="804">
        <f>'13'!$O$57</f>
        <v>12</v>
      </c>
      <c r="AF19" s="804">
        <f>'13'!$R$57</f>
        <v>12</v>
      </c>
      <c r="AG19" s="805">
        <f>'13'!$L$45</f>
        <v>1</v>
      </c>
      <c r="AH19" s="806">
        <f>'13'!$L$37</f>
        <v>0.15</v>
      </c>
    </row>
    <row r="20" ht="17.25" customHeight="1">
      <c r="A20" s="789">
        <v>14.0</v>
      </c>
      <c r="B20" s="807">
        <f>'14'!$C$37</f>
        <v>54.2</v>
      </c>
      <c r="C20" s="807">
        <f>'14'!$D$37</f>
        <v>32.1</v>
      </c>
      <c r="D20" s="807">
        <f>'14'!$E$37</f>
        <v>24.1</v>
      </c>
      <c r="E20" s="791">
        <f>'14'!AA32</f>
        <v>38623.2</v>
      </c>
      <c r="F20" s="792">
        <f>MAX('14'!$AB$6:$AB$29)</f>
        <v>72.2177347</v>
      </c>
      <c r="G20" s="792">
        <f>MIN('14'!$AB$6:$AB$29)</f>
        <v>64.71160651</v>
      </c>
      <c r="H20" s="792">
        <f>'14'!$AB$32</f>
        <v>66.68825085</v>
      </c>
      <c r="I20" s="793">
        <f>'14'!$AL$40</f>
        <v>0</v>
      </c>
      <c r="J20" s="794">
        <f>'14'!$AL$41</f>
        <v>0</v>
      </c>
      <c r="K20" s="793">
        <f>'14'!$AQ$40</f>
        <v>2270</v>
      </c>
      <c r="L20" s="794">
        <f>'14'!$AQ$41</f>
        <v>7.834156092</v>
      </c>
      <c r="M20" s="795">
        <f>'14'!$O$20</f>
        <v>3.6</v>
      </c>
      <c r="N20" s="795">
        <f>'14'!$O$21</f>
        <v>2.5</v>
      </c>
      <c r="O20" s="795">
        <f>'14'!$O$19</f>
        <v>3.233333333</v>
      </c>
      <c r="P20" s="796">
        <f>'14'!$Y$34</f>
        <v>3353.666667</v>
      </c>
      <c r="Q20" s="791" t="str">
        <f>'14'!$AB$36</f>
        <v/>
      </c>
      <c r="R20" s="797" t="s">
        <v>293</v>
      </c>
      <c r="S20" s="791" t="str">
        <f>'14'!$Y$36</f>
        <v/>
      </c>
      <c r="T20" s="798">
        <v>1.0</v>
      </c>
      <c r="U20" s="797">
        <v>80.0</v>
      </c>
      <c r="V20" s="799">
        <f>'14'!$A$41</f>
        <v>12</v>
      </c>
      <c r="W20" s="799">
        <f>'14'!$J$41</f>
        <v>12</v>
      </c>
      <c r="X20" s="800">
        <f>'14'!$B$41</f>
        <v>12</v>
      </c>
      <c r="Y20" s="800">
        <f>'14'!$H$45</f>
        <v>12</v>
      </c>
      <c r="Z20" s="801">
        <f>'14'!$C$41</f>
        <v>12</v>
      </c>
      <c r="AA20" s="801">
        <f>'14'!$O$41</f>
        <v>11</v>
      </c>
      <c r="AB20" s="801">
        <f>'14'!$Q$45</f>
        <v>1</v>
      </c>
      <c r="AC20" s="802">
        <f>'14'!$O$51</f>
        <v>12</v>
      </c>
      <c r="AD20" s="803">
        <f>'14'!$R$51</f>
        <v>12</v>
      </c>
      <c r="AE20" s="804">
        <f>'14'!$O$57</f>
        <v>12</v>
      </c>
      <c r="AF20" s="804">
        <f>'14'!$R$57</f>
        <v>12</v>
      </c>
      <c r="AG20" s="805">
        <f>'14'!$L$45</f>
        <v>0</v>
      </c>
      <c r="AH20" s="806" t="str">
        <f>'14'!$L$37</f>
        <v/>
      </c>
    </row>
    <row r="21" ht="17.25" customHeight="1">
      <c r="A21" s="789">
        <v>15.0</v>
      </c>
      <c r="B21" s="807">
        <f>'15'!$C$37</f>
        <v>57.2</v>
      </c>
      <c r="C21" s="807">
        <f>'15'!$D$37</f>
        <v>34.1</v>
      </c>
      <c r="D21" s="807">
        <f>'15'!$E$37</f>
        <v>25.1</v>
      </c>
      <c r="E21" s="791">
        <f>'15'!AA32</f>
        <v>38623.2</v>
      </c>
      <c r="F21" s="792">
        <f>MAX('15'!$AB$6:$AB$29)</f>
        <v>80.57458143</v>
      </c>
      <c r="G21" s="792">
        <f>MIN('15'!$AB$6:$AB$29)</f>
        <v>64.54342734</v>
      </c>
      <c r="H21" s="792">
        <f>'15'!$AB$32</f>
        <v>67.9211077</v>
      </c>
      <c r="I21" s="793">
        <f>'15'!$AL$40</f>
        <v>0</v>
      </c>
      <c r="J21" s="794">
        <f>'15'!$AL$41</f>
        <v>0</v>
      </c>
      <c r="K21" s="793">
        <f>'15'!$AQ$40</f>
        <v>2270</v>
      </c>
      <c r="L21" s="794">
        <f>'15'!$AQ$41</f>
        <v>7.965583067</v>
      </c>
      <c r="M21" s="795">
        <f>'15'!$O$20</f>
        <v>3.6</v>
      </c>
      <c r="N21" s="795">
        <f>'15'!$O$21</f>
        <v>2.5</v>
      </c>
      <c r="O21" s="795">
        <f>'15'!$O$19</f>
        <v>3.166666667</v>
      </c>
      <c r="P21" s="796">
        <f>'15'!$Y$34</f>
        <v>3298.333333</v>
      </c>
      <c r="Q21" s="791">
        <f>'15'!$AB$36</f>
        <v>5</v>
      </c>
      <c r="R21" s="797" t="s">
        <v>293</v>
      </c>
      <c r="S21" s="791" t="str">
        <f>'15'!$Y$36</f>
        <v/>
      </c>
      <c r="T21" s="798">
        <v>1.0</v>
      </c>
      <c r="U21" s="797">
        <v>80.0</v>
      </c>
      <c r="V21" s="799">
        <f>'15'!$A$41</f>
        <v>12</v>
      </c>
      <c r="W21" s="799">
        <f>'15'!$J$41</f>
        <v>12</v>
      </c>
      <c r="X21" s="800">
        <f>'15'!$B$41</f>
        <v>12</v>
      </c>
      <c r="Y21" s="800">
        <f>'15'!$H$45</f>
        <v>12</v>
      </c>
      <c r="Z21" s="801">
        <f>'15'!$C$41</f>
        <v>12</v>
      </c>
      <c r="AA21" s="801">
        <f>'15'!$O$41</f>
        <v>8</v>
      </c>
      <c r="AB21" s="801">
        <f>'15'!$Q$45</f>
        <v>4</v>
      </c>
      <c r="AC21" s="802">
        <f>'15'!$O$51</f>
        <v>12</v>
      </c>
      <c r="AD21" s="803">
        <f>'15'!$R$51</f>
        <v>12</v>
      </c>
      <c r="AE21" s="804">
        <f>'15'!$O$57</f>
        <v>12</v>
      </c>
      <c r="AF21" s="804">
        <f>'15'!$R$57</f>
        <v>12</v>
      </c>
      <c r="AG21" s="805">
        <f>'15'!$L$45</f>
        <v>1</v>
      </c>
      <c r="AH21" s="806">
        <f>'15'!$L$37</f>
        <v>0.15</v>
      </c>
    </row>
    <row r="22" ht="17.25" customHeight="1">
      <c r="A22" s="789">
        <v>16.0</v>
      </c>
      <c r="B22" s="808">
        <f>'16'!$C$37</f>
        <v>60.2</v>
      </c>
      <c r="C22" s="808">
        <f>'16'!$D$37</f>
        <v>34.1</v>
      </c>
      <c r="D22" s="808">
        <f>'16'!$E$37</f>
        <v>26.1</v>
      </c>
      <c r="E22" s="791">
        <f>'16'!AA32</f>
        <v>35803.6</v>
      </c>
      <c r="F22" s="792">
        <f>MAX('16'!$AB$6:$AB$29)</f>
        <v>71.16601526</v>
      </c>
      <c r="G22" s="792">
        <f>MIN('16'!$AB$6:$AB$29)</f>
        <v>60.97755452</v>
      </c>
      <c r="H22" s="792">
        <f>'16'!$AB$32</f>
        <v>65.91080461</v>
      </c>
      <c r="I22" s="793">
        <f>'16'!$AL$40</f>
        <v>0</v>
      </c>
      <c r="J22" s="794">
        <f>'16'!$AL$41</f>
        <v>0</v>
      </c>
      <c r="K22" s="793">
        <f>'16'!$AQ$40</f>
        <v>1816</v>
      </c>
      <c r="L22" s="794">
        <f>'16'!$AQ$41</f>
        <v>6.691398311</v>
      </c>
      <c r="M22" s="795">
        <f>'16'!$O$20</f>
        <v>3.8</v>
      </c>
      <c r="N22" s="795">
        <f>'16'!$O$21</f>
        <v>3.5</v>
      </c>
      <c r="O22" s="795">
        <f>'16'!$O$19</f>
        <v>3.716666667</v>
      </c>
      <c r="P22" s="796">
        <f>'16'!$Y$34</f>
        <v>3141.125</v>
      </c>
      <c r="Q22" s="791">
        <f>'16'!$AB$36</f>
        <v>6</v>
      </c>
      <c r="R22" s="797" t="s">
        <v>293</v>
      </c>
      <c r="S22" s="791">
        <f>'16'!$Y$36</f>
        <v>0</v>
      </c>
      <c r="T22" s="798">
        <v>1.0</v>
      </c>
      <c r="U22" s="797">
        <v>80.0</v>
      </c>
      <c r="V22" s="799">
        <f>'16'!$A$41</f>
        <v>12</v>
      </c>
      <c r="W22" s="799">
        <f>'16'!$J$41</f>
        <v>12</v>
      </c>
      <c r="X22" s="800">
        <f>'16'!$B$41</f>
        <v>12</v>
      </c>
      <c r="Y22" s="800">
        <f>'16'!$H$45</f>
        <v>12</v>
      </c>
      <c r="Z22" s="801">
        <f>'16'!$C$41</f>
        <v>12</v>
      </c>
      <c r="AA22" s="801">
        <f>'16'!$O$41</f>
        <v>9</v>
      </c>
      <c r="AB22" s="801">
        <f>'16'!$Q$45</f>
        <v>3</v>
      </c>
      <c r="AC22" s="802">
        <f>'16'!$O$51</f>
        <v>12</v>
      </c>
      <c r="AD22" s="803">
        <f>'16'!$R$51</f>
        <v>12</v>
      </c>
      <c r="AE22" s="804">
        <f>'16'!$O$57</f>
        <v>12</v>
      </c>
      <c r="AF22" s="804">
        <f>'16'!$R$57</f>
        <v>12</v>
      </c>
      <c r="AG22" s="805">
        <f>'16'!$L$45</f>
        <v>1</v>
      </c>
      <c r="AH22" s="806">
        <f>'16'!$L$37</f>
        <v>0.15</v>
      </c>
    </row>
    <row r="23" ht="17.25" customHeight="1">
      <c r="A23" s="789">
        <v>17.0</v>
      </c>
      <c r="B23" s="808">
        <f>'17'!$C$37</f>
        <v>58.2</v>
      </c>
      <c r="C23" s="808">
        <f>'17'!$D$37</f>
        <v>34.1</v>
      </c>
      <c r="D23" s="808">
        <f>'17'!$E$37</f>
        <v>25.1</v>
      </c>
      <c r="E23" s="791">
        <f>'17'!AA32</f>
        <v>38304</v>
      </c>
      <c r="F23" s="792">
        <f>MAX('17'!$AB$6:$AB$29)</f>
        <v>69.50977318</v>
      </c>
      <c r="G23" s="792">
        <f>MIN('17'!$AB$6:$AB$29)</f>
        <v>63.31524326</v>
      </c>
      <c r="H23" s="792">
        <f>'17'!$AB$32</f>
        <v>65.1731898</v>
      </c>
      <c r="I23" s="793">
        <f>'17'!$AL$40</f>
        <v>0</v>
      </c>
      <c r="J23" s="794">
        <f>'17'!$AL$41</f>
        <v>0</v>
      </c>
      <c r="K23" s="793">
        <f>'17'!$AQ$40</f>
        <v>2156.5</v>
      </c>
      <c r="L23" s="794">
        <f>'17'!$AQ$41</f>
        <v>7.335632841</v>
      </c>
      <c r="M23" s="795">
        <f>'17'!$O$20</f>
        <v>3.3</v>
      </c>
      <c r="N23" s="795">
        <f>'17'!$O$21</f>
        <v>2.5</v>
      </c>
      <c r="O23" s="795">
        <f>'17'!$O$19</f>
        <v>2.883333333</v>
      </c>
      <c r="P23" s="796">
        <f>'17'!$Y$34</f>
        <v>3402.5</v>
      </c>
      <c r="Q23" s="791" t="str">
        <f>'17'!$AB$36</f>
        <v/>
      </c>
      <c r="R23" s="797" t="s">
        <v>293</v>
      </c>
      <c r="S23" s="791" t="str">
        <f>'17'!$Y$36</f>
        <v/>
      </c>
      <c r="T23" s="798">
        <v>1.0</v>
      </c>
      <c r="U23" s="797">
        <v>80.0</v>
      </c>
      <c r="V23" s="799">
        <f>'17'!$A$41</f>
        <v>12</v>
      </c>
      <c r="W23" s="799">
        <f>'17'!$J$41</f>
        <v>12</v>
      </c>
      <c r="X23" s="800">
        <f>'17'!$B$41</f>
        <v>12</v>
      </c>
      <c r="Y23" s="800">
        <f>'17'!$H$45</f>
        <v>12</v>
      </c>
      <c r="Z23" s="801">
        <f>'17'!$C$41</f>
        <v>12</v>
      </c>
      <c r="AA23" s="801">
        <f>'17'!$O$41</f>
        <v>3</v>
      </c>
      <c r="AB23" s="801">
        <f>'17'!$Q$45</f>
        <v>7</v>
      </c>
      <c r="AC23" s="802">
        <f>'17'!$O$51</f>
        <v>12</v>
      </c>
      <c r="AD23" s="803">
        <f>'17'!$R$51</f>
        <v>12</v>
      </c>
      <c r="AE23" s="804">
        <f>'17'!$O$57</f>
        <v>12</v>
      </c>
      <c r="AF23" s="804">
        <f>'17'!$R$57</f>
        <v>12</v>
      </c>
      <c r="AG23" s="805">
        <f>'17'!$L$45</f>
        <v>0</v>
      </c>
      <c r="AH23" s="806" t="str">
        <f>'17'!$L$37</f>
        <v/>
      </c>
    </row>
    <row r="24" ht="17.25" customHeight="1">
      <c r="A24" s="789">
        <v>18.0</v>
      </c>
      <c r="B24" s="808">
        <f>'18'!$C$37</f>
        <v>58.2</v>
      </c>
      <c r="C24" s="808">
        <f>'18'!$D$37</f>
        <v>33.1</v>
      </c>
      <c r="D24" s="808">
        <f>'18'!$E$37</f>
        <v>26.1</v>
      </c>
      <c r="E24" s="791">
        <f>'18'!AA32</f>
        <v>37772</v>
      </c>
      <c r="F24" s="792">
        <f>MAX('18'!$AB$6:$AB$29)</f>
        <v>66.76706827</v>
      </c>
      <c r="G24" s="792">
        <f>MIN('18'!$AB$6:$AB$29)</f>
        <v>61.08322672</v>
      </c>
      <c r="H24" s="792">
        <f>'18'!$AB$32</f>
        <v>64.45542516</v>
      </c>
      <c r="I24" s="793">
        <f>'18'!$AL$40</f>
        <v>0</v>
      </c>
      <c r="J24" s="794">
        <f>'18'!$AL$41</f>
        <v>0</v>
      </c>
      <c r="K24" s="793">
        <f>'18'!$AQ$40</f>
        <v>2270</v>
      </c>
      <c r="L24" s="794">
        <f>'18'!$AQ$41</f>
        <v>7.746382746</v>
      </c>
      <c r="M24" s="795">
        <f>'18'!$O$20</f>
        <v>3.5</v>
      </c>
      <c r="N24" s="795">
        <f>'18'!$O$21</f>
        <v>2.8</v>
      </c>
      <c r="O24" s="795">
        <f>'18'!$O$19</f>
        <v>3.1</v>
      </c>
      <c r="P24" s="796">
        <f>'18'!$Y$34</f>
        <v>3391.666667</v>
      </c>
      <c r="Q24" s="791" t="str">
        <f>'18'!$AB$36</f>
        <v/>
      </c>
      <c r="R24" s="797" t="s">
        <v>293</v>
      </c>
      <c r="S24" s="791" t="str">
        <f>'18'!$Y$36</f>
        <v/>
      </c>
      <c r="T24" s="798">
        <v>1.0</v>
      </c>
      <c r="U24" s="797">
        <v>80.0</v>
      </c>
      <c r="V24" s="799">
        <f>'18'!$A$41</f>
        <v>12</v>
      </c>
      <c r="W24" s="799">
        <f>'18'!$J$41</f>
        <v>12</v>
      </c>
      <c r="X24" s="800">
        <f>'18'!$B$41</f>
        <v>12</v>
      </c>
      <c r="Y24" s="800">
        <f>'18'!$H$45</f>
        <v>12</v>
      </c>
      <c r="Z24" s="801">
        <f>'18'!$C$41</f>
        <v>12</v>
      </c>
      <c r="AA24" s="801">
        <f>'18'!$O$41</f>
        <v>0</v>
      </c>
      <c r="AB24" s="801">
        <f>'18'!$Q$45</f>
        <v>12</v>
      </c>
      <c r="AC24" s="802">
        <f>'18'!$O$51</f>
        <v>12</v>
      </c>
      <c r="AD24" s="803">
        <f>'18'!$R$51</f>
        <v>12</v>
      </c>
      <c r="AE24" s="804">
        <f>'18'!$O$57</f>
        <v>12</v>
      </c>
      <c r="AF24" s="804">
        <f>'18'!$R$57</f>
        <v>12</v>
      </c>
      <c r="AG24" s="805">
        <f>'18'!$L$45</f>
        <v>1</v>
      </c>
      <c r="AH24" s="806">
        <f>'18'!$L$37</f>
        <v>0.15</v>
      </c>
    </row>
    <row r="25" ht="17.25" customHeight="1">
      <c r="A25" s="789">
        <v>19.0</v>
      </c>
      <c r="B25" s="808">
        <f>'19'!$C$37</f>
        <v>60.2</v>
      </c>
      <c r="C25" s="808">
        <f>'19'!$D$37</f>
        <v>34.1</v>
      </c>
      <c r="D25" s="808">
        <f>'19'!$E$37</f>
        <v>26.1</v>
      </c>
      <c r="E25" s="791">
        <f>'19'!AA32</f>
        <v>38357.2</v>
      </c>
      <c r="F25" s="792">
        <f>MAX('19'!$AB$6:$AB$29)</f>
        <v>77.15128613</v>
      </c>
      <c r="G25" s="792">
        <f>MIN('19'!$AB$6:$AB$29)</f>
        <v>60.8496732</v>
      </c>
      <c r="H25" s="792">
        <f>'19'!$AB$32</f>
        <v>67.28801351</v>
      </c>
      <c r="I25" s="793">
        <f>'19'!$AL$40</f>
        <v>0</v>
      </c>
      <c r="J25" s="794">
        <f>'19'!$AL$41</f>
        <v>0</v>
      </c>
      <c r="K25" s="793">
        <f>'19'!$AQ$40</f>
        <v>2364.583333</v>
      </c>
      <c r="L25" s="794">
        <f>'19'!$AQ$41</f>
        <v>8.290046872</v>
      </c>
      <c r="M25" s="795">
        <f>'19'!$O$20</f>
        <v>3.5</v>
      </c>
      <c r="N25" s="795">
        <f>'19'!$O$21</f>
        <v>2.7</v>
      </c>
      <c r="O25" s="795">
        <f>'19'!$O$19</f>
        <v>2.983333333</v>
      </c>
      <c r="P25" s="796">
        <f>'19'!$Y$34</f>
        <v>3301.291667</v>
      </c>
      <c r="Q25" s="791" t="str">
        <f>'19'!$AB$36</f>
        <v/>
      </c>
      <c r="R25" s="797" t="s">
        <v>293</v>
      </c>
      <c r="S25" s="791" t="str">
        <f>'19'!$Y$36</f>
        <v/>
      </c>
      <c r="T25" s="798">
        <v>1.0</v>
      </c>
      <c r="U25" s="797">
        <v>80.0</v>
      </c>
      <c r="V25" s="799">
        <f>'19'!$A$41</f>
        <v>12</v>
      </c>
      <c r="W25" s="799">
        <f>'19'!$J$41</f>
        <v>12</v>
      </c>
      <c r="X25" s="800">
        <f>'19'!$B$41</f>
        <v>12</v>
      </c>
      <c r="Y25" s="800">
        <f>'19'!$H$45</f>
        <v>12</v>
      </c>
      <c r="Z25" s="801">
        <f>'19'!$C$41</f>
        <v>12</v>
      </c>
      <c r="AA25" s="801">
        <f>'19'!$O$41</f>
        <v>0</v>
      </c>
      <c r="AB25" s="801">
        <f>'19'!$Q$45</f>
        <v>10</v>
      </c>
      <c r="AC25" s="802">
        <f>'19'!$O$51</f>
        <v>12</v>
      </c>
      <c r="AD25" s="803">
        <f>'19'!$R$51</f>
        <v>12</v>
      </c>
      <c r="AE25" s="804">
        <f>'19'!$O$57</f>
        <v>12</v>
      </c>
      <c r="AF25" s="804">
        <f>'19'!$R$57</f>
        <v>12</v>
      </c>
      <c r="AG25" s="805">
        <f>'19'!$L$45</f>
        <v>0</v>
      </c>
      <c r="AH25" s="806" t="str">
        <f>'19'!$L$37</f>
        <v/>
      </c>
    </row>
    <row r="26" ht="17.25" customHeight="1">
      <c r="A26" s="789">
        <v>20.0</v>
      </c>
      <c r="B26" s="808">
        <f>'20'!$C$37</f>
        <v>60.2</v>
      </c>
      <c r="C26" s="808">
        <f>'20'!$D$37</f>
        <v>34.1</v>
      </c>
      <c r="D26" s="808">
        <f>'20'!$E$37</f>
        <v>25.1</v>
      </c>
      <c r="E26" s="791">
        <f>'20'!AA32</f>
        <v>44688</v>
      </c>
      <c r="F26" s="792">
        <f>MAX('20'!$AB$6:$AB$29)</f>
        <v>77.17430949</v>
      </c>
      <c r="G26" s="792">
        <f>MIN('20'!$AB$6:$AB$29)</f>
        <v>73.86778381</v>
      </c>
      <c r="H26" s="792">
        <f>'20'!$AB$32</f>
        <v>75.55912634</v>
      </c>
      <c r="I26" s="793">
        <f>'20'!$AL$40</f>
        <v>0</v>
      </c>
      <c r="J26" s="794">
        <f>'20'!$AL$41</f>
        <v>0</v>
      </c>
      <c r="K26" s="793">
        <f>'20'!$AQ$40</f>
        <v>2411.875</v>
      </c>
      <c r="L26" s="794">
        <f>'20'!$AQ$41</f>
        <v>8.154794267</v>
      </c>
      <c r="M26" s="795">
        <f>'20'!$O$20</f>
        <v>5</v>
      </c>
      <c r="N26" s="795">
        <f>'20'!$O$21</f>
        <v>3.3</v>
      </c>
      <c r="O26" s="795">
        <f>'20'!$O$19</f>
        <v>3.8</v>
      </c>
      <c r="P26" s="796">
        <f>'20'!$Y$34</f>
        <v>3423.166667</v>
      </c>
      <c r="Q26" s="791" t="str">
        <f>'20'!$AB$36</f>
        <v/>
      </c>
      <c r="R26" s="797" t="s">
        <v>293</v>
      </c>
      <c r="S26" s="791" t="str">
        <f>'20'!$Y$36</f>
        <v/>
      </c>
      <c r="T26" s="798">
        <v>1.0</v>
      </c>
      <c r="U26" s="797">
        <v>80.0</v>
      </c>
      <c r="V26" s="799">
        <f>'20'!$A$41</f>
        <v>12</v>
      </c>
      <c r="W26" s="799">
        <f>'20'!$J$41</f>
        <v>12</v>
      </c>
      <c r="X26" s="800">
        <f>'20'!$B$41</f>
        <v>12</v>
      </c>
      <c r="Y26" s="800">
        <f>'20'!$H$45</f>
        <v>11</v>
      </c>
      <c r="Z26" s="801">
        <f>'20'!$C$41</f>
        <v>12</v>
      </c>
      <c r="AA26" s="801">
        <f>'20'!$O$41</f>
        <v>0</v>
      </c>
      <c r="AB26" s="801">
        <f>'20'!$Q$45</f>
        <v>9</v>
      </c>
      <c r="AC26" s="802">
        <f>'20'!$O$51</f>
        <v>12</v>
      </c>
      <c r="AD26" s="803">
        <f>'20'!$R$51</f>
        <v>12</v>
      </c>
      <c r="AE26" s="804">
        <f>'20'!$O$57</f>
        <v>12</v>
      </c>
      <c r="AF26" s="804">
        <f>'20'!$R$57</f>
        <v>12</v>
      </c>
      <c r="AG26" s="805">
        <f>'20'!$L$45</f>
        <v>0</v>
      </c>
      <c r="AH26" s="806" t="str">
        <f>'20'!$L$37</f>
        <v/>
      </c>
    </row>
    <row r="27" ht="17.25" customHeight="1">
      <c r="A27" s="789">
        <v>21.0</v>
      </c>
      <c r="B27" s="808">
        <f>'21'!$C$37</f>
        <v>58.2</v>
      </c>
      <c r="C27" s="808">
        <f>'21'!$D$37</f>
        <v>33.1</v>
      </c>
      <c r="D27" s="808">
        <f>'21'!$E$37</f>
        <v>27.1</v>
      </c>
      <c r="E27" s="791">
        <f>'21'!AA32</f>
        <v>44461.9</v>
      </c>
      <c r="F27" s="792">
        <f>MAX('21'!$AB$6:$AB$29)</f>
        <v>76.73920211</v>
      </c>
      <c r="G27" s="792">
        <f>MIN('21'!$AB$6:$AB$29)</f>
        <v>74.29218935</v>
      </c>
      <c r="H27" s="792">
        <f>'21'!$AB$32</f>
        <v>76.0171477</v>
      </c>
      <c r="I27" s="793">
        <f>'21'!$AL$40</f>
        <v>0</v>
      </c>
      <c r="J27" s="794">
        <f>'21'!$AL$41</f>
        <v>0</v>
      </c>
      <c r="K27" s="793">
        <f>'21'!$AQ$40</f>
        <v>2270</v>
      </c>
      <c r="L27" s="794">
        <f>'21'!$AQ$41</f>
        <v>7.76173458</v>
      </c>
      <c r="M27" s="795">
        <f>'21'!$O$20</f>
        <v>3.6</v>
      </c>
      <c r="N27" s="795">
        <f>'21'!$O$21</f>
        <v>2.8</v>
      </c>
      <c r="O27" s="795">
        <f>'21'!$O$19</f>
        <v>3.216666667</v>
      </c>
      <c r="P27" s="796">
        <f>'21'!$Y$34</f>
        <v>3384.958333</v>
      </c>
      <c r="Q27" s="791" t="str">
        <f>'21'!$AB$36</f>
        <v/>
      </c>
      <c r="R27" s="797" t="s">
        <v>293</v>
      </c>
      <c r="S27" s="791" t="str">
        <f>'21'!$Y$36</f>
        <v/>
      </c>
      <c r="T27" s="798">
        <v>1.0</v>
      </c>
      <c r="U27" s="797">
        <v>80.0</v>
      </c>
      <c r="V27" s="799">
        <f>'21'!$A$41</f>
        <v>12</v>
      </c>
      <c r="W27" s="799">
        <f>'21'!$J$41</f>
        <v>12</v>
      </c>
      <c r="X27" s="800">
        <f>'21'!$B$41</f>
        <v>12</v>
      </c>
      <c r="Y27" s="800">
        <f>'21'!$H$45</f>
        <v>12</v>
      </c>
      <c r="Z27" s="801">
        <f>'21'!$C$41</f>
        <v>12</v>
      </c>
      <c r="AA27" s="801">
        <f>'21'!$O$41</f>
        <v>2</v>
      </c>
      <c r="AB27" s="801">
        <f>'21'!$Q$45</f>
        <v>6</v>
      </c>
      <c r="AC27" s="802">
        <f>'21'!$O$51</f>
        <v>12</v>
      </c>
      <c r="AD27" s="803">
        <f>'21'!$R$51</f>
        <v>12</v>
      </c>
      <c r="AE27" s="804">
        <f>'21'!$O$57</f>
        <v>12</v>
      </c>
      <c r="AF27" s="804">
        <f>'21'!$R$57</f>
        <v>12</v>
      </c>
      <c r="AG27" s="805">
        <f>'21'!$L$45</f>
        <v>1</v>
      </c>
      <c r="AH27" s="806">
        <f>'21'!$L$37</f>
        <v>0.15</v>
      </c>
    </row>
    <row r="28" ht="17.25" customHeight="1">
      <c r="A28" s="789">
        <v>22.0</v>
      </c>
      <c r="B28" s="808">
        <f>'22'!$C$37</f>
        <v>54.2</v>
      </c>
      <c r="C28" s="808">
        <f>'22'!$D$37</f>
        <v>30.1</v>
      </c>
      <c r="D28" s="808">
        <f>'22'!$E$37</f>
        <v>24.1</v>
      </c>
      <c r="E28" s="791">
        <f>'22'!AA32</f>
        <v>44368.8</v>
      </c>
      <c r="F28" s="792">
        <f>MAX('22'!$AB$6:$AB$29)</f>
        <v>79.56736563</v>
      </c>
      <c r="G28" s="792">
        <f>MIN('22'!$AB$6:$AB$29)</f>
        <v>73.36111111</v>
      </c>
      <c r="H28" s="792">
        <f>'22'!$AB$32</f>
        <v>74.95773945</v>
      </c>
      <c r="I28" s="793">
        <f>'22'!$AL$40</f>
        <v>0</v>
      </c>
      <c r="J28" s="794">
        <f>'22'!$AL$41</f>
        <v>0</v>
      </c>
      <c r="K28" s="793">
        <f>'22'!$AQ$40</f>
        <v>2270</v>
      </c>
      <c r="L28" s="794">
        <f>'22'!$AQ$41</f>
        <v>7.668473318</v>
      </c>
      <c r="M28" s="795">
        <f>'22'!$O$20</f>
        <v>3.6</v>
      </c>
      <c r="N28" s="795">
        <f>'22'!$O$21</f>
        <v>3.6</v>
      </c>
      <c r="O28" s="795">
        <f>'22'!$O$19</f>
        <v>3.6</v>
      </c>
      <c r="P28" s="796">
        <f>'22'!$Y$34</f>
        <v>3426.125</v>
      </c>
      <c r="Q28" s="791">
        <f>'22'!$AB$36</f>
        <v>6</v>
      </c>
      <c r="R28" s="797" t="s">
        <v>293</v>
      </c>
      <c r="S28" s="791">
        <f>'22'!$Y$36</f>
        <v>0</v>
      </c>
      <c r="T28" s="798">
        <v>1.0</v>
      </c>
      <c r="U28" s="797">
        <v>80.0</v>
      </c>
      <c r="V28" s="799">
        <f>'22'!$A$41</f>
        <v>12</v>
      </c>
      <c r="W28" s="799">
        <f>'22'!$J$41</f>
        <v>12</v>
      </c>
      <c r="X28" s="800">
        <f>'22'!$B$41</f>
        <v>12</v>
      </c>
      <c r="Y28" s="800">
        <f>'22'!$H$45</f>
        <v>12</v>
      </c>
      <c r="Z28" s="801">
        <f>'22'!$C$41</f>
        <v>12</v>
      </c>
      <c r="AA28" s="801">
        <f>'22'!$O$41</f>
        <v>8</v>
      </c>
      <c r="AB28" s="801">
        <f>'22'!$Q$45</f>
        <v>4</v>
      </c>
      <c r="AC28" s="802">
        <f>'22'!$O$51</f>
        <v>12</v>
      </c>
      <c r="AD28" s="803">
        <f>'22'!$R$51</f>
        <v>12</v>
      </c>
      <c r="AE28" s="804">
        <f>'22'!$O$57</f>
        <v>12</v>
      </c>
      <c r="AF28" s="804">
        <f>'22'!$R$57</f>
        <v>12</v>
      </c>
      <c r="AG28" s="805">
        <f>'22'!$L$45</f>
        <v>0</v>
      </c>
      <c r="AH28" s="806" t="str">
        <f>'22'!$L$37</f>
        <v/>
      </c>
    </row>
    <row r="29" ht="17.25" customHeight="1">
      <c r="A29" s="789">
        <v>23.0</v>
      </c>
      <c r="B29" s="808">
        <f>'23'!$C$37</f>
        <v>60.2</v>
      </c>
      <c r="C29" s="808">
        <f>'23'!$D$37</f>
        <v>34.1</v>
      </c>
      <c r="D29" s="808">
        <f>'23'!$E$37</f>
        <v>26.1</v>
      </c>
      <c r="E29" s="791">
        <f>'23'!AA32</f>
        <v>44702.4</v>
      </c>
      <c r="F29" s="792">
        <f>MAX('23'!$AB$6:$AB$29)</f>
        <v>76.92371229</v>
      </c>
      <c r="G29" s="792">
        <f>MIN('23'!$AB$6:$AB$29)</f>
        <v>73.57634939</v>
      </c>
      <c r="H29" s="792">
        <f>'23'!$AB$32</f>
        <v>75.93052212</v>
      </c>
      <c r="I29" s="793">
        <f>'23'!$AL$40</f>
        <v>0</v>
      </c>
      <c r="J29" s="794">
        <f>'23'!$AL$41</f>
        <v>0</v>
      </c>
      <c r="K29" s="793">
        <f>'23'!$AQ$40</f>
        <v>2270</v>
      </c>
      <c r="L29" s="794">
        <f>'23'!$AQ$41</f>
        <v>7.710765451</v>
      </c>
      <c r="M29" s="795">
        <f>'23'!$O$20</f>
        <v>3.6</v>
      </c>
      <c r="N29" s="795">
        <f>'23'!$O$21</f>
        <v>3.6</v>
      </c>
      <c r="O29" s="795">
        <f>'23'!$O$19</f>
        <v>3.6</v>
      </c>
      <c r="P29" s="796">
        <f>'23'!$Y$34</f>
        <v>3407.333333</v>
      </c>
      <c r="Q29" s="791" t="str">
        <f>'23'!$AB$36</f>
        <v/>
      </c>
      <c r="R29" s="797" t="s">
        <v>293</v>
      </c>
      <c r="S29" s="791" t="str">
        <f>'23'!$Y$36</f>
        <v/>
      </c>
      <c r="T29" s="798">
        <v>1.0</v>
      </c>
      <c r="U29" s="797">
        <v>80.0</v>
      </c>
      <c r="V29" s="799">
        <f>'23'!$A$41</f>
        <v>12</v>
      </c>
      <c r="W29" s="799">
        <f>'23'!$J$41</f>
        <v>12</v>
      </c>
      <c r="X29" s="800">
        <f>'23'!$B$41</f>
        <v>12</v>
      </c>
      <c r="Y29" s="800">
        <f>'23'!$H$45</f>
        <v>12</v>
      </c>
      <c r="Z29" s="801">
        <f>'23'!$C$41</f>
        <v>11</v>
      </c>
      <c r="AA29" s="801">
        <f>'23'!$O$41</f>
        <v>0</v>
      </c>
      <c r="AB29" s="801">
        <f>'23'!$Q$45</f>
        <v>11</v>
      </c>
      <c r="AC29" s="802">
        <f>'23'!$O$51</f>
        <v>12</v>
      </c>
      <c r="AD29" s="803">
        <f>'23'!$R$51</f>
        <v>12</v>
      </c>
      <c r="AE29" s="804">
        <f>'23'!$O$57</f>
        <v>12</v>
      </c>
      <c r="AF29" s="804">
        <f>'23'!$R$57</f>
        <v>12</v>
      </c>
      <c r="AG29" s="805">
        <f>'23'!$L$45</f>
        <v>0</v>
      </c>
      <c r="AH29" s="806" t="str">
        <f>'23'!$L$37</f>
        <v/>
      </c>
    </row>
    <row r="30" ht="17.25" customHeight="1">
      <c r="A30" s="789">
        <v>24.0</v>
      </c>
      <c r="B30" s="808">
        <f>'24'!$C$37</f>
        <v>58.2</v>
      </c>
      <c r="C30" s="808">
        <f>'24'!$D$37</f>
        <v>31.1</v>
      </c>
      <c r="D30" s="808">
        <f>'24'!$E$37</f>
        <v>26.1</v>
      </c>
      <c r="E30" s="791">
        <f>'24'!AA32</f>
        <v>44368.8</v>
      </c>
      <c r="F30" s="792">
        <f>MAX('24'!$AB$6:$AB$29)</f>
        <v>81.95464056</v>
      </c>
      <c r="G30" s="792">
        <f>MIN('24'!$AB$6:$AB$29)</f>
        <v>72.96501531</v>
      </c>
      <c r="H30" s="792">
        <f>'24'!$AB$32</f>
        <v>76.26341214</v>
      </c>
      <c r="I30" s="793">
        <f>'24'!$AL$40</f>
        <v>0</v>
      </c>
      <c r="J30" s="794">
        <f>'24'!$AL$41</f>
        <v>0</v>
      </c>
      <c r="K30" s="793">
        <f>'24'!$AQ$40</f>
        <v>2270</v>
      </c>
      <c r="L30" s="794">
        <f>'24'!$AQ$41</f>
        <v>7.796668384</v>
      </c>
      <c r="M30" s="795">
        <f>'24'!$O$20</f>
        <v>32</v>
      </c>
      <c r="N30" s="795">
        <f>'24'!$O$21</f>
        <v>3</v>
      </c>
      <c r="O30" s="795">
        <f>'24'!$O$19</f>
        <v>5.6</v>
      </c>
      <c r="P30" s="796">
        <f>'24'!$Y$34</f>
        <v>3369.791667</v>
      </c>
      <c r="Q30" s="791" t="str">
        <f>'24'!$AB$36</f>
        <v/>
      </c>
      <c r="R30" s="797" t="s">
        <v>293</v>
      </c>
      <c r="S30" s="791" t="str">
        <f>'24'!$Y$36</f>
        <v/>
      </c>
      <c r="T30" s="798">
        <v>1.0</v>
      </c>
      <c r="U30" s="797">
        <v>80.0</v>
      </c>
      <c r="V30" s="799">
        <f>'24'!$A$41</f>
        <v>12</v>
      </c>
      <c r="W30" s="799">
        <f>'24'!$J$41</f>
        <v>12</v>
      </c>
      <c r="X30" s="800">
        <f>'24'!$B$41</f>
        <v>12</v>
      </c>
      <c r="Y30" s="800">
        <f>'24'!$H$45</f>
        <v>12</v>
      </c>
      <c r="Z30" s="801">
        <f>'24'!$C$41</f>
        <v>12</v>
      </c>
      <c r="AA30" s="801">
        <f>'24'!$O$41</f>
        <v>0</v>
      </c>
      <c r="AB30" s="801">
        <f>'24'!$Q$45</f>
        <v>12</v>
      </c>
      <c r="AC30" s="802">
        <f>'24'!$O$51</f>
        <v>12</v>
      </c>
      <c r="AD30" s="803">
        <f>'24'!$R$51</f>
        <v>12</v>
      </c>
      <c r="AE30" s="804">
        <f>'24'!$O$57</f>
        <v>12</v>
      </c>
      <c r="AF30" s="804">
        <f>'24'!$R$57</f>
        <v>12</v>
      </c>
      <c r="AG30" s="805">
        <f>'24'!$L$45</f>
        <v>1</v>
      </c>
      <c r="AH30" s="806">
        <f>'24'!$L$37</f>
        <v>0.15</v>
      </c>
    </row>
    <row r="31" ht="17.25" customHeight="1">
      <c r="A31" s="789">
        <v>25.0</v>
      </c>
      <c r="B31" s="808">
        <f>'25'!$C$37</f>
        <v>58.2</v>
      </c>
      <c r="C31" s="808">
        <f>'25'!$D$37</f>
        <v>36.1</v>
      </c>
      <c r="D31" s="808">
        <f>'25'!$E$37</f>
        <v>24.1</v>
      </c>
      <c r="E31" s="791">
        <f>'25'!AA32</f>
        <v>44847.6</v>
      </c>
      <c r="F31" s="792">
        <f>MAX('25'!$AB$6:$AB$29)</f>
        <v>76.29125171</v>
      </c>
      <c r="G31" s="792">
        <f>MIN('25'!$AB$6:$AB$29)</f>
        <v>73.46606263</v>
      </c>
      <c r="H31" s="792">
        <f>'25'!$AB$32</f>
        <v>74.78763345</v>
      </c>
      <c r="I31" s="793">
        <f>'25'!$AL$40</f>
        <v>0</v>
      </c>
      <c r="J31" s="794">
        <f>'25'!$AL$41</f>
        <v>0</v>
      </c>
      <c r="K31" s="793">
        <f>'25'!$AQ$40</f>
        <v>2270</v>
      </c>
      <c r="L31" s="794">
        <f>'25'!$AQ$41</f>
        <v>7.57060338</v>
      </c>
      <c r="M31" s="795">
        <f>'25'!$O$20</f>
        <v>3.6</v>
      </c>
      <c r="N31" s="795">
        <f>'25'!$O$21</f>
        <v>3.5</v>
      </c>
      <c r="O31" s="795">
        <f>'25'!$O$19</f>
        <v>3.583333333</v>
      </c>
      <c r="P31" s="796">
        <f>'25'!$Y$34</f>
        <v>3470.416667</v>
      </c>
      <c r="Q31" s="791">
        <f>'25'!$AB$36</f>
        <v>5</v>
      </c>
      <c r="R31" s="797" t="s">
        <v>293</v>
      </c>
      <c r="S31" s="791">
        <f>'25'!$Y$36</f>
        <v>1</v>
      </c>
      <c r="T31" s="798">
        <v>1.0</v>
      </c>
      <c r="U31" s="797">
        <v>80.0</v>
      </c>
      <c r="V31" s="799">
        <f>'25'!$A$41</f>
        <v>12</v>
      </c>
      <c r="W31" s="799">
        <f>'25'!$J$41</f>
        <v>12</v>
      </c>
      <c r="X31" s="800">
        <f>'25'!$B$41</f>
        <v>12</v>
      </c>
      <c r="Y31" s="800">
        <f>'25'!$H$45</f>
        <v>12</v>
      </c>
      <c r="Z31" s="801">
        <f>'25'!$C$41</f>
        <v>12</v>
      </c>
      <c r="AA31" s="801">
        <f>'25'!$O$41</f>
        <v>5</v>
      </c>
      <c r="AB31" s="801">
        <f>'25'!$Q$45</f>
        <v>7</v>
      </c>
      <c r="AC31" s="802">
        <f>'25'!$O$51</f>
        <v>12</v>
      </c>
      <c r="AD31" s="803">
        <f>'25'!$R$51</f>
        <v>12</v>
      </c>
      <c r="AE31" s="804">
        <f>'25'!$O$57</f>
        <v>12</v>
      </c>
      <c r="AF31" s="804">
        <f>'25'!$R$57</f>
        <v>12</v>
      </c>
      <c r="AG31" s="805">
        <f>'25'!$L$45</f>
        <v>1</v>
      </c>
      <c r="AH31" s="806">
        <f>'25'!$L$37</f>
        <v>0.1</v>
      </c>
    </row>
    <row r="32" ht="17.25" customHeight="1">
      <c r="A32" s="789">
        <v>26.0</v>
      </c>
      <c r="B32" s="808">
        <f>'26'!$C$37</f>
        <v>56.2</v>
      </c>
      <c r="C32" s="808">
        <f>'26'!$D$37</f>
        <v>34.1</v>
      </c>
      <c r="D32" s="808">
        <f>'26'!$E$37</f>
        <v>24.1</v>
      </c>
      <c r="E32" s="791">
        <f>'26'!AA32</f>
        <v>45007.2</v>
      </c>
      <c r="F32" s="792">
        <f>MAX('26'!$AB$6:$AB$29)</f>
        <v>76.53785875</v>
      </c>
      <c r="G32" s="792">
        <f>MIN('26'!$AB$9:$AB$29)</f>
        <v>72.91666667</v>
      </c>
      <c r="H32" s="792">
        <f>'26'!$AB$32</f>
        <v>75.08625057</v>
      </c>
      <c r="I32" s="793">
        <f>'26'!$AL$40</f>
        <v>0</v>
      </c>
      <c r="J32" s="794">
        <f>'26'!$AL$41</f>
        <v>0</v>
      </c>
      <c r="K32" s="793">
        <f>'26'!$AQ$40</f>
        <v>2270</v>
      </c>
      <c r="L32" s="794">
        <f>'26'!$AQ$41</f>
        <v>7.573149282</v>
      </c>
      <c r="M32" s="795">
        <f>'26'!$O$20</f>
        <v>3.6</v>
      </c>
      <c r="N32" s="795">
        <f>'26'!$O$21</f>
        <v>3.6</v>
      </c>
      <c r="O32" s="795">
        <f>'26'!$O$19</f>
        <v>3.6</v>
      </c>
      <c r="P32" s="796">
        <f>'26'!$Y$34</f>
        <v>3469.25</v>
      </c>
      <c r="Q32" s="791" t="str">
        <f>'26'!$AB$36</f>
        <v/>
      </c>
      <c r="R32" s="797" t="s">
        <v>293</v>
      </c>
      <c r="S32" s="791" t="str">
        <f>'26'!$Y$36</f>
        <v/>
      </c>
      <c r="T32" s="798">
        <v>1.0</v>
      </c>
      <c r="U32" s="797">
        <v>80.0</v>
      </c>
      <c r="V32" s="799">
        <f>'26'!$A$41</f>
        <v>12</v>
      </c>
      <c r="W32" s="799">
        <f>'26'!$J$41</f>
        <v>12</v>
      </c>
      <c r="X32" s="800">
        <f>'26'!$B$41</f>
        <v>12</v>
      </c>
      <c r="Y32" s="800">
        <f>'26'!$H$45</f>
        <v>12</v>
      </c>
      <c r="Z32" s="801">
        <f>'26'!$C$41</f>
        <v>12</v>
      </c>
      <c r="AA32" s="801">
        <f>'26'!$O$41</f>
        <v>2</v>
      </c>
      <c r="AB32" s="801">
        <f>'26'!$Q$45</f>
        <v>10</v>
      </c>
      <c r="AC32" s="802">
        <f>'26'!$O$51</f>
        <v>12</v>
      </c>
      <c r="AD32" s="803">
        <f>'26'!$R$51</f>
        <v>12</v>
      </c>
      <c r="AE32" s="804">
        <f>'26'!$O$57</f>
        <v>12</v>
      </c>
      <c r="AF32" s="804">
        <f>'26'!$R$57</f>
        <v>12</v>
      </c>
      <c r="AG32" s="805">
        <f>'26'!$L$45</f>
        <v>0</v>
      </c>
      <c r="AH32" s="806" t="str">
        <f>'26'!$L$37</f>
        <v/>
      </c>
    </row>
    <row r="33" ht="17.25" customHeight="1">
      <c r="A33" s="789">
        <v>27.0</v>
      </c>
      <c r="B33" s="808">
        <f>'27'!$C$37</f>
        <v>58.2</v>
      </c>
      <c r="C33" s="808">
        <f>'27'!$D$37</f>
        <v>34.1</v>
      </c>
      <c r="D33" s="808">
        <f>'27'!$E$37</f>
        <v>25.1</v>
      </c>
      <c r="E33" s="791">
        <f>'27'!AA32</f>
        <v>39634</v>
      </c>
      <c r="F33" s="792">
        <f>MAX('27'!$AB$6:$AB$29)</f>
        <v>75.91324201</v>
      </c>
      <c r="G33" s="792">
        <f>MIN('27'!$AB$6:$AB$29)</f>
        <v>67.50382153</v>
      </c>
      <c r="H33" s="792">
        <f>'27'!$AB$32</f>
        <v>66.21068685</v>
      </c>
      <c r="I33" s="793">
        <f>'27'!$AL$40</f>
        <v>0</v>
      </c>
      <c r="J33" s="794">
        <f>'27'!$AL$41</f>
        <v>0</v>
      </c>
      <c r="K33" s="793">
        <f>'27'!$AQ$40</f>
        <v>2270</v>
      </c>
      <c r="L33" s="794">
        <f>'27'!$AQ$41</f>
        <v>7.544335434</v>
      </c>
      <c r="M33" s="795">
        <f>'27'!$O$20</f>
        <v>3.5</v>
      </c>
      <c r="N33" s="795">
        <f>'27'!$O$21</f>
        <v>3</v>
      </c>
      <c r="O33" s="795">
        <f>'27'!$O$19</f>
        <v>3.218181818</v>
      </c>
      <c r="P33" s="796">
        <f>'27'!$Y$34</f>
        <v>3482.5</v>
      </c>
      <c r="Q33" s="791" t="str">
        <f>'27'!$AB$36</f>
        <v/>
      </c>
      <c r="R33" s="797" t="s">
        <v>293</v>
      </c>
      <c r="S33" s="791" t="str">
        <f>'27'!$Y$36</f>
        <v/>
      </c>
      <c r="T33" s="798">
        <v>1.0</v>
      </c>
      <c r="U33" s="797">
        <v>80.0</v>
      </c>
      <c r="V33" s="799">
        <f>'27'!$A$41</f>
        <v>12</v>
      </c>
      <c r="W33" s="799">
        <f>'27'!$J$41</f>
        <v>12</v>
      </c>
      <c r="X33" s="800">
        <f>'27'!$B$41</f>
        <v>12</v>
      </c>
      <c r="Y33" s="800">
        <f>'27'!$H$45</f>
        <v>12</v>
      </c>
      <c r="Z33" s="801">
        <f>'27'!$C$41</f>
        <v>12</v>
      </c>
      <c r="AA33" s="801">
        <f>'27'!$O$41</f>
        <v>9</v>
      </c>
      <c r="AB33" s="801">
        <f>'27'!$Q$45</f>
        <v>3</v>
      </c>
      <c r="AC33" s="802">
        <f>'27'!$O$51</f>
        <v>12</v>
      </c>
      <c r="AD33" s="803">
        <f>'27'!$R$51</f>
        <v>12</v>
      </c>
      <c r="AE33" s="804">
        <f>'27'!$O$57</f>
        <v>12</v>
      </c>
      <c r="AF33" s="804">
        <f>'27'!$R$57</f>
        <v>12</v>
      </c>
      <c r="AG33" s="805">
        <f>'27'!$L$45</f>
        <v>1</v>
      </c>
      <c r="AH33" s="806">
        <f>'27'!$L$37</f>
        <v>0.15</v>
      </c>
    </row>
    <row r="34" ht="17.25" customHeight="1">
      <c r="A34" s="789">
        <v>28.0</v>
      </c>
      <c r="B34" s="808">
        <f>'28'!$C$37</f>
        <v>58.2</v>
      </c>
      <c r="C34" s="808">
        <f>'28'!$D$37</f>
        <v>32.1</v>
      </c>
      <c r="D34" s="808">
        <f>'28'!$E$37</f>
        <v>28.1</v>
      </c>
      <c r="E34" s="791">
        <f>'28'!AA32</f>
        <v>39634</v>
      </c>
      <c r="F34" s="792">
        <f>MAX('28'!$AB$6:$AB$29)</f>
        <v>72.87154497</v>
      </c>
      <c r="G34" s="792">
        <f>MIN('28'!$AB$6:$AB$29)</f>
        <v>64.64492617</v>
      </c>
      <c r="H34" s="792">
        <f>'28'!$AB$32</f>
        <v>66.21068685</v>
      </c>
      <c r="I34" s="793">
        <f>'28'!$AL$40</f>
        <v>0</v>
      </c>
      <c r="J34" s="794">
        <f>'28'!$AL$41</f>
        <v>0</v>
      </c>
      <c r="K34" s="793">
        <f>'28'!$AQ$40</f>
        <v>2270</v>
      </c>
      <c r="L34" s="794">
        <f>'28'!$AQ$41</f>
        <v>7.58015935</v>
      </c>
      <c r="M34" s="795">
        <f>'28'!$O$20</f>
        <v>3.5</v>
      </c>
      <c r="N34" s="795">
        <f>'28'!$O$21</f>
        <v>2.5</v>
      </c>
      <c r="O34" s="795">
        <f>'28'!$O$19</f>
        <v>3</v>
      </c>
      <c r="P34" s="796">
        <f>'28'!$Y$34</f>
        <v>3466.041667</v>
      </c>
      <c r="Q34" s="791" t="str">
        <f>'28'!$AB$36</f>
        <v/>
      </c>
      <c r="R34" s="797" t="s">
        <v>293</v>
      </c>
      <c r="S34" s="791" t="str">
        <f>'28'!$Y$36</f>
        <v/>
      </c>
      <c r="T34" s="798">
        <v>1.0</v>
      </c>
      <c r="U34" s="797">
        <v>80.0</v>
      </c>
      <c r="V34" s="799">
        <f>'28'!$A$41</f>
        <v>12</v>
      </c>
      <c r="W34" s="799">
        <f>'28'!$J$41</f>
        <v>12</v>
      </c>
      <c r="X34" s="800">
        <f>'28'!$B$41</f>
        <v>12</v>
      </c>
      <c r="Y34" s="800">
        <f>'28'!$H$45</f>
        <v>12</v>
      </c>
      <c r="Z34" s="801">
        <f>'28'!$C$41</f>
        <v>12</v>
      </c>
      <c r="AA34" s="801">
        <f>'28'!$O$41</f>
        <v>12</v>
      </c>
      <c r="AB34" s="801">
        <f>'28'!$Q$45</f>
        <v>0</v>
      </c>
      <c r="AC34" s="802">
        <f>'28'!$O$51</f>
        <v>12</v>
      </c>
      <c r="AD34" s="803">
        <f>'28'!$R$51</f>
        <v>12</v>
      </c>
      <c r="AE34" s="804">
        <f>'28'!$O$57</f>
        <v>12</v>
      </c>
      <c r="AF34" s="804">
        <f>'28'!$R$57</f>
        <v>12</v>
      </c>
      <c r="AG34" s="805">
        <f>'28'!$L$45</f>
        <v>0</v>
      </c>
      <c r="AH34" s="806" t="str">
        <f>'28'!$L$37</f>
        <v/>
      </c>
    </row>
    <row r="35" ht="17.25" customHeight="1">
      <c r="A35" s="789">
        <v>29.0</v>
      </c>
      <c r="B35" s="808">
        <f>'29'!$C$37</f>
        <v>58.2</v>
      </c>
      <c r="C35" s="808">
        <f>'29'!$D$37</f>
        <v>34.1</v>
      </c>
      <c r="D35" s="808">
        <f>'29'!$E$37</f>
        <v>26.1</v>
      </c>
      <c r="E35" s="791">
        <f>'29'!AA32</f>
        <v>39421.2</v>
      </c>
      <c r="F35" s="792">
        <f>MAX('29'!$AB$6:$AB$29)</f>
        <v>66.97943172</v>
      </c>
      <c r="G35" s="792">
        <f>MIN('29'!$AB$6:$AB$29)</f>
        <v>63.72400683</v>
      </c>
      <c r="H35" s="792">
        <f>'29'!$AB$32</f>
        <v>65.74899117</v>
      </c>
      <c r="I35" s="793">
        <f>'29'!$AL$40</f>
        <v>0</v>
      </c>
      <c r="J35" s="794">
        <f>'29'!$AL$41</f>
        <v>0</v>
      </c>
      <c r="K35" s="793">
        <f>'29'!$AQ$40</f>
        <v>2402.416667</v>
      </c>
      <c r="L35" s="794">
        <f>'29'!$AQ$41</f>
        <v>8.012799133</v>
      </c>
      <c r="M35" s="795">
        <f>'29'!$O$20</f>
        <v>3</v>
      </c>
      <c r="N35" s="795">
        <f>'29'!$O$21</f>
        <v>2</v>
      </c>
      <c r="O35" s="795">
        <f>'29'!$O$19</f>
        <v>2.741666667</v>
      </c>
      <c r="P35" s="796">
        <f>'29'!$Y$34</f>
        <v>3470.166667</v>
      </c>
      <c r="Q35" s="791" t="str">
        <f>'29'!$AB$36</f>
        <v/>
      </c>
      <c r="R35" s="797" t="s">
        <v>293</v>
      </c>
      <c r="S35" s="791" t="str">
        <f>'29'!$Y$36</f>
        <v/>
      </c>
      <c r="T35" s="798">
        <v>1.0</v>
      </c>
      <c r="U35" s="797">
        <v>80.0</v>
      </c>
      <c r="V35" s="799">
        <f>'29'!$A$41</f>
        <v>12</v>
      </c>
      <c r="W35" s="799">
        <f>'29'!$J$41</f>
        <v>12</v>
      </c>
      <c r="X35" s="800">
        <f>'29'!$B$41</f>
        <v>12</v>
      </c>
      <c r="Y35" s="800">
        <f>'29'!$H$45</f>
        <v>12</v>
      </c>
      <c r="Z35" s="801">
        <f>'29'!$C$41</f>
        <v>12</v>
      </c>
      <c r="AA35" s="801">
        <f>'29'!$O$41</f>
        <v>12</v>
      </c>
      <c r="AB35" s="801">
        <f>'29'!$Q$45</f>
        <v>0</v>
      </c>
      <c r="AC35" s="802">
        <f>'29'!$O$51</f>
        <v>12</v>
      </c>
      <c r="AD35" s="803">
        <f>'29'!$R$51</f>
        <v>12</v>
      </c>
      <c r="AE35" s="804">
        <f>'29'!$O$57</f>
        <v>12</v>
      </c>
      <c r="AF35" s="804">
        <f>'29'!$R$57</f>
        <v>12</v>
      </c>
      <c r="AG35" s="805">
        <f>'29'!$L$45</f>
        <v>0</v>
      </c>
      <c r="AH35" s="806" t="str">
        <f>'29'!$L$37</f>
        <v/>
      </c>
    </row>
    <row r="36" ht="17.25" customHeight="1">
      <c r="A36" s="789">
        <v>30.0</v>
      </c>
      <c r="B36" s="808">
        <f>'30'!$C$37</f>
        <v>60.2</v>
      </c>
      <c r="C36" s="808">
        <f>'30'!$D$37</f>
        <v>35.1</v>
      </c>
      <c r="D36" s="808">
        <f>'30'!$E$37</f>
        <v>28.1</v>
      </c>
      <c r="E36" s="791">
        <f>'30'!AA32</f>
        <v>37605.75</v>
      </c>
      <c r="F36" s="792">
        <f>MAX('30'!$AB$6:$AB$29)</f>
        <v>66.60786699</v>
      </c>
      <c r="G36" s="792">
        <f>MIN('30'!$AB$6:$AB$29)</f>
        <v>57.78796596</v>
      </c>
      <c r="H36" s="792">
        <f>'30'!$AB$32</f>
        <v>61.6744202</v>
      </c>
      <c r="I36" s="793">
        <f>'30'!$AL$40</f>
        <v>0</v>
      </c>
      <c r="J36" s="794">
        <f>'30'!$AL$41</f>
        <v>0</v>
      </c>
      <c r="K36" s="793">
        <f>'30'!$AQ$40</f>
        <v>2663.466667</v>
      </c>
      <c r="L36" s="794">
        <f>'30'!$AQ$41</f>
        <v>8.727961635</v>
      </c>
      <c r="M36" s="795">
        <f>'30'!$O$20</f>
        <v>3.8</v>
      </c>
      <c r="N36" s="795">
        <f>'30'!$O$21</f>
        <v>3</v>
      </c>
      <c r="O36" s="795">
        <f>'30'!$O$19</f>
        <v>3.316666667</v>
      </c>
      <c r="P36" s="796">
        <f>'30'!$Y$34</f>
        <v>3532</v>
      </c>
      <c r="Q36" s="791" t="str">
        <f>'30'!$AB$36</f>
        <v/>
      </c>
      <c r="R36" s="797" t="s">
        <v>293</v>
      </c>
      <c r="S36" s="791" t="str">
        <f>'30'!$Y$36</f>
        <v/>
      </c>
      <c r="T36" s="798">
        <v>1.0</v>
      </c>
      <c r="U36" s="797">
        <v>80.0</v>
      </c>
      <c r="V36" s="799">
        <f>'30'!$A$41</f>
        <v>12</v>
      </c>
      <c r="W36" s="799">
        <f>'30'!$J$41</f>
        <v>12</v>
      </c>
      <c r="X36" s="800">
        <f>'30'!$B$41</f>
        <v>12</v>
      </c>
      <c r="Y36" s="800">
        <f>'30'!$H$45</f>
        <v>12</v>
      </c>
      <c r="Z36" s="801">
        <f>'30'!$C$41</f>
        <v>12</v>
      </c>
      <c r="AA36" s="801">
        <f>'30'!$O$41</f>
        <v>12</v>
      </c>
      <c r="AB36" s="801">
        <f>'30'!$Q$45</f>
        <v>0</v>
      </c>
      <c r="AC36" s="802">
        <f>'30'!$O$51</f>
        <v>12</v>
      </c>
      <c r="AD36" s="803">
        <f>'30'!$R$51</f>
        <v>12</v>
      </c>
      <c r="AE36" s="804">
        <f>'30'!$O$57</f>
        <v>12</v>
      </c>
      <c r="AF36" s="804">
        <f>'30'!$R$57</f>
        <v>12</v>
      </c>
      <c r="AG36" s="805">
        <f>'30'!$L$45</f>
        <v>1</v>
      </c>
      <c r="AH36" s="806">
        <f>'30'!$L$37</f>
        <v>0.1</v>
      </c>
    </row>
    <row r="37" ht="17.25" customHeight="1">
      <c r="A37" s="789">
        <v>31.0</v>
      </c>
      <c r="B37" s="808">
        <f>'31'!$C$37</f>
        <v>62.2</v>
      </c>
      <c r="C37" s="808">
        <f>'31'!$D$37</f>
        <v>36.1</v>
      </c>
      <c r="D37" s="808">
        <f>'31'!$E$37</f>
        <v>30.1</v>
      </c>
      <c r="E37" s="791">
        <f>'31'!AA32</f>
        <v>36229.2</v>
      </c>
      <c r="F37" s="792">
        <f>MAX('31'!$AB$6:$AB$29)</f>
        <v>62.35810878</v>
      </c>
      <c r="G37" s="792">
        <f>MIN('31'!$AB$6:$AB$29)</f>
        <v>59.41967645</v>
      </c>
      <c r="H37" s="792">
        <f>'31'!$AB$32</f>
        <v>60.89964075</v>
      </c>
      <c r="I37" s="793">
        <f>'31'!$AL$40</f>
        <v>0</v>
      </c>
      <c r="J37" s="794">
        <f>'31'!$AL$41</f>
        <v>0</v>
      </c>
      <c r="K37" s="793">
        <f>'31'!$AQ$40</f>
        <v>2633.2</v>
      </c>
      <c r="L37" s="794">
        <f>'31'!$AQ$41</f>
        <v>8.851080536</v>
      </c>
      <c r="M37" s="795">
        <f>'31'!$O$20</f>
        <v>3.5</v>
      </c>
      <c r="N37" s="795">
        <f>'31'!$O$21</f>
        <v>3</v>
      </c>
      <c r="O37" s="795">
        <f>'31'!$O$19</f>
        <v>3.075</v>
      </c>
      <c r="P37" s="796">
        <f>'31'!$Y$34</f>
        <v>3443.291667</v>
      </c>
      <c r="Q37" s="791">
        <f>'31'!$AB$36</f>
        <v>6</v>
      </c>
      <c r="R37" s="797" t="s">
        <v>293</v>
      </c>
      <c r="S37" s="791">
        <f>'31'!$Y$36</f>
        <v>0</v>
      </c>
      <c r="T37" s="798">
        <v>1.0</v>
      </c>
      <c r="U37" s="797">
        <v>80.0</v>
      </c>
      <c r="V37" s="799">
        <f>'31'!$A$41</f>
        <v>12</v>
      </c>
      <c r="W37" s="799">
        <f>'31'!$J$41</f>
        <v>12</v>
      </c>
      <c r="X37" s="800">
        <f>'31'!$B$41</f>
        <v>12</v>
      </c>
      <c r="Y37" s="800">
        <f>'31'!$H$45</f>
        <v>12</v>
      </c>
      <c r="Z37" s="801">
        <f>'31'!$C$41</f>
        <v>12</v>
      </c>
      <c r="AA37" s="801">
        <f>'31'!$O$41</f>
        <v>12</v>
      </c>
      <c r="AB37" s="801">
        <f>'31'!$Q$45</f>
        <v>0</v>
      </c>
      <c r="AC37" s="802">
        <f>'30'!$O$51</f>
        <v>12</v>
      </c>
      <c r="AD37" s="803">
        <f>'30'!$R$51</f>
        <v>12</v>
      </c>
      <c r="AE37" s="804">
        <f>'31'!$O$57</f>
        <v>12</v>
      </c>
      <c r="AF37" s="804">
        <f>'31'!$R$57</f>
        <v>12</v>
      </c>
      <c r="AG37" s="805">
        <f>'31'!$L$45</f>
        <v>0</v>
      </c>
      <c r="AH37" s="806" t="str">
        <f>'31'!$L$37</f>
        <v/>
      </c>
    </row>
    <row r="38" ht="17.25" customHeight="1">
      <c r="A38" s="809" t="s">
        <v>294</v>
      </c>
      <c r="B38" s="790">
        <f>MAX('Parte3 '!B7:B37)</f>
        <v>78.3</v>
      </c>
      <c r="C38" s="790">
        <f>MAX('Parte3 '!C7:C37)</f>
        <v>54.2</v>
      </c>
      <c r="D38" s="790">
        <f>MAX('Parte3 '!D7:D37)</f>
        <v>36.1</v>
      </c>
      <c r="E38" s="791"/>
      <c r="F38" s="792"/>
      <c r="G38" s="792"/>
      <c r="H38" s="792"/>
      <c r="I38" s="793"/>
      <c r="J38" s="794"/>
      <c r="K38" s="793"/>
      <c r="L38" s="794"/>
      <c r="M38" s="795">
        <f>MAX('Parte3 '!M7:M37)</f>
        <v>32</v>
      </c>
      <c r="N38" s="792"/>
      <c r="O38" s="792"/>
      <c r="P38" s="810"/>
      <c r="V38" s="811"/>
      <c r="W38" s="570"/>
      <c r="X38" s="570"/>
      <c r="Y38" s="570"/>
      <c r="Z38" s="570"/>
      <c r="AA38" s="570"/>
      <c r="AB38" s="570"/>
      <c r="AC38" s="570"/>
      <c r="AD38" s="570"/>
      <c r="AE38" s="570"/>
      <c r="AF38" s="570"/>
      <c r="AG38" s="570"/>
      <c r="AH38" s="571"/>
    </row>
    <row r="39" ht="17.25" customHeight="1">
      <c r="A39" s="812" t="s">
        <v>295</v>
      </c>
      <c r="B39" s="790">
        <f>MIN('Parte3 '!B7:B37)</f>
        <v>54.2</v>
      </c>
      <c r="C39" s="790">
        <f>MIN('Parte3 '!C7:C37)</f>
        <v>22.1</v>
      </c>
      <c r="D39" s="790">
        <f>MIN('Parte3 '!D7:D37)</f>
        <v>18.1</v>
      </c>
      <c r="E39" s="813"/>
      <c r="F39" s="813"/>
      <c r="G39" s="813"/>
      <c r="H39" s="813"/>
      <c r="I39" s="813"/>
      <c r="J39" s="813"/>
      <c r="K39" s="813"/>
      <c r="L39" s="813"/>
      <c r="M39" s="812"/>
      <c r="N39" s="795">
        <f>MIN('Parte3 '!N7:N37)</f>
        <v>2</v>
      </c>
      <c r="O39" s="812"/>
      <c r="P39" s="813"/>
      <c r="Q39" s="814" t="s">
        <v>296</v>
      </c>
      <c r="R39" s="571"/>
      <c r="S39" s="815" t="s">
        <v>297</v>
      </c>
      <c r="T39" s="570"/>
      <c r="U39" s="571"/>
      <c r="V39" s="816">
        <f>'Parte3 '!$A$37*12</f>
        <v>372</v>
      </c>
      <c r="W39" s="817"/>
      <c r="X39" s="816">
        <f>'Parte3 '!V39</f>
        <v>372</v>
      </c>
      <c r="Y39" s="817"/>
      <c r="Z39" s="817">
        <f>'Parte3 '!A37*12</f>
        <v>372</v>
      </c>
      <c r="AA39" s="817"/>
      <c r="AB39" s="818"/>
      <c r="AC39" s="816">
        <f>'Parte3 '!V39</f>
        <v>372</v>
      </c>
      <c r="AD39" s="758"/>
      <c r="AE39" s="819">
        <f>V39</f>
        <v>372</v>
      </c>
      <c r="AF39" s="758"/>
      <c r="AG39" s="55">
        <v>8.0</v>
      </c>
      <c r="AH39" s="758"/>
    </row>
    <row r="40" ht="17.25" customHeight="1">
      <c r="A40" s="812" t="s">
        <v>298</v>
      </c>
      <c r="B40" s="790">
        <f>AVERAGE('Parte3 '!B7:B37)</f>
        <v>60.17666667</v>
      </c>
      <c r="C40" s="790">
        <f>AVERAGE('Parte3 '!C7:C37)</f>
        <v>33.47666667</v>
      </c>
      <c r="D40" s="790">
        <f>AVERAGE('Parte3 '!D7:D37)</f>
        <v>25.87</v>
      </c>
      <c r="E40" s="820">
        <f>AVERAGE('Parte3 '!E7:E37)</f>
        <v>42565.95613</v>
      </c>
      <c r="F40" s="821"/>
      <c r="G40" s="571"/>
      <c r="H40" s="822" t="str">
        <f>AVERAGE('Parte3 '!H7:H37)</f>
        <v>#DIV/0!</v>
      </c>
      <c r="I40" s="822"/>
      <c r="J40" s="822"/>
      <c r="K40" s="822"/>
      <c r="L40" s="822"/>
      <c r="M40" s="822"/>
      <c r="N40" s="822"/>
      <c r="O40" s="795">
        <f>AVERAGE('Parte3 '!O7:O37)</f>
        <v>3.47370479</v>
      </c>
      <c r="P40" s="820">
        <f>AVERAGE('Parte3 '!P7:P37)</f>
        <v>3363.089119</v>
      </c>
      <c r="Q40" s="791">
        <f>SUM('Parte3 '!Q7:Q37)</f>
        <v>50</v>
      </c>
      <c r="R40" s="791"/>
      <c r="S40" s="791">
        <f>SUM('Parte3 '!S7:S37)</f>
        <v>6797</v>
      </c>
      <c r="T40" s="791">
        <f>SUM('Parte3 '!T7:T37)</f>
        <v>31</v>
      </c>
      <c r="U40" s="791"/>
      <c r="V40" s="823">
        <f>SUM('Parte3 '!V7:V37)</f>
        <v>364</v>
      </c>
      <c r="W40" s="823">
        <f>SUM('Parte3 '!W7:W37)</f>
        <v>364</v>
      </c>
      <c r="X40" s="800">
        <f>SUM('Parte3 '!X7:X37)</f>
        <v>364</v>
      </c>
      <c r="Y40" s="800">
        <f>SUM('Parte3 '!Y7:Y37)</f>
        <v>363</v>
      </c>
      <c r="Z40" s="801">
        <f>SUM('Parte3 '!Z7:Z37)</f>
        <v>363</v>
      </c>
      <c r="AA40" s="801">
        <f>SUM('Parte3 '!AA7:AA37)</f>
        <v>175</v>
      </c>
      <c r="AB40" s="801">
        <f>SUM('Parte3 '!AB7:AB37)</f>
        <v>164</v>
      </c>
      <c r="AC40" s="802">
        <f>SUM('Parte3 '!AC7:AC37)</f>
        <v>364</v>
      </c>
      <c r="AD40" s="802">
        <f>SUM('Parte3 '!AD7:AD37)</f>
        <v>364</v>
      </c>
      <c r="AE40" s="804">
        <f t="shared" ref="AE40:AF40" si="1">SUM(AE7:AE37)</f>
        <v>364</v>
      </c>
      <c r="AF40" s="804">
        <f t="shared" si="1"/>
        <v>364</v>
      </c>
      <c r="AG40" s="805">
        <f>SUM('Parte3 '!AG7:AG37)</f>
        <v>16</v>
      </c>
      <c r="AH40" s="758"/>
    </row>
    <row r="41" ht="12.75" customHeight="1">
      <c r="A41" s="824" t="s">
        <v>232</v>
      </c>
      <c r="B41" s="825"/>
      <c r="C41" s="825"/>
      <c r="D41" s="826"/>
      <c r="E41" s="826"/>
      <c r="F41" s="826"/>
      <c r="G41" s="826"/>
      <c r="H41" s="826"/>
      <c r="I41" s="826"/>
      <c r="J41" s="826"/>
      <c r="K41" s="826"/>
      <c r="L41" s="826"/>
      <c r="M41" s="826"/>
      <c r="N41" s="827"/>
      <c r="O41" s="684"/>
      <c r="P41" s="684"/>
      <c r="Q41" s="684"/>
      <c r="R41" s="684"/>
      <c r="S41" s="684"/>
      <c r="T41" s="684"/>
      <c r="U41" s="684"/>
      <c r="V41" s="684"/>
      <c r="W41" s="684"/>
      <c r="X41" s="684"/>
      <c r="Y41" s="684"/>
      <c r="Z41" s="684"/>
      <c r="AA41" s="684"/>
      <c r="AB41" s="685"/>
    </row>
    <row r="42" ht="12.75" customHeight="1">
      <c r="A42" s="828"/>
      <c r="B42" s="829"/>
      <c r="C42" s="829"/>
      <c r="D42" s="826"/>
      <c r="E42" s="826"/>
      <c r="F42" s="826"/>
      <c r="G42" s="826"/>
      <c r="H42" s="826"/>
      <c r="I42" s="826"/>
      <c r="J42" s="826"/>
      <c r="K42" s="826"/>
      <c r="L42" s="826"/>
      <c r="M42" s="826"/>
      <c r="N42" s="830"/>
      <c r="O42" s="831"/>
      <c r="P42" s="832" t="s">
        <v>299</v>
      </c>
      <c r="Q42" s="833"/>
      <c r="R42" s="831"/>
      <c r="U42" s="834"/>
      <c r="V42" s="684"/>
      <c r="W42" s="684"/>
      <c r="X42" s="833"/>
      <c r="Y42" s="835"/>
      <c r="Z42" s="835"/>
      <c r="AA42" s="831"/>
      <c r="AB42" s="836"/>
    </row>
    <row r="43" ht="12.75" customHeight="1">
      <c r="A43" s="837"/>
      <c r="B43" s="829"/>
      <c r="C43" s="829"/>
      <c r="D43" s="826"/>
      <c r="E43" s="826"/>
      <c r="F43" s="826"/>
      <c r="G43" s="826"/>
      <c r="H43" s="826"/>
      <c r="I43" s="826"/>
      <c r="J43" s="826"/>
      <c r="K43" s="826"/>
      <c r="L43" s="826"/>
      <c r="M43" s="826"/>
      <c r="N43" s="827"/>
      <c r="O43" s="684"/>
      <c r="P43" s="684"/>
      <c r="Q43" s="684"/>
      <c r="R43" s="684"/>
      <c r="S43" s="684"/>
      <c r="T43" s="684"/>
      <c r="U43" s="684"/>
      <c r="V43" s="684"/>
      <c r="W43" s="684"/>
      <c r="X43" s="684"/>
      <c r="Y43" s="684"/>
      <c r="Z43" s="684"/>
      <c r="AA43" s="684"/>
      <c r="AB43" s="685"/>
    </row>
    <row r="44" ht="12.75" customHeight="1">
      <c r="A44" s="837"/>
      <c r="B44" s="829"/>
      <c r="C44" s="829"/>
      <c r="D44" s="826"/>
      <c r="E44" s="826"/>
      <c r="F44" s="826"/>
      <c r="G44" s="826"/>
      <c r="H44" s="826"/>
      <c r="I44" s="826"/>
      <c r="J44" s="826"/>
      <c r="K44" s="826"/>
      <c r="L44" s="826"/>
      <c r="M44" s="826"/>
      <c r="N44" s="824"/>
      <c r="O44" s="838"/>
      <c r="P44" s="838" t="s">
        <v>300</v>
      </c>
      <c r="Q44" s="838"/>
      <c r="R44" s="838"/>
      <c r="T44" s="838"/>
      <c r="U44" s="839"/>
      <c r="V44" s="839"/>
      <c r="W44" s="839"/>
      <c r="X44" s="839"/>
      <c r="Y44" s="839"/>
      <c r="Z44" s="839" t="s">
        <v>257</v>
      </c>
      <c r="AA44" s="835"/>
      <c r="AB44" s="840"/>
    </row>
    <row r="45" ht="13.5" customHeight="1">
      <c r="A45" s="841"/>
      <c r="B45" s="842"/>
      <c r="C45" s="842"/>
      <c r="D45" s="843"/>
      <c r="E45" s="843"/>
      <c r="F45" s="843"/>
      <c r="G45" s="843"/>
      <c r="H45" s="843"/>
      <c r="I45" s="843"/>
      <c r="J45" s="843"/>
      <c r="K45" s="843"/>
      <c r="L45" s="843"/>
      <c r="M45" s="843"/>
      <c r="N45" s="844"/>
      <c r="O45" s="752"/>
      <c r="P45" s="752"/>
      <c r="Q45" s="752"/>
      <c r="R45" s="752"/>
      <c r="S45" s="752"/>
      <c r="T45" s="752"/>
      <c r="U45" s="752"/>
      <c r="V45" s="752"/>
      <c r="W45" s="752"/>
      <c r="X45" s="752"/>
      <c r="Y45" s="752"/>
      <c r="Z45" s="752"/>
      <c r="AA45" s="752"/>
      <c r="AB45" s="528"/>
    </row>
    <row r="46" ht="17.25" customHeight="1">
      <c r="A46" s="845"/>
      <c r="B46" s="846"/>
      <c r="C46" s="846"/>
      <c r="D46" s="846"/>
      <c r="E46" s="846"/>
      <c r="F46" s="846"/>
      <c r="G46" s="846"/>
      <c r="H46" s="846"/>
      <c r="I46" s="846"/>
      <c r="J46" s="846"/>
      <c r="K46" s="846"/>
      <c r="L46" s="846"/>
      <c r="M46" s="847"/>
      <c r="N46" s="847"/>
      <c r="O46" s="847"/>
      <c r="P46" s="847"/>
      <c r="Q46" s="848"/>
      <c r="R46" s="848"/>
      <c r="S46" s="848"/>
      <c r="T46" s="848"/>
      <c r="U46" s="848"/>
      <c r="V46" s="848"/>
      <c r="W46" s="848"/>
      <c r="X46" s="849"/>
      <c r="Y46" s="849"/>
      <c r="Z46" s="849"/>
      <c r="AA46" s="849"/>
      <c r="AB46" s="849"/>
      <c r="AC46" s="849"/>
      <c r="AD46" s="849"/>
      <c r="AE46" s="849"/>
      <c r="AF46" s="849"/>
      <c r="AG46" s="849"/>
    </row>
    <row r="47" ht="17.25" customHeight="1">
      <c r="A47" s="845"/>
      <c r="B47" s="846"/>
      <c r="C47" s="846"/>
      <c r="D47" s="846"/>
      <c r="E47" s="846"/>
      <c r="F47" s="846"/>
      <c r="G47" s="846"/>
      <c r="H47" s="846"/>
      <c r="I47" s="846"/>
      <c r="J47" s="846"/>
      <c r="K47" s="846"/>
      <c r="L47" s="846"/>
      <c r="M47" s="847"/>
      <c r="N47" s="847"/>
      <c r="O47" s="847"/>
      <c r="P47" s="847"/>
      <c r="Q47" s="848"/>
      <c r="R47" s="848"/>
      <c r="S47" s="848"/>
      <c r="T47" s="848"/>
      <c r="U47" s="848"/>
      <c r="V47" s="848"/>
      <c r="W47" s="848"/>
      <c r="X47" s="849"/>
      <c r="Y47" s="849"/>
      <c r="Z47" s="849"/>
      <c r="AA47" s="849"/>
      <c r="AB47" s="849"/>
      <c r="AC47" s="849"/>
      <c r="AD47" s="849"/>
      <c r="AE47" s="849"/>
      <c r="AF47" s="849"/>
      <c r="AG47" s="849"/>
    </row>
    <row r="48" ht="12.75" customHeight="1">
      <c r="AG48" s="850" t="s">
        <v>301</v>
      </c>
      <c r="AH48" s="851">
        <f>MAX('Parte3 '!AH7:AH36)</f>
        <v>0.15</v>
      </c>
      <c r="AI48" s="852"/>
    </row>
    <row r="49" ht="12.75" customHeight="1">
      <c r="W49" s="679"/>
      <c r="AG49" s="850" t="s">
        <v>302</v>
      </c>
      <c r="AH49" s="851">
        <f>MIN('Parte3 '!AH7:AH36)</f>
        <v>0.1</v>
      </c>
      <c r="AI49" s="852"/>
    </row>
    <row r="50" ht="12.75" customHeight="1">
      <c r="W50" s="679"/>
      <c r="AG50" s="850" t="s">
        <v>303</v>
      </c>
      <c r="AH50" s="851">
        <f>AVERAGE('Parte3 '!AH7:AH36)</f>
        <v>0.1346153846</v>
      </c>
      <c r="AI50" s="852"/>
    </row>
    <row r="51" ht="12.75" customHeight="1">
      <c r="A51" s="708"/>
      <c r="B51" s="853" t="s">
        <v>304</v>
      </c>
      <c r="C51" s="79"/>
      <c r="D51" s="80"/>
      <c r="W51" s="679"/>
      <c r="AI51" s="97"/>
    </row>
    <row r="52" ht="12.75" customHeight="1">
      <c r="A52" s="854"/>
      <c r="B52" s="855" t="s">
        <v>223</v>
      </c>
      <c r="C52" s="855" t="s">
        <v>305</v>
      </c>
      <c r="D52" s="856" t="s">
        <v>43</v>
      </c>
      <c r="W52" s="679"/>
    </row>
    <row r="53" ht="12.75" customHeight="1">
      <c r="A53" s="857">
        <v>1.0</v>
      </c>
      <c r="B53" s="858">
        <v>59.8</v>
      </c>
      <c r="C53" s="858">
        <v>29.9</v>
      </c>
      <c r="D53" s="743">
        <v>27.9</v>
      </c>
      <c r="I53" s="859"/>
      <c r="J53" s="859"/>
      <c r="K53" s="859"/>
      <c r="W53" s="679"/>
    </row>
    <row r="54" ht="12.75" customHeight="1">
      <c r="A54" s="860">
        <v>2.0</v>
      </c>
      <c r="B54" s="858">
        <v>57.8</v>
      </c>
      <c r="C54" s="858">
        <v>30.9</v>
      </c>
      <c r="D54" s="743">
        <v>26.9</v>
      </c>
      <c r="I54" s="859"/>
      <c r="J54" s="859"/>
      <c r="K54" s="859"/>
      <c r="W54" s="679"/>
    </row>
    <row r="55" ht="12.75" customHeight="1">
      <c r="A55" s="860">
        <v>3.0</v>
      </c>
      <c r="B55" s="858">
        <v>63.7</v>
      </c>
      <c r="C55" s="858">
        <v>39.8</v>
      </c>
      <c r="D55" s="743">
        <v>37.8</v>
      </c>
      <c r="I55" s="859"/>
      <c r="J55" s="859"/>
      <c r="K55" s="859"/>
      <c r="W55" s="679"/>
    </row>
    <row r="56" ht="12.75" customHeight="1">
      <c r="A56" s="860">
        <v>4.0</v>
      </c>
      <c r="B56" s="858">
        <v>60.7</v>
      </c>
      <c r="C56" s="858">
        <v>38.8</v>
      </c>
      <c r="D56" s="743">
        <v>35.8</v>
      </c>
      <c r="I56" s="859"/>
      <c r="J56" s="859"/>
      <c r="K56" s="859"/>
      <c r="W56" s="679"/>
    </row>
    <row r="57" ht="12.75" customHeight="1">
      <c r="A57" s="860">
        <v>5.0</v>
      </c>
      <c r="B57" s="858">
        <v>59.8</v>
      </c>
      <c r="C57" s="858">
        <v>36.8</v>
      </c>
      <c r="D57" s="743">
        <v>33.8</v>
      </c>
      <c r="I57" s="859"/>
      <c r="J57" s="859"/>
      <c r="K57" s="859"/>
      <c r="W57" s="679"/>
    </row>
    <row r="58" ht="12.75" customHeight="1">
      <c r="A58" s="860">
        <v>6.0</v>
      </c>
      <c r="B58" s="858">
        <v>61.7</v>
      </c>
      <c r="C58" s="858">
        <v>31.9</v>
      </c>
      <c r="D58" s="743">
        <v>31.9</v>
      </c>
      <c r="I58" s="859"/>
      <c r="J58" s="859"/>
      <c r="K58" s="859"/>
      <c r="W58" s="679"/>
    </row>
    <row r="59" ht="12.75" customHeight="1">
      <c r="A59" s="860">
        <v>7.0</v>
      </c>
      <c r="B59" s="858">
        <v>58.7</v>
      </c>
      <c r="C59" s="858">
        <v>33.9</v>
      </c>
      <c r="D59" s="743">
        <v>31.9</v>
      </c>
      <c r="I59" s="859"/>
      <c r="J59" s="859"/>
      <c r="K59" s="859"/>
      <c r="W59" s="679"/>
    </row>
    <row r="60" ht="12.75" customHeight="1">
      <c r="A60" s="860">
        <v>8.0</v>
      </c>
      <c r="B60" s="858">
        <v>60.7</v>
      </c>
      <c r="C60" s="858">
        <v>35.8</v>
      </c>
      <c r="D60" s="743">
        <v>34.9</v>
      </c>
      <c r="I60" s="859"/>
      <c r="J60" s="859"/>
      <c r="K60" s="859"/>
      <c r="W60" s="679"/>
    </row>
    <row r="61" ht="12.75" customHeight="1">
      <c r="A61" s="860">
        <v>9.0</v>
      </c>
      <c r="B61" s="858">
        <v>61.7</v>
      </c>
      <c r="C61" s="858">
        <v>33.9</v>
      </c>
      <c r="D61" s="743">
        <v>27.9</v>
      </c>
      <c r="I61" s="859"/>
      <c r="J61" s="859"/>
      <c r="K61" s="859"/>
      <c r="W61" s="679"/>
    </row>
    <row r="62" ht="12.75" customHeight="1">
      <c r="A62" s="860">
        <v>10.0</v>
      </c>
      <c r="B62" s="858">
        <v>60.7</v>
      </c>
      <c r="C62" s="858">
        <v>34.9</v>
      </c>
      <c r="D62" s="743">
        <v>29.9</v>
      </c>
      <c r="I62" s="859"/>
      <c r="J62" s="859"/>
      <c r="K62" s="859"/>
      <c r="W62" s="679"/>
    </row>
    <row r="63" ht="12.75" customHeight="1">
      <c r="A63" s="860">
        <v>11.0</v>
      </c>
      <c r="B63" s="858">
        <v>61.7</v>
      </c>
      <c r="C63" s="858">
        <v>35.8</v>
      </c>
      <c r="D63" s="743">
        <v>31.9</v>
      </c>
      <c r="I63" s="859"/>
      <c r="J63" s="859"/>
      <c r="K63" s="859"/>
      <c r="W63" s="679"/>
    </row>
    <row r="64" ht="12.75" customHeight="1">
      <c r="A64" s="860">
        <v>12.0</v>
      </c>
      <c r="B64" s="858">
        <v>57.8</v>
      </c>
      <c r="C64" s="858">
        <v>33.8</v>
      </c>
      <c r="D64" s="743">
        <v>29.9</v>
      </c>
      <c r="I64" s="859"/>
      <c r="J64" s="859"/>
      <c r="K64" s="859"/>
      <c r="W64" s="679"/>
    </row>
    <row r="65" ht="12.75" customHeight="1">
      <c r="A65" s="860">
        <v>13.0</v>
      </c>
      <c r="B65" s="858">
        <v>59.8</v>
      </c>
      <c r="C65" s="858">
        <v>34.9</v>
      </c>
      <c r="D65" s="743">
        <v>30.9</v>
      </c>
      <c r="I65" s="859"/>
      <c r="J65" s="859"/>
      <c r="K65" s="859"/>
      <c r="W65" s="679"/>
    </row>
    <row r="66" ht="12.75" customHeight="1">
      <c r="A66" s="860">
        <v>14.0</v>
      </c>
      <c r="B66" s="858">
        <v>57.7</v>
      </c>
      <c r="C66" s="858">
        <v>27.8</v>
      </c>
      <c r="D66" s="743">
        <v>25.8</v>
      </c>
      <c r="I66" s="859"/>
      <c r="J66" s="859"/>
      <c r="K66" s="859"/>
      <c r="W66" s="679"/>
    </row>
    <row r="67" ht="12.75" customHeight="1">
      <c r="A67" s="860">
        <v>15.0</v>
      </c>
      <c r="B67" s="858">
        <v>60.7</v>
      </c>
      <c r="C67" s="858">
        <v>33.9</v>
      </c>
      <c r="D67" s="858">
        <v>29.9</v>
      </c>
      <c r="I67" s="859"/>
      <c r="J67" s="859"/>
      <c r="K67" s="859"/>
      <c r="W67" s="679"/>
    </row>
    <row r="68" ht="12.75" customHeight="1">
      <c r="A68" s="860">
        <v>16.0</v>
      </c>
      <c r="B68" s="702"/>
      <c r="C68" s="702"/>
      <c r="D68" s="702"/>
      <c r="I68" s="859"/>
      <c r="J68" s="859"/>
      <c r="K68" s="859"/>
      <c r="W68" s="679"/>
    </row>
    <row r="69" ht="12.75" customHeight="1">
      <c r="A69" s="860">
        <v>17.0</v>
      </c>
      <c r="B69" s="702"/>
      <c r="C69" s="702"/>
      <c r="D69" s="702"/>
      <c r="I69" s="859"/>
      <c r="J69" s="859"/>
      <c r="K69" s="859"/>
      <c r="W69" s="679"/>
    </row>
    <row r="70" ht="12.75" customHeight="1">
      <c r="A70" s="860">
        <v>18.0</v>
      </c>
      <c r="B70" s="702"/>
      <c r="C70" s="702"/>
      <c r="D70" s="702"/>
      <c r="I70" s="859"/>
      <c r="J70" s="859"/>
      <c r="K70" s="859"/>
      <c r="W70" s="679"/>
    </row>
    <row r="71" ht="12.75" customHeight="1">
      <c r="A71" s="860">
        <v>19.0</v>
      </c>
      <c r="B71" s="702"/>
      <c r="C71" s="702"/>
      <c r="D71" s="702"/>
      <c r="I71" s="859"/>
      <c r="J71" s="859"/>
      <c r="K71" s="859"/>
      <c r="W71" s="679"/>
    </row>
    <row r="72" ht="12.75" customHeight="1">
      <c r="A72" s="860">
        <v>20.0</v>
      </c>
      <c r="B72" s="702"/>
      <c r="C72" s="702"/>
      <c r="D72" s="702"/>
      <c r="I72" s="859"/>
      <c r="J72" s="859"/>
      <c r="K72" s="859"/>
      <c r="W72" s="679"/>
    </row>
    <row r="73" ht="12.75" customHeight="1">
      <c r="A73" s="860">
        <v>21.0</v>
      </c>
      <c r="B73" s="702"/>
      <c r="C73" s="702"/>
      <c r="D73" s="702"/>
      <c r="I73" s="859"/>
      <c r="J73" s="859"/>
      <c r="K73" s="859"/>
      <c r="W73" s="679"/>
    </row>
    <row r="74" ht="12.75" customHeight="1">
      <c r="A74" s="860">
        <v>22.0</v>
      </c>
      <c r="B74" s="702"/>
      <c r="C74" s="702"/>
      <c r="D74" s="702"/>
      <c r="I74" s="859"/>
      <c r="J74" s="859"/>
      <c r="K74" s="859"/>
      <c r="W74" s="679"/>
    </row>
    <row r="75" ht="12.75" customHeight="1">
      <c r="A75" s="860">
        <v>23.0</v>
      </c>
      <c r="B75" s="702"/>
      <c r="C75" s="702"/>
      <c r="D75" s="702"/>
      <c r="I75" s="859"/>
      <c r="J75" s="859"/>
      <c r="K75" s="859"/>
      <c r="W75" s="679"/>
    </row>
    <row r="76" ht="12.75" customHeight="1">
      <c r="A76" s="860">
        <v>24.0</v>
      </c>
      <c r="B76" s="702"/>
      <c r="C76" s="702"/>
      <c r="D76" s="702"/>
      <c r="I76" s="859"/>
      <c r="J76" s="859"/>
      <c r="K76" s="859"/>
      <c r="W76" s="679"/>
    </row>
    <row r="77" ht="12.75" customHeight="1">
      <c r="A77" s="860">
        <v>25.0</v>
      </c>
      <c r="B77" s="702"/>
      <c r="C77" s="702"/>
      <c r="D77" s="702"/>
      <c r="I77" s="859"/>
      <c r="J77" s="859"/>
      <c r="K77" s="859"/>
      <c r="W77" s="679"/>
    </row>
    <row r="78" ht="12.75" customHeight="1">
      <c r="A78" s="860">
        <v>26.0</v>
      </c>
      <c r="B78" s="702"/>
      <c r="C78" s="702"/>
      <c r="D78" s="702"/>
      <c r="I78" s="859"/>
      <c r="J78" s="859"/>
      <c r="K78" s="859"/>
      <c r="W78" s="679"/>
    </row>
    <row r="79" ht="12.75" customHeight="1">
      <c r="A79" s="860">
        <v>27.0</v>
      </c>
      <c r="B79" s="702"/>
      <c r="C79" s="702"/>
      <c r="D79" s="702"/>
      <c r="I79" s="859"/>
      <c r="J79" s="859"/>
      <c r="K79" s="859"/>
      <c r="W79" s="679"/>
    </row>
    <row r="80" ht="12.75" customHeight="1">
      <c r="A80" s="860">
        <v>28.0</v>
      </c>
      <c r="B80" s="708"/>
      <c r="C80" s="708"/>
      <c r="D80" s="708"/>
      <c r="W80" s="679"/>
    </row>
    <row r="81" ht="12.75" customHeight="1">
      <c r="A81" s="860">
        <v>29.0</v>
      </c>
      <c r="B81" s="708"/>
      <c r="C81" s="708"/>
      <c r="D81" s="708"/>
      <c r="W81" s="679"/>
    </row>
    <row r="82" ht="12.75" customHeight="1">
      <c r="A82" s="860">
        <v>30.0</v>
      </c>
      <c r="B82" s="708"/>
      <c r="C82" s="708"/>
      <c r="D82" s="708"/>
      <c r="W82" s="679"/>
    </row>
    <row r="83" ht="12.75" customHeight="1">
      <c r="A83" s="623">
        <v>31.0</v>
      </c>
      <c r="B83" s="708"/>
      <c r="C83" s="708"/>
      <c r="D83" s="708"/>
      <c r="W83" s="679"/>
    </row>
    <row r="84" ht="12.75" customHeight="1">
      <c r="B84" s="861" t="s">
        <v>306</v>
      </c>
      <c r="C84" s="862" t="s">
        <v>307</v>
      </c>
      <c r="D84" s="862" t="s">
        <v>298</v>
      </c>
      <c r="W84" s="679"/>
    </row>
    <row r="85" ht="12.75" customHeight="1">
      <c r="A85" s="861" t="s">
        <v>223</v>
      </c>
      <c r="B85" s="863">
        <f>MAX('Parte3 '!B53:B83)</f>
        <v>63.7</v>
      </c>
      <c r="C85" s="863">
        <f>MIN('Parte3 '!B52:B83)</f>
        <v>57.7</v>
      </c>
      <c r="D85" s="863">
        <f>AVERAGE('Parte3 '!B51:B83)</f>
        <v>60.2</v>
      </c>
      <c r="W85" s="679"/>
    </row>
    <row r="86" ht="12.75" customHeight="1">
      <c r="A86" s="862" t="s">
        <v>305</v>
      </c>
      <c r="B86" s="863">
        <f>MAX('Parte3 '!C53:C83)</f>
        <v>39.8</v>
      </c>
      <c r="C86" s="863">
        <f>MIN('Parte3 '!C53:C83)</f>
        <v>27.8</v>
      </c>
      <c r="D86" s="863">
        <f>AVERAGE('Parte3 '!C52:C83)</f>
        <v>34.18666667</v>
      </c>
      <c r="W86" s="679"/>
    </row>
    <row r="87" ht="13.5" customHeight="1">
      <c r="A87" s="862" t="s">
        <v>43</v>
      </c>
      <c r="B87" s="864">
        <f>MAX('Parte3 '!D54:D83)</f>
        <v>37.8</v>
      </c>
      <c r="C87" s="864">
        <f>MIN('Parte3 '!D54:D83)</f>
        <v>25.8</v>
      </c>
      <c r="D87" s="864">
        <f>AVERAGE('Parte3 '!D53:D83)</f>
        <v>31.14</v>
      </c>
      <c r="W87" s="679"/>
    </row>
    <row r="88" ht="13.5" customHeight="1">
      <c r="B88" s="697" t="s">
        <v>304</v>
      </c>
      <c r="C88" s="127"/>
      <c r="D88" s="127"/>
      <c r="E88" s="127"/>
      <c r="F88" s="127"/>
      <c r="G88" s="127"/>
      <c r="H88" s="127"/>
      <c r="I88" s="127"/>
      <c r="J88" s="128"/>
      <c r="W88" s="679"/>
    </row>
    <row r="89" ht="13.5" customHeight="1">
      <c r="B89" s="865" t="s">
        <v>223</v>
      </c>
      <c r="C89" s="11"/>
      <c r="D89" s="12"/>
      <c r="E89" s="865" t="s">
        <v>224</v>
      </c>
      <c r="F89" s="11"/>
      <c r="G89" s="12"/>
      <c r="H89" s="865" t="s">
        <v>308</v>
      </c>
      <c r="I89" s="11"/>
      <c r="J89" s="12"/>
      <c r="W89" s="679"/>
    </row>
    <row r="90" ht="13.5" customHeight="1">
      <c r="B90" s="866">
        <f>'Parte3 '!B85</f>
        <v>63.7</v>
      </c>
      <c r="C90" s="867">
        <f>'Parte3 '!C85</f>
        <v>57.7</v>
      </c>
      <c r="D90" s="867">
        <f>'Parte3 '!D85</f>
        <v>60.2</v>
      </c>
      <c r="E90" s="867">
        <f>'Parte3 '!B86</f>
        <v>39.8</v>
      </c>
      <c r="F90" s="867">
        <f>'Parte3 '!C86</f>
        <v>27.8</v>
      </c>
      <c r="G90" s="867">
        <f>'Parte3 '!D86</f>
        <v>34.18666667</v>
      </c>
      <c r="H90" s="867">
        <f>'Parte3 '!B87</f>
        <v>37.8</v>
      </c>
      <c r="I90" s="867">
        <f>'Parte3 '!C87</f>
        <v>25.8</v>
      </c>
      <c r="J90" s="868">
        <f>'Parte3 '!D87</f>
        <v>31.14</v>
      </c>
      <c r="W90" s="679"/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2">
    <mergeCell ref="AD4:AD6"/>
    <mergeCell ref="AE4:AF4"/>
    <mergeCell ref="AG4:AH4"/>
    <mergeCell ref="AE5:AE6"/>
    <mergeCell ref="AF5:AF6"/>
    <mergeCell ref="AG5:AG6"/>
    <mergeCell ref="AH5:AH6"/>
    <mergeCell ref="W4:W6"/>
    <mergeCell ref="X4:X6"/>
    <mergeCell ref="Y4:Y6"/>
    <mergeCell ref="Z4:Z6"/>
    <mergeCell ref="AA4:AA6"/>
    <mergeCell ref="AB4:AB6"/>
    <mergeCell ref="AC4:AC6"/>
    <mergeCell ref="K4:L4"/>
    <mergeCell ref="M4:O5"/>
    <mergeCell ref="P4:P6"/>
    <mergeCell ref="Q4:R4"/>
    <mergeCell ref="Q5:Q6"/>
    <mergeCell ref="R5:R6"/>
    <mergeCell ref="P38:U38"/>
    <mergeCell ref="Q39:R39"/>
    <mergeCell ref="S39:U39"/>
    <mergeCell ref="P42:Q42"/>
    <mergeCell ref="S4:U4"/>
    <mergeCell ref="V4:V6"/>
    <mergeCell ref="S5:S6"/>
    <mergeCell ref="T5:T6"/>
    <mergeCell ref="U5:U6"/>
    <mergeCell ref="K5:K6"/>
    <mergeCell ref="L5:L6"/>
    <mergeCell ref="H1:T2"/>
    <mergeCell ref="U1:W1"/>
    <mergeCell ref="U2:W2"/>
    <mergeCell ref="A4:A6"/>
    <mergeCell ref="B4:D4"/>
    <mergeCell ref="E4:H4"/>
    <mergeCell ref="F5:H5"/>
    <mergeCell ref="V38:AH38"/>
    <mergeCell ref="N41:AB41"/>
    <mergeCell ref="U42:X42"/>
    <mergeCell ref="N43:AB43"/>
    <mergeCell ref="N45:AB45"/>
    <mergeCell ref="E89:G89"/>
    <mergeCell ref="H89:J89"/>
    <mergeCell ref="I4:J4"/>
    <mergeCell ref="I5:I6"/>
    <mergeCell ref="J5:J6"/>
    <mergeCell ref="F40:G40"/>
    <mergeCell ref="B51:D51"/>
    <mergeCell ref="B88:J88"/>
    <mergeCell ref="B89:D89"/>
  </mergeCells>
  <printOptions/>
  <pageMargins bottom="0.590277777777778" footer="0.0" header="0.0" left="0.275694444444444" right="0.0" top="0.78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5" width="3.57"/>
    <col customWidth="1" min="26" max="29" width="8.86"/>
  </cols>
  <sheetData>
    <row r="1" ht="22.5" customHeight="1">
      <c r="A1" s="869" t="s">
        <v>309</v>
      </c>
      <c r="B1" s="11"/>
      <c r="C1" s="11"/>
      <c r="D1" s="11"/>
      <c r="E1" s="11"/>
      <c r="F1" s="12"/>
      <c r="G1" s="870" t="s">
        <v>217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871" t="s">
        <v>247</v>
      </c>
      <c r="W1" s="11"/>
      <c r="X1" s="11"/>
      <c r="Y1" s="12"/>
    </row>
    <row r="2" ht="18.0" customHeight="1">
      <c r="A2" s="16"/>
      <c r="B2" s="17"/>
      <c r="C2" s="17"/>
      <c r="D2" s="17"/>
      <c r="E2" s="17"/>
      <c r="F2" s="18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  <c r="V2" s="872">
        <f>'1'!$U$25</f>
        <v>43922</v>
      </c>
      <c r="W2" s="127"/>
      <c r="X2" s="127"/>
      <c r="Y2" s="128"/>
      <c r="Z2" s="623"/>
      <c r="AA2" s="623"/>
      <c r="AB2" s="623"/>
      <c r="AC2" s="623"/>
    </row>
    <row r="3" ht="3.75" customHeight="1">
      <c r="A3" s="616"/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  <c r="R3" s="616"/>
      <c r="S3" s="616"/>
      <c r="T3" s="616"/>
      <c r="U3" s="616"/>
      <c r="V3" s="616"/>
      <c r="W3" s="616"/>
      <c r="X3" s="616"/>
      <c r="Y3" s="616"/>
      <c r="Z3" s="623"/>
      <c r="AA3" s="623"/>
      <c r="AB3" s="623"/>
      <c r="AC3" s="623"/>
    </row>
    <row r="4" ht="27.75" customHeight="1">
      <c r="A4" s="617" t="s">
        <v>219</v>
      </c>
      <c r="B4" s="873" t="s">
        <v>310</v>
      </c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  <c r="R4" s="674"/>
      <c r="S4" s="674"/>
      <c r="T4" s="674"/>
      <c r="U4" s="674"/>
      <c r="V4" s="674"/>
      <c r="W4" s="674"/>
      <c r="X4" s="674"/>
      <c r="Y4" s="675"/>
      <c r="Z4" s="874"/>
      <c r="AA4" s="874"/>
      <c r="AB4" s="874"/>
      <c r="AC4" s="874"/>
    </row>
    <row r="5" ht="21.75" customHeight="1">
      <c r="A5" s="203"/>
      <c r="B5" s="875" t="s">
        <v>311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8"/>
      <c r="Z5" s="874"/>
      <c r="AA5" s="874"/>
      <c r="AB5" s="874"/>
      <c r="AC5" s="874"/>
    </row>
    <row r="6" ht="17.25" customHeight="1">
      <c r="A6" s="203"/>
      <c r="B6" s="876" t="s">
        <v>312</v>
      </c>
      <c r="C6" s="284"/>
      <c r="D6" s="285"/>
      <c r="E6" s="877" t="s">
        <v>313</v>
      </c>
      <c r="F6" s="284"/>
      <c r="G6" s="285"/>
      <c r="H6" s="877" t="s">
        <v>314</v>
      </c>
      <c r="I6" s="284"/>
      <c r="J6" s="285"/>
      <c r="K6" s="877" t="s">
        <v>315</v>
      </c>
      <c r="L6" s="284"/>
      <c r="M6" s="285"/>
      <c r="N6" s="877" t="s">
        <v>316</v>
      </c>
      <c r="O6" s="284"/>
      <c r="P6" s="285"/>
      <c r="Q6" s="877" t="s">
        <v>317</v>
      </c>
      <c r="R6" s="284"/>
      <c r="S6" s="285"/>
      <c r="T6" s="877" t="s">
        <v>318</v>
      </c>
      <c r="U6" s="284"/>
      <c r="V6" s="285"/>
      <c r="W6" s="877" t="s">
        <v>319</v>
      </c>
      <c r="X6" s="284"/>
      <c r="Y6" s="621"/>
      <c r="Z6" s="874"/>
      <c r="AA6" s="874"/>
      <c r="AB6" s="874"/>
      <c r="AC6" s="874"/>
    </row>
    <row r="7" ht="17.25" customHeight="1">
      <c r="A7" s="203"/>
      <c r="B7" s="878" t="s">
        <v>227</v>
      </c>
      <c r="C7" s="729" t="s">
        <v>228</v>
      </c>
      <c r="D7" s="729" t="s">
        <v>229</v>
      </c>
      <c r="E7" s="729" t="s">
        <v>227</v>
      </c>
      <c r="F7" s="729" t="s">
        <v>228</v>
      </c>
      <c r="G7" s="729" t="s">
        <v>229</v>
      </c>
      <c r="H7" s="729" t="s">
        <v>227</v>
      </c>
      <c r="I7" s="729" t="s">
        <v>228</v>
      </c>
      <c r="J7" s="729" t="s">
        <v>229</v>
      </c>
      <c r="K7" s="729" t="s">
        <v>227</v>
      </c>
      <c r="L7" s="729" t="s">
        <v>228</v>
      </c>
      <c r="M7" s="729" t="s">
        <v>229</v>
      </c>
      <c r="N7" s="879" t="s">
        <v>227</v>
      </c>
      <c r="O7" s="879" t="s">
        <v>228</v>
      </c>
      <c r="P7" s="879" t="s">
        <v>229</v>
      </c>
      <c r="Q7" s="879" t="s">
        <v>227</v>
      </c>
      <c r="R7" s="879" t="s">
        <v>228</v>
      </c>
      <c r="S7" s="879" t="s">
        <v>229</v>
      </c>
      <c r="T7" s="729" t="s">
        <v>320</v>
      </c>
      <c r="U7" s="729" t="s">
        <v>228</v>
      </c>
      <c r="V7" s="729" t="s">
        <v>229</v>
      </c>
      <c r="W7" s="729" t="s">
        <v>227</v>
      </c>
      <c r="X7" s="729" t="s">
        <v>228</v>
      </c>
      <c r="Y7" s="730" t="s">
        <v>229</v>
      </c>
      <c r="Z7" s="874"/>
      <c r="AA7" s="874"/>
      <c r="AB7" s="874"/>
      <c r="AC7" s="874"/>
    </row>
    <row r="8" ht="18.75" customHeight="1">
      <c r="A8" s="880">
        <v>1.0</v>
      </c>
      <c r="B8" s="881">
        <v>0.0</v>
      </c>
      <c r="C8" s="739">
        <v>0.0</v>
      </c>
      <c r="D8" s="739">
        <v>0.0</v>
      </c>
      <c r="E8" s="881">
        <v>0.0</v>
      </c>
      <c r="F8" s="739">
        <v>0.0</v>
      </c>
      <c r="G8" s="739">
        <v>0.0</v>
      </c>
      <c r="H8" s="881">
        <v>0.0</v>
      </c>
      <c r="I8" s="739">
        <v>0.0</v>
      </c>
      <c r="J8" s="739">
        <v>0.0</v>
      </c>
      <c r="K8" s="881">
        <v>0.0</v>
      </c>
      <c r="L8" s="739">
        <v>0.0</v>
      </c>
      <c r="M8" s="739">
        <v>0.0</v>
      </c>
      <c r="N8" s="881">
        <v>0.0</v>
      </c>
      <c r="O8" s="739">
        <v>0.0</v>
      </c>
      <c r="P8" s="739">
        <v>0.0</v>
      </c>
      <c r="Q8" s="881">
        <v>0.0</v>
      </c>
      <c r="R8" s="739">
        <v>0.0</v>
      </c>
      <c r="S8" s="739">
        <v>0.0</v>
      </c>
      <c r="T8" s="881">
        <v>0.0</v>
      </c>
      <c r="U8" s="739">
        <v>0.0</v>
      </c>
      <c r="V8" s="739">
        <v>0.0</v>
      </c>
      <c r="W8" s="881">
        <v>0.0</v>
      </c>
      <c r="X8" s="739">
        <v>0.0</v>
      </c>
      <c r="Y8" s="882">
        <v>0.0</v>
      </c>
      <c r="Z8" s="874"/>
      <c r="AA8" s="874"/>
      <c r="AB8" s="874"/>
      <c r="AC8" s="874"/>
    </row>
    <row r="9" ht="18.75" customHeight="1">
      <c r="A9" s="880">
        <v>2.0</v>
      </c>
      <c r="B9" s="881">
        <v>0.0</v>
      </c>
      <c r="C9" s="739">
        <v>0.0</v>
      </c>
      <c r="D9" s="739">
        <v>0.0</v>
      </c>
      <c r="E9" s="881">
        <v>0.0</v>
      </c>
      <c r="F9" s="739">
        <v>0.0</v>
      </c>
      <c r="G9" s="739">
        <v>0.0</v>
      </c>
      <c r="H9" s="881">
        <v>0.0</v>
      </c>
      <c r="I9" s="739">
        <v>0.0</v>
      </c>
      <c r="J9" s="739">
        <v>0.0</v>
      </c>
      <c r="K9" s="881">
        <v>0.0</v>
      </c>
      <c r="L9" s="739">
        <v>0.0</v>
      </c>
      <c r="M9" s="739">
        <v>0.0</v>
      </c>
      <c r="N9" s="881">
        <v>0.0</v>
      </c>
      <c r="O9" s="739">
        <v>0.0</v>
      </c>
      <c r="P9" s="739">
        <v>0.0</v>
      </c>
      <c r="Q9" s="881">
        <v>0.0</v>
      </c>
      <c r="R9" s="739">
        <v>0.0</v>
      </c>
      <c r="S9" s="739">
        <v>0.0</v>
      </c>
      <c r="T9" s="881">
        <v>0.0</v>
      </c>
      <c r="U9" s="739">
        <v>0.0</v>
      </c>
      <c r="V9" s="739">
        <v>0.0</v>
      </c>
      <c r="W9" s="881">
        <v>0.0</v>
      </c>
      <c r="X9" s="739">
        <v>0.0</v>
      </c>
      <c r="Y9" s="882">
        <v>0.0</v>
      </c>
      <c r="Z9" s="874"/>
      <c r="AA9" s="874"/>
      <c r="AB9" s="874"/>
      <c r="AC9" s="874"/>
    </row>
    <row r="10" ht="18.75" customHeight="1">
      <c r="A10" s="880">
        <v>3.0</v>
      </c>
      <c r="B10" s="881">
        <v>0.0</v>
      </c>
      <c r="C10" s="739">
        <v>0.0</v>
      </c>
      <c r="D10" s="739">
        <v>0.0</v>
      </c>
      <c r="E10" s="881">
        <v>0.0</v>
      </c>
      <c r="F10" s="739">
        <v>0.0</v>
      </c>
      <c r="G10" s="739">
        <v>0.0</v>
      </c>
      <c r="H10" s="881">
        <v>0.0</v>
      </c>
      <c r="I10" s="739">
        <v>0.0</v>
      </c>
      <c r="J10" s="739">
        <v>0.0</v>
      </c>
      <c r="K10" s="881">
        <v>0.0</v>
      </c>
      <c r="L10" s="739">
        <v>0.0</v>
      </c>
      <c r="M10" s="739">
        <v>0.0</v>
      </c>
      <c r="N10" s="881">
        <v>0.0</v>
      </c>
      <c r="O10" s="739">
        <v>0.0</v>
      </c>
      <c r="P10" s="739">
        <v>0.0</v>
      </c>
      <c r="Q10" s="881">
        <v>0.0</v>
      </c>
      <c r="R10" s="739">
        <v>0.0</v>
      </c>
      <c r="S10" s="739">
        <v>0.0</v>
      </c>
      <c r="T10" s="881">
        <v>0.0</v>
      </c>
      <c r="U10" s="739">
        <v>0.0</v>
      </c>
      <c r="V10" s="739">
        <v>0.0</v>
      </c>
      <c r="W10" s="881">
        <v>0.0</v>
      </c>
      <c r="X10" s="739">
        <v>0.0</v>
      </c>
      <c r="Y10" s="882">
        <v>0.0</v>
      </c>
      <c r="Z10" s="874"/>
      <c r="AA10" s="874"/>
      <c r="AB10" s="874"/>
      <c r="AC10" s="874"/>
    </row>
    <row r="11" ht="18.75" customHeight="1">
      <c r="A11" s="880">
        <v>4.0</v>
      </c>
      <c r="B11" s="881">
        <v>0.0</v>
      </c>
      <c r="C11" s="739">
        <v>0.0</v>
      </c>
      <c r="D11" s="739">
        <v>0.0</v>
      </c>
      <c r="E11" s="881">
        <v>0.0</v>
      </c>
      <c r="F11" s="739">
        <v>0.0</v>
      </c>
      <c r="G11" s="739">
        <v>0.0</v>
      </c>
      <c r="H11" s="881">
        <v>0.0</v>
      </c>
      <c r="I11" s="739">
        <v>0.0</v>
      </c>
      <c r="J11" s="739">
        <v>0.0</v>
      </c>
      <c r="K11" s="881">
        <v>0.0</v>
      </c>
      <c r="L11" s="739">
        <v>0.0</v>
      </c>
      <c r="M11" s="739">
        <v>0.0</v>
      </c>
      <c r="N11" s="881">
        <v>0.0</v>
      </c>
      <c r="O11" s="739">
        <v>0.0</v>
      </c>
      <c r="P11" s="739">
        <v>0.0</v>
      </c>
      <c r="Q11" s="881">
        <v>0.0</v>
      </c>
      <c r="R11" s="739">
        <v>0.0</v>
      </c>
      <c r="S11" s="739">
        <v>0.0</v>
      </c>
      <c r="T11" s="881">
        <v>0.0</v>
      </c>
      <c r="U11" s="739">
        <v>0.0</v>
      </c>
      <c r="V11" s="739">
        <v>0.0</v>
      </c>
      <c r="W11" s="881">
        <v>0.0</v>
      </c>
      <c r="X11" s="739">
        <v>0.0</v>
      </c>
      <c r="Y11" s="882">
        <v>0.0</v>
      </c>
      <c r="Z11" s="874"/>
      <c r="AA11" s="874"/>
      <c r="AB11" s="874"/>
      <c r="AC11" s="874"/>
    </row>
    <row r="12" ht="18.75" customHeight="1">
      <c r="A12" s="883">
        <v>5.0</v>
      </c>
      <c r="B12" s="881">
        <v>0.0</v>
      </c>
      <c r="C12" s="739">
        <v>0.0</v>
      </c>
      <c r="D12" s="739">
        <v>0.0</v>
      </c>
      <c r="E12" s="881">
        <v>0.0</v>
      </c>
      <c r="F12" s="739">
        <v>0.0</v>
      </c>
      <c r="G12" s="739">
        <v>0.0</v>
      </c>
      <c r="H12" s="881">
        <v>0.0</v>
      </c>
      <c r="I12" s="739">
        <v>0.0</v>
      </c>
      <c r="J12" s="739">
        <v>0.0</v>
      </c>
      <c r="K12" s="881">
        <v>0.0</v>
      </c>
      <c r="L12" s="739">
        <v>0.0</v>
      </c>
      <c r="M12" s="739">
        <v>0.0</v>
      </c>
      <c r="N12" s="881">
        <v>0.0</v>
      </c>
      <c r="O12" s="739">
        <v>0.0</v>
      </c>
      <c r="P12" s="739">
        <v>0.0</v>
      </c>
      <c r="Q12" s="881">
        <v>0.0</v>
      </c>
      <c r="R12" s="739">
        <v>0.0</v>
      </c>
      <c r="S12" s="739">
        <v>0.0</v>
      </c>
      <c r="T12" s="881">
        <v>0.0</v>
      </c>
      <c r="U12" s="739">
        <v>0.0</v>
      </c>
      <c r="V12" s="739">
        <v>0.0</v>
      </c>
      <c r="W12" s="881">
        <v>0.0</v>
      </c>
      <c r="X12" s="739">
        <v>0.0</v>
      </c>
      <c r="Y12" s="882">
        <v>0.0</v>
      </c>
      <c r="Z12" s="874"/>
      <c r="AA12" s="874"/>
      <c r="AB12" s="874"/>
      <c r="AC12" s="874"/>
    </row>
    <row r="13" ht="18.75" customHeight="1">
      <c r="A13" s="626">
        <v>6.0</v>
      </c>
      <c r="B13" s="881">
        <v>0.0</v>
      </c>
      <c r="C13" s="739">
        <v>0.0</v>
      </c>
      <c r="D13" s="739">
        <v>0.0</v>
      </c>
      <c r="E13" s="881">
        <v>0.0</v>
      </c>
      <c r="F13" s="739">
        <v>0.0</v>
      </c>
      <c r="G13" s="739">
        <v>0.0</v>
      </c>
      <c r="H13" s="881">
        <v>0.0</v>
      </c>
      <c r="I13" s="739">
        <v>0.0</v>
      </c>
      <c r="J13" s="739">
        <v>0.0</v>
      </c>
      <c r="K13" s="881">
        <v>0.0</v>
      </c>
      <c r="L13" s="739">
        <v>0.0</v>
      </c>
      <c r="M13" s="739">
        <v>0.0</v>
      </c>
      <c r="N13" s="881">
        <v>0.0</v>
      </c>
      <c r="O13" s="739">
        <v>0.0</v>
      </c>
      <c r="P13" s="739">
        <v>0.0</v>
      </c>
      <c r="Q13" s="881">
        <v>0.0</v>
      </c>
      <c r="R13" s="739">
        <v>0.0</v>
      </c>
      <c r="S13" s="739">
        <v>0.0</v>
      </c>
      <c r="T13" s="881">
        <v>0.0</v>
      </c>
      <c r="U13" s="739">
        <v>0.0</v>
      </c>
      <c r="V13" s="739">
        <v>0.0</v>
      </c>
      <c r="W13" s="881">
        <v>0.0</v>
      </c>
      <c r="X13" s="739">
        <v>0.0</v>
      </c>
      <c r="Y13" s="882">
        <v>0.0</v>
      </c>
      <c r="Z13" s="874"/>
      <c r="AA13" s="874"/>
      <c r="AB13" s="874"/>
      <c r="AC13" s="874"/>
    </row>
    <row r="14" ht="18.75" customHeight="1">
      <c r="A14" s="626">
        <v>7.0</v>
      </c>
      <c r="B14" s="881">
        <v>0.0</v>
      </c>
      <c r="C14" s="739">
        <v>0.0</v>
      </c>
      <c r="D14" s="739">
        <v>0.0</v>
      </c>
      <c r="E14" s="881">
        <v>0.0</v>
      </c>
      <c r="F14" s="739">
        <v>0.0</v>
      </c>
      <c r="G14" s="739">
        <v>0.0</v>
      </c>
      <c r="H14" s="881">
        <v>0.0</v>
      </c>
      <c r="I14" s="739">
        <v>0.0</v>
      </c>
      <c r="J14" s="739">
        <v>0.0</v>
      </c>
      <c r="K14" s="881">
        <v>0.0</v>
      </c>
      <c r="L14" s="739">
        <v>0.0</v>
      </c>
      <c r="M14" s="739">
        <v>0.0</v>
      </c>
      <c r="N14" s="881">
        <v>0.0</v>
      </c>
      <c r="O14" s="739">
        <v>0.0</v>
      </c>
      <c r="P14" s="739">
        <v>0.0</v>
      </c>
      <c r="Q14" s="881">
        <v>0.0</v>
      </c>
      <c r="R14" s="739">
        <v>0.0</v>
      </c>
      <c r="S14" s="739">
        <v>0.0</v>
      </c>
      <c r="T14" s="881">
        <v>0.0</v>
      </c>
      <c r="U14" s="739">
        <v>0.0</v>
      </c>
      <c r="V14" s="739">
        <v>0.0</v>
      </c>
      <c r="W14" s="881">
        <v>0.0</v>
      </c>
      <c r="X14" s="739">
        <v>0.0</v>
      </c>
      <c r="Y14" s="882">
        <v>0.0</v>
      </c>
      <c r="Z14" s="874"/>
      <c r="AA14" s="874"/>
      <c r="AB14" s="874"/>
      <c r="AC14" s="874"/>
    </row>
    <row r="15" ht="18.75" customHeight="1">
      <c r="A15" s="626">
        <v>8.0</v>
      </c>
      <c r="B15" s="881">
        <v>0.0</v>
      </c>
      <c r="C15" s="739">
        <v>0.0</v>
      </c>
      <c r="D15" s="739">
        <v>0.0</v>
      </c>
      <c r="E15" s="881">
        <v>0.0</v>
      </c>
      <c r="F15" s="739">
        <v>0.0</v>
      </c>
      <c r="G15" s="739">
        <v>0.0</v>
      </c>
      <c r="H15" s="881">
        <v>0.0</v>
      </c>
      <c r="I15" s="739">
        <v>0.0</v>
      </c>
      <c r="J15" s="739">
        <v>0.0</v>
      </c>
      <c r="K15" s="881">
        <v>0.0</v>
      </c>
      <c r="L15" s="739">
        <v>0.0</v>
      </c>
      <c r="M15" s="739">
        <v>0.0</v>
      </c>
      <c r="N15" s="881">
        <v>0.0</v>
      </c>
      <c r="O15" s="739">
        <v>0.0</v>
      </c>
      <c r="P15" s="739">
        <v>0.0</v>
      </c>
      <c r="Q15" s="881">
        <v>0.0</v>
      </c>
      <c r="R15" s="739">
        <v>0.0</v>
      </c>
      <c r="S15" s="739">
        <v>0.0</v>
      </c>
      <c r="T15" s="881">
        <v>0.0</v>
      </c>
      <c r="U15" s="739">
        <v>0.0</v>
      </c>
      <c r="V15" s="739">
        <v>0.0</v>
      </c>
      <c r="W15" s="881">
        <v>0.0</v>
      </c>
      <c r="X15" s="739">
        <v>0.0</v>
      </c>
      <c r="Y15" s="882">
        <v>0.0</v>
      </c>
      <c r="Z15" s="874"/>
      <c r="AA15" s="874"/>
      <c r="AB15" s="874"/>
      <c r="AC15" s="874"/>
    </row>
    <row r="16" ht="18.75" customHeight="1">
      <c r="A16" s="626">
        <v>9.0</v>
      </c>
      <c r="B16" s="881">
        <v>0.0</v>
      </c>
      <c r="C16" s="739">
        <v>0.0</v>
      </c>
      <c r="D16" s="739">
        <v>0.0</v>
      </c>
      <c r="E16" s="881">
        <v>0.0</v>
      </c>
      <c r="F16" s="739">
        <v>0.0</v>
      </c>
      <c r="G16" s="739">
        <v>0.0</v>
      </c>
      <c r="H16" s="881">
        <v>0.0</v>
      </c>
      <c r="I16" s="739">
        <v>0.0</v>
      </c>
      <c r="J16" s="739">
        <v>0.0</v>
      </c>
      <c r="K16" s="881">
        <v>0.0</v>
      </c>
      <c r="L16" s="739">
        <v>0.0</v>
      </c>
      <c r="M16" s="739">
        <v>0.0</v>
      </c>
      <c r="N16" s="881">
        <v>0.0</v>
      </c>
      <c r="O16" s="739">
        <v>0.0</v>
      </c>
      <c r="P16" s="739">
        <v>0.0</v>
      </c>
      <c r="Q16" s="881">
        <v>0.0</v>
      </c>
      <c r="R16" s="739">
        <v>0.0</v>
      </c>
      <c r="S16" s="739">
        <v>0.0</v>
      </c>
      <c r="T16" s="881">
        <v>0.0</v>
      </c>
      <c r="U16" s="739">
        <v>0.0</v>
      </c>
      <c r="V16" s="739">
        <v>0.0</v>
      </c>
      <c r="W16" s="881">
        <v>0.0</v>
      </c>
      <c r="X16" s="739">
        <v>0.0</v>
      </c>
      <c r="Y16" s="882">
        <v>0.0</v>
      </c>
      <c r="Z16" s="874"/>
      <c r="AA16" s="874"/>
      <c r="AB16" s="874"/>
      <c r="AC16" s="874"/>
    </row>
    <row r="17" ht="18.75" customHeight="1">
      <c r="A17" s="626">
        <v>10.0</v>
      </c>
      <c r="B17" s="881">
        <v>0.0</v>
      </c>
      <c r="C17" s="739">
        <v>0.0</v>
      </c>
      <c r="D17" s="739">
        <v>0.0</v>
      </c>
      <c r="E17" s="881">
        <v>0.0</v>
      </c>
      <c r="F17" s="739">
        <v>0.0</v>
      </c>
      <c r="G17" s="739">
        <v>0.0</v>
      </c>
      <c r="H17" s="881">
        <v>0.0</v>
      </c>
      <c r="I17" s="739">
        <v>0.0</v>
      </c>
      <c r="J17" s="739">
        <v>0.0</v>
      </c>
      <c r="K17" s="881">
        <v>0.0</v>
      </c>
      <c r="L17" s="739">
        <v>0.0</v>
      </c>
      <c r="M17" s="739">
        <v>0.0</v>
      </c>
      <c r="N17" s="881">
        <v>0.0</v>
      </c>
      <c r="O17" s="739">
        <v>0.0</v>
      </c>
      <c r="P17" s="739">
        <v>0.0</v>
      </c>
      <c r="Q17" s="881">
        <v>0.0</v>
      </c>
      <c r="R17" s="739">
        <v>0.0</v>
      </c>
      <c r="S17" s="739">
        <v>0.0</v>
      </c>
      <c r="T17" s="881">
        <v>0.0</v>
      </c>
      <c r="U17" s="739">
        <v>0.0</v>
      </c>
      <c r="V17" s="739">
        <v>0.0</v>
      </c>
      <c r="W17" s="881">
        <v>0.0</v>
      </c>
      <c r="X17" s="739">
        <v>0.0</v>
      </c>
      <c r="Y17" s="882">
        <v>0.0</v>
      </c>
      <c r="Z17" s="874"/>
      <c r="AA17" s="874"/>
      <c r="AB17" s="874"/>
      <c r="AC17" s="874"/>
    </row>
    <row r="18" ht="18.75" customHeight="1">
      <c r="A18" s="626">
        <v>11.0</v>
      </c>
      <c r="B18" s="881">
        <v>0.0</v>
      </c>
      <c r="C18" s="739">
        <v>0.0</v>
      </c>
      <c r="D18" s="739">
        <v>0.0</v>
      </c>
      <c r="E18" s="881">
        <v>0.0</v>
      </c>
      <c r="F18" s="739">
        <v>0.0</v>
      </c>
      <c r="G18" s="739">
        <v>0.0</v>
      </c>
      <c r="H18" s="881">
        <v>0.0</v>
      </c>
      <c r="I18" s="739">
        <v>0.0</v>
      </c>
      <c r="J18" s="739">
        <v>0.0</v>
      </c>
      <c r="K18" s="881">
        <v>0.0</v>
      </c>
      <c r="L18" s="739">
        <v>0.0</v>
      </c>
      <c r="M18" s="739">
        <v>0.0</v>
      </c>
      <c r="N18" s="881">
        <v>0.0</v>
      </c>
      <c r="O18" s="739">
        <v>0.0</v>
      </c>
      <c r="P18" s="739">
        <v>0.0</v>
      </c>
      <c r="Q18" s="881">
        <v>0.0</v>
      </c>
      <c r="R18" s="739">
        <v>0.0</v>
      </c>
      <c r="S18" s="739">
        <v>0.0</v>
      </c>
      <c r="T18" s="881">
        <v>0.0</v>
      </c>
      <c r="U18" s="739">
        <v>0.0</v>
      </c>
      <c r="V18" s="739">
        <v>0.0</v>
      </c>
      <c r="W18" s="881">
        <v>0.0</v>
      </c>
      <c r="X18" s="739">
        <v>0.0</v>
      </c>
      <c r="Y18" s="882">
        <v>0.0</v>
      </c>
      <c r="Z18" s="874"/>
      <c r="AA18" s="874"/>
      <c r="AB18" s="874"/>
      <c r="AC18" s="874"/>
    </row>
    <row r="19" ht="18.75" customHeight="1">
      <c r="A19" s="626">
        <v>12.0</v>
      </c>
      <c r="B19" s="881">
        <v>0.0</v>
      </c>
      <c r="C19" s="739">
        <v>0.0</v>
      </c>
      <c r="D19" s="739">
        <v>0.0</v>
      </c>
      <c r="E19" s="881">
        <v>0.0</v>
      </c>
      <c r="F19" s="739">
        <v>0.0</v>
      </c>
      <c r="G19" s="739">
        <v>0.0</v>
      </c>
      <c r="H19" s="881">
        <v>0.0</v>
      </c>
      <c r="I19" s="739">
        <v>0.0</v>
      </c>
      <c r="J19" s="739">
        <v>0.0</v>
      </c>
      <c r="K19" s="881">
        <v>0.0</v>
      </c>
      <c r="L19" s="739">
        <v>0.0</v>
      </c>
      <c r="M19" s="739">
        <v>0.0</v>
      </c>
      <c r="N19" s="881">
        <v>0.0</v>
      </c>
      <c r="O19" s="739">
        <v>0.0</v>
      </c>
      <c r="P19" s="739">
        <v>0.0</v>
      </c>
      <c r="Q19" s="881">
        <v>0.0</v>
      </c>
      <c r="R19" s="739">
        <v>0.0</v>
      </c>
      <c r="S19" s="739">
        <v>0.0</v>
      </c>
      <c r="T19" s="881">
        <v>0.0</v>
      </c>
      <c r="U19" s="739">
        <v>0.0</v>
      </c>
      <c r="V19" s="739">
        <v>0.0</v>
      </c>
      <c r="W19" s="881">
        <v>0.0</v>
      </c>
      <c r="X19" s="739">
        <v>0.0</v>
      </c>
      <c r="Y19" s="882">
        <v>0.0</v>
      </c>
      <c r="Z19" s="874"/>
      <c r="AA19" s="874"/>
      <c r="AB19" s="874"/>
      <c r="AC19" s="874"/>
    </row>
    <row r="20" ht="18.75" customHeight="1">
      <c r="A20" s="626">
        <v>13.0</v>
      </c>
      <c r="B20" s="881">
        <v>0.0</v>
      </c>
      <c r="C20" s="739">
        <v>0.0</v>
      </c>
      <c r="D20" s="739">
        <v>0.0</v>
      </c>
      <c r="E20" s="881">
        <v>0.0</v>
      </c>
      <c r="F20" s="739">
        <v>0.0</v>
      </c>
      <c r="G20" s="739">
        <v>0.0</v>
      </c>
      <c r="H20" s="881">
        <v>0.0</v>
      </c>
      <c r="I20" s="739">
        <v>0.0</v>
      </c>
      <c r="J20" s="739">
        <v>0.0</v>
      </c>
      <c r="K20" s="881">
        <v>0.0</v>
      </c>
      <c r="L20" s="739">
        <v>0.0</v>
      </c>
      <c r="M20" s="739">
        <v>0.0</v>
      </c>
      <c r="N20" s="881">
        <v>0.0</v>
      </c>
      <c r="O20" s="739">
        <v>0.0</v>
      </c>
      <c r="P20" s="739">
        <v>0.0</v>
      </c>
      <c r="Q20" s="881">
        <v>0.0</v>
      </c>
      <c r="R20" s="739">
        <v>0.0</v>
      </c>
      <c r="S20" s="739">
        <v>0.0</v>
      </c>
      <c r="T20" s="881">
        <v>0.0</v>
      </c>
      <c r="U20" s="739">
        <v>0.0</v>
      </c>
      <c r="V20" s="739">
        <v>0.0</v>
      </c>
      <c r="W20" s="881">
        <v>0.0</v>
      </c>
      <c r="X20" s="739">
        <v>0.0</v>
      </c>
      <c r="Y20" s="882">
        <v>0.0</v>
      </c>
      <c r="Z20" s="874"/>
      <c r="AA20" s="874"/>
      <c r="AB20" s="874"/>
      <c r="AC20" s="874"/>
    </row>
    <row r="21" ht="18.75" customHeight="1">
      <c r="A21" s="626">
        <v>14.0</v>
      </c>
      <c r="B21" s="881">
        <v>0.0</v>
      </c>
      <c r="C21" s="739">
        <v>0.0</v>
      </c>
      <c r="D21" s="739">
        <v>0.0</v>
      </c>
      <c r="E21" s="881">
        <v>0.0</v>
      </c>
      <c r="F21" s="739">
        <v>0.0</v>
      </c>
      <c r="G21" s="739">
        <v>0.0</v>
      </c>
      <c r="H21" s="881">
        <v>0.0</v>
      </c>
      <c r="I21" s="739">
        <v>0.0</v>
      </c>
      <c r="J21" s="739">
        <v>0.0</v>
      </c>
      <c r="K21" s="881">
        <v>0.0</v>
      </c>
      <c r="L21" s="739">
        <v>0.0</v>
      </c>
      <c r="M21" s="739">
        <v>0.0</v>
      </c>
      <c r="N21" s="881">
        <v>0.0</v>
      </c>
      <c r="O21" s="739">
        <v>0.0</v>
      </c>
      <c r="P21" s="739">
        <v>0.0</v>
      </c>
      <c r="Q21" s="881">
        <v>0.0</v>
      </c>
      <c r="R21" s="739">
        <v>0.0</v>
      </c>
      <c r="S21" s="739">
        <v>0.0</v>
      </c>
      <c r="T21" s="881">
        <v>0.0</v>
      </c>
      <c r="U21" s="739">
        <v>0.0</v>
      </c>
      <c r="V21" s="739">
        <v>0.0</v>
      </c>
      <c r="W21" s="881">
        <v>0.0</v>
      </c>
      <c r="X21" s="739">
        <v>0.0</v>
      </c>
      <c r="Y21" s="882">
        <v>0.0</v>
      </c>
      <c r="Z21" s="874"/>
      <c r="AA21" s="874"/>
      <c r="AB21" s="874"/>
      <c r="AC21" s="874"/>
    </row>
    <row r="22" ht="18.75" customHeight="1">
      <c r="A22" s="626">
        <v>15.0</v>
      </c>
      <c r="B22" s="881">
        <v>0.0</v>
      </c>
      <c r="C22" s="739">
        <v>0.0</v>
      </c>
      <c r="D22" s="739">
        <v>0.0</v>
      </c>
      <c r="E22" s="881">
        <v>0.0</v>
      </c>
      <c r="F22" s="739">
        <v>0.0</v>
      </c>
      <c r="G22" s="739">
        <v>0.0</v>
      </c>
      <c r="H22" s="881">
        <v>0.0</v>
      </c>
      <c r="I22" s="739">
        <v>0.0</v>
      </c>
      <c r="J22" s="739">
        <v>0.0</v>
      </c>
      <c r="K22" s="881">
        <v>0.0</v>
      </c>
      <c r="L22" s="739">
        <v>0.0</v>
      </c>
      <c r="M22" s="739">
        <v>0.0</v>
      </c>
      <c r="N22" s="881">
        <v>0.0</v>
      </c>
      <c r="O22" s="739">
        <v>0.0</v>
      </c>
      <c r="P22" s="739">
        <v>0.0</v>
      </c>
      <c r="Q22" s="881">
        <v>0.0</v>
      </c>
      <c r="R22" s="739">
        <v>0.0</v>
      </c>
      <c r="S22" s="739">
        <v>0.0</v>
      </c>
      <c r="T22" s="881">
        <v>0.0</v>
      </c>
      <c r="U22" s="739">
        <v>0.0</v>
      </c>
      <c r="V22" s="739">
        <v>0.0</v>
      </c>
      <c r="W22" s="881">
        <v>0.0</v>
      </c>
      <c r="X22" s="739">
        <v>0.0</v>
      </c>
      <c r="Y22" s="882">
        <v>0.0</v>
      </c>
      <c r="Z22" s="874"/>
      <c r="AA22" s="874"/>
      <c r="AB22" s="874"/>
      <c r="AC22" s="874"/>
    </row>
    <row r="23" ht="18.75" customHeight="1">
      <c r="A23" s="626">
        <v>16.0</v>
      </c>
      <c r="B23" s="881">
        <v>0.0</v>
      </c>
      <c r="C23" s="739">
        <v>0.0</v>
      </c>
      <c r="D23" s="739">
        <v>0.0</v>
      </c>
      <c r="E23" s="881">
        <v>0.0</v>
      </c>
      <c r="F23" s="739">
        <v>0.0</v>
      </c>
      <c r="G23" s="739">
        <v>0.0</v>
      </c>
      <c r="H23" s="881">
        <v>0.0</v>
      </c>
      <c r="I23" s="739">
        <v>0.0</v>
      </c>
      <c r="J23" s="739">
        <v>0.0</v>
      </c>
      <c r="K23" s="881">
        <v>0.0</v>
      </c>
      <c r="L23" s="739">
        <v>0.0</v>
      </c>
      <c r="M23" s="739">
        <v>0.0</v>
      </c>
      <c r="N23" s="881">
        <v>0.0</v>
      </c>
      <c r="O23" s="739">
        <v>0.0</v>
      </c>
      <c r="P23" s="739">
        <v>0.0</v>
      </c>
      <c r="Q23" s="881">
        <v>0.0</v>
      </c>
      <c r="R23" s="739">
        <v>0.0</v>
      </c>
      <c r="S23" s="739">
        <v>0.0</v>
      </c>
      <c r="T23" s="881">
        <v>0.0</v>
      </c>
      <c r="U23" s="739">
        <v>0.0</v>
      </c>
      <c r="V23" s="739">
        <v>0.0</v>
      </c>
      <c r="W23" s="881">
        <v>0.0</v>
      </c>
      <c r="X23" s="739">
        <v>0.0</v>
      </c>
      <c r="Y23" s="882">
        <v>0.0</v>
      </c>
      <c r="Z23" s="874"/>
      <c r="AA23" s="874"/>
      <c r="AB23" s="874"/>
      <c r="AC23" s="874"/>
    </row>
    <row r="24" ht="18.75" customHeight="1">
      <c r="A24" s="626">
        <v>17.0</v>
      </c>
      <c r="B24" s="881">
        <v>0.0</v>
      </c>
      <c r="C24" s="739">
        <v>0.0</v>
      </c>
      <c r="D24" s="739">
        <v>0.0</v>
      </c>
      <c r="E24" s="881">
        <v>0.0</v>
      </c>
      <c r="F24" s="739">
        <v>0.0</v>
      </c>
      <c r="G24" s="739">
        <v>0.0</v>
      </c>
      <c r="H24" s="881">
        <v>0.0</v>
      </c>
      <c r="I24" s="739">
        <v>0.0</v>
      </c>
      <c r="J24" s="739">
        <v>0.0</v>
      </c>
      <c r="K24" s="881">
        <v>0.0</v>
      </c>
      <c r="L24" s="739">
        <v>0.0</v>
      </c>
      <c r="M24" s="739">
        <v>0.0</v>
      </c>
      <c r="N24" s="881">
        <v>0.0</v>
      </c>
      <c r="O24" s="739">
        <v>0.0</v>
      </c>
      <c r="P24" s="739">
        <v>0.0</v>
      </c>
      <c r="Q24" s="881">
        <v>0.0</v>
      </c>
      <c r="R24" s="739">
        <v>0.0</v>
      </c>
      <c r="S24" s="739">
        <v>0.0</v>
      </c>
      <c r="T24" s="881">
        <v>0.0</v>
      </c>
      <c r="U24" s="739">
        <v>0.0</v>
      </c>
      <c r="V24" s="739">
        <v>0.0</v>
      </c>
      <c r="W24" s="881">
        <v>0.0</v>
      </c>
      <c r="X24" s="739">
        <v>0.0</v>
      </c>
      <c r="Y24" s="882">
        <v>0.0</v>
      </c>
      <c r="Z24" s="874"/>
      <c r="AA24" s="874"/>
      <c r="AB24" s="874"/>
      <c r="AC24" s="874"/>
    </row>
    <row r="25" ht="18.75" customHeight="1">
      <c r="A25" s="626">
        <v>18.0</v>
      </c>
      <c r="B25" s="881">
        <v>0.0</v>
      </c>
      <c r="C25" s="739">
        <v>0.0</v>
      </c>
      <c r="D25" s="739">
        <v>0.0</v>
      </c>
      <c r="E25" s="881">
        <v>0.0</v>
      </c>
      <c r="F25" s="739">
        <v>0.0</v>
      </c>
      <c r="G25" s="739">
        <v>0.0</v>
      </c>
      <c r="H25" s="881">
        <v>0.0</v>
      </c>
      <c r="I25" s="739">
        <v>0.0</v>
      </c>
      <c r="J25" s="739">
        <v>0.0</v>
      </c>
      <c r="K25" s="881">
        <v>0.0</v>
      </c>
      <c r="L25" s="739">
        <v>0.0</v>
      </c>
      <c r="M25" s="739">
        <v>0.0</v>
      </c>
      <c r="N25" s="881">
        <v>0.0</v>
      </c>
      <c r="O25" s="739">
        <v>0.0</v>
      </c>
      <c r="P25" s="739">
        <v>0.0</v>
      </c>
      <c r="Q25" s="881">
        <v>0.0</v>
      </c>
      <c r="R25" s="739">
        <v>0.0</v>
      </c>
      <c r="S25" s="739">
        <v>0.0</v>
      </c>
      <c r="T25" s="881">
        <v>0.0</v>
      </c>
      <c r="U25" s="739">
        <v>0.0</v>
      </c>
      <c r="V25" s="739">
        <v>0.0</v>
      </c>
      <c r="W25" s="881">
        <v>0.0</v>
      </c>
      <c r="X25" s="739">
        <v>0.0</v>
      </c>
      <c r="Y25" s="882">
        <v>0.0</v>
      </c>
      <c r="Z25" s="874"/>
      <c r="AA25" s="874"/>
      <c r="AB25" s="874"/>
      <c r="AC25" s="874"/>
    </row>
    <row r="26" ht="18.75" customHeight="1">
      <c r="A26" s="626">
        <v>19.0</v>
      </c>
      <c r="B26" s="881">
        <v>0.0</v>
      </c>
      <c r="C26" s="739">
        <v>0.0</v>
      </c>
      <c r="D26" s="739">
        <v>0.0</v>
      </c>
      <c r="E26" s="881">
        <v>0.0</v>
      </c>
      <c r="F26" s="739">
        <v>0.0</v>
      </c>
      <c r="G26" s="739">
        <v>0.0</v>
      </c>
      <c r="H26" s="881">
        <v>0.0</v>
      </c>
      <c r="I26" s="739">
        <v>0.0</v>
      </c>
      <c r="J26" s="739">
        <v>0.0</v>
      </c>
      <c r="K26" s="881">
        <v>0.0</v>
      </c>
      <c r="L26" s="739">
        <v>0.0</v>
      </c>
      <c r="M26" s="739">
        <v>0.0</v>
      </c>
      <c r="N26" s="881">
        <v>0.0</v>
      </c>
      <c r="O26" s="739">
        <v>0.0</v>
      </c>
      <c r="P26" s="739">
        <v>0.0</v>
      </c>
      <c r="Q26" s="881">
        <v>0.0</v>
      </c>
      <c r="R26" s="739">
        <v>0.0</v>
      </c>
      <c r="S26" s="739">
        <v>0.0</v>
      </c>
      <c r="T26" s="881">
        <v>0.0</v>
      </c>
      <c r="U26" s="739">
        <v>0.0</v>
      </c>
      <c r="V26" s="739">
        <v>0.0</v>
      </c>
      <c r="W26" s="881">
        <v>0.0</v>
      </c>
      <c r="X26" s="739">
        <v>0.0</v>
      </c>
      <c r="Y26" s="882">
        <v>0.0</v>
      </c>
      <c r="Z26" s="874"/>
      <c r="AA26" s="874"/>
      <c r="AB26" s="874"/>
      <c r="AC26" s="874"/>
    </row>
    <row r="27" ht="18.75" customHeight="1">
      <c r="A27" s="626">
        <v>20.0</v>
      </c>
      <c r="B27" s="881">
        <v>0.0</v>
      </c>
      <c r="C27" s="739">
        <v>0.0</v>
      </c>
      <c r="D27" s="739">
        <v>0.0</v>
      </c>
      <c r="E27" s="881">
        <v>0.0</v>
      </c>
      <c r="F27" s="739">
        <v>0.0</v>
      </c>
      <c r="G27" s="739">
        <v>0.0</v>
      </c>
      <c r="H27" s="881">
        <v>0.0</v>
      </c>
      <c r="I27" s="739">
        <v>0.0</v>
      </c>
      <c r="J27" s="739">
        <v>0.0</v>
      </c>
      <c r="K27" s="881">
        <v>0.0</v>
      </c>
      <c r="L27" s="739">
        <v>0.0</v>
      </c>
      <c r="M27" s="739">
        <v>0.0</v>
      </c>
      <c r="N27" s="881">
        <v>0.0</v>
      </c>
      <c r="O27" s="739">
        <v>0.0</v>
      </c>
      <c r="P27" s="739">
        <v>0.0</v>
      </c>
      <c r="Q27" s="881">
        <v>0.0</v>
      </c>
      <c r="R27" s="739">
        <v>0.0</v>
      </c>
      <c r="S27" s="739">
        <v>0.0</v>
      </c>
      <c r="T27" s="881">
        <v>0.0</v>
      </c>
      <c r="U27" s="739">
        <v>0.0</v>
      </c>
      <c r="V27" s="739">
        <v>0.0</v>
      </c>
      <c r="W27" s="881">
        <v>0.0</v>
      </c>
      <c r="X27" s="739">
        <v>0.0</v>
      </c>
      <c r="Y27" s="882">
        <v>0.0</v>
      </c>
      <c r="Z27" s="874"/>
      <c r="AA27" s="874"/>
      <c r="AB27" s="874"/>
      <c r="AC27" s="874"/>
    </row>
    <row r="28" ht="18.75" customHeight="1">
      <c r="A28" s="626">
        <v>21.0</v>
      </c>
      <c r="B28" s="881">
        <v>0.0</v>
      </c>
      <c r="C28" s="739">
        <v>0.0</v>
      </c>
      <c r="D28" s="739">
        <v>0.0</v>
      </c>
      <c r="E28" s="881">
        <v>0.0</v>
      </c>
      <c r="F28" s="739">
        <v>0.0</v>
      </c>
      <c r="G28" s="739">
        <v>0.0</v>
      </c>
      <c r="H28" s="881">
        <v>0.0</v>
      </c>
      <c r="I28" s="739">
        <v>0.0</v>
      </c>
      <c r="J28" s="739">
        <v>0.0</v>
      </c>
      <c r="K28" s="881">
        <v>0.0</v>
      </c>
      <c r="L28" s="739">
        <v>0.0</v>
      </c>
      <c r="M28" s="739">
        <v>0.0</v>
      </c>
      <c r="N28" s="881">
        <v>0.0</v>
      </c>
      <c r="O28" s="739">
        <v>0.0</v>
      </c>
      <c r="P28" s="739">
        <v>0.0</v>
      </c>
      <c r="Q28" s="881">
        <v>0.0</v>
      </c>
      <c r="R28" s="739">
        <v>0.0</v>
      </c>
      <c r="S28" s="739">
        <v>0.0</v>
      </c>
      <c r="T28" s="881">
        <v>0.0</v>
      </c>
      <c r="U28" s="739">
        <v>0.0</v>
      </c>
      <c r="V28" s="739">
        <v>0.0</v>
      </c>
      <c r="W28" s="881">
        <v>0.0</v>
      </c>
      <c r="X28" s="739">
        <v>0.0</v>
      </c>
      <c r="Y28" s="882">
        <v>0.0</v>
      </c>
      <c r="Z28" s="874"/>
      <c r="AA28" s="874"/>
      <c r="AB28" s="874"/>
      <c r="AC28" s="874"/>
    </row>
    <row r="29" ht="18.75" customHeight="1">
      <c r="A29" s="626">
        <v>22.0</v>
      </c>
      <c r="B29" s="881">
        <v>0.0</v>
      </c>
      <c r="C29" s="739">
        <v>0.0</v>
      </c>
      <c r="D29" s="739">
        <v>0.0</v>
      </c>
      <c r="E29" s="881">
        <v>0.0</v>
      </c>
      <c r="F29" s="739">
        <v>0.0</v>
      </c>
      <c r="G29" s="739">
        <v>0.0</v>
      </c>
      <c r="H29" s="881">
        <v>0.0</v>
      </c>
      <c r="I29" s="739">
        <v>0.0</v>
      </c>
      <c r="J29" s="739">
        <v>0.0</v>
      </c>
      <c r="K29" s="881">
        <v>0.0</v>
      </c>
      <c r="L29" s="739">
        <v>0.0</v>
      </c>
      <c r="M29" s="739">
        <v>0.0</v>
      </c>
      <c r="N29" s="881">
        <v>0.0</v>
      </c>
      <c r="O29" s="739">
        <v>0.0</v>
      </c>
      <c r="P29" s="739">
        <v>0.0</v>
      </c>
      <c r="Q29" s="881">
        <v>0.0</v>
      </c>
      <c r="R29" s="739">
        <v>0.0</v>
      </c>
      <c r="S29" s="739">
        <v>0.0</v>
      </c>
      <c r="T29" s="881">
        <v>0.0</v>
      </c>
      <c r="U29" s="739">
        <v>0.0</v>
      </c>
      <c r="V29" s="739">
        <v>0.0</v>
      </c>
      <c r="W29" s="881">
        <v>0.0</v>
      </c>
      <c r="X29" s="739">
        <v>0.0</v>
      </c>
      <c r="Y29" s="882">
        <v>0.0</v>
      </c>
      <c r="Z29" s="874"/>
      <c r="AA29" s="874"/>
      <c r="AB29" s="874"/>
      <c r="AC29" s="874"/>
    </row>
    <row r="30" ht="18.75" customHeight="1">
      <c r="A30" s="626">
        <v>23.0</v>
      </c>
      <c r="B30" s="881">
        <v>0.0</v>
      </c>
      <c r="C30" s="739">
        <v>0.0</v>
      </c>
      <c r="D30" s="739">
        <v>0.0</v>
      </c>
      <c r="E30" s="881">
        <v>0.0</v>
      </c>
      <c r="F30" s="739">
        <v>0.0</v>
      </c>
      <c r="G30" s="739">
        <v>0.0</v>
      </c>
      <c r="H30" s="881">
        <v>0.0</v>
      </c>
      <c r="I30" s="739">
        <v>0.0</v>
      </c>
      <c r="J30" s="739">
        <v>0.0</v>
      </c>
      <c r="K30" s="881">
        <v>0.0</v>
      </c>
      <c r="L30" s="739">
        <v>0.0</v>
      </c>
      <c r="M30" s="739">
        <v>0.0</v>
      </c>
      <c r="N30" s="881">
        <v>0.0</v>
      </c>
      <c r="O30" s="739">
        <v>0.0</v>
      </c>
      <c r="P30" s="739">
        <v>0.0</v>
      </c>
      <c r="Q30" s="881">
        <v>0.0</v>
      </c>
      <c r="R30" s="739">
        <v>0.0</v>
      </c>
      <c r="S30" s="739">
        <v>0.0</v>
      </c>
      <c r="T30" s="881">
        <v>0.0</v>
      </c>
      <c r="U30" s="739">
        <v>0.0</v>
      </c>
      <c r="V30" s="739">
        <v>0.0</v>
      </c>
      <c r="W30" s="881">
        <v>0.0</v>
      </c>
      <c r="X30" s="739">
        <v>0.0</v>
      </c>
      <c r="Y30" s="882">
        <v>0.0</v>
      </c>
      <c r="Z30" s="874"/>
      <c r="AA30" s="874"/>
      <c r="AB30" s="874"/>
      <c r="AC30" s="874"/>
    </row>
    <row r="31" ht="18.75" customHeight="1">
      <c r="A31" s="626">
        <v>24.0</v>
      </c>
      <c r="B31" s="881">
        <v>0.0</v>
      </c>
      <c r="C31" s="739">
        <v>0.0</v>
      </c>
      <c r="D31" s="739">
        <v>0.0</v>
      </c>
      <c r="E31" s="881">
        <v>0.0</v>
      </c>
      <c r="F31" s="739">
        <v>0.0</v>
      </c>
      <c r="G31" s="739">
        <v>0.0</v>
      </c>
      <c r="H31" s="881">
        <v>0.0</v>
      </c>
      <c r="I31" s="739">
        <v>0.0</v>
      </c>
      <c r="J31" s="739">
        <v>0.0</v>
      </c>
      <c r="K31" s="881">
        <v>0.0</v>
      </c>
      <c r="L31" s="739">
        <v>0.0</v>
      </c>
      <c r="M31" s="739">
        <v>0.0</v>
      </c>
      <c r="N31" s="881">
        <v>0.0</v>
      </c>
      <c r="O31" s="739">
        <v>0.0</v>
      </c>
      <c r="P31" s="739">
        <v>0.0</v>
      </c>
      <c r="Q31" s="881">
        <v>0.0</v>
      </c>
      <c r="R31" s="739">
        <v>0.0</v>
      </c>
      <c r="S31" s="739">
        <v>0.0</v>
      </c>
      <c r="T31" s="881">
        <v>0.0</v>
      </c>
      <c r="U31" s="739">
        <v>0.0</v>
      </c>
      <c r="V31" s="739">
        <v>0.0</v>
      </c>
      <c r="W31" s="881">
        <v>0.0</v>
      </c>
      <c r="X31" s="739">
        <v>0.0</v>
      </c>
      <c r="Y31" s="882">
        <v>0.0</v>
      </c>
      <c r="Z31" s="874"/>
      <c r="AA31" s="874"/>
      <c r="AB31" s="874"/>
      <c r="AC31" s="874"/>
    </row>
    <row r="32" ht="18.75" customHeight="1">
      <c r="A32" s="626">
        <v>25.0</v>
      </c>
      <c r="B32" s="881">
        <v>0.0</v>
      </c>
      <c r="C32" s="739">
        <v>0.0</v>
      </c>
      <c r="D32" s="739">
        <v>0.0</v>
      </c>
      <c r="E32" s="881">
        <v>0.0</v>
      </c>
      <c r="F32" s="739">
        <v>0.0</v>
      </c>
      <c r="G32" s="739">
        <v>0.0</v>
      </c>
      <c r="H32" s="881">
        <v>0.0</v>
      </c>
      <c r="I32" s="739">
        <v>0.0</v>
      </c>
      <c r="J32" s="739">
        <v>0.0</v>
      </c>
      <c r="K32" s="881">
        <v>0.0</v>
      </c>
      <c r="L32" s="739">
        <v>0.0</v>
      </c>
      <c r="M32" s="739">
        <v>0.0</v>
      </c>
      <c r="N32" s="881">
        <v>0.0</v>
      </c>
      <c r="O32" s="739">
        <v>0.0</v>
      </c>
      <c r="P32" s="739">
        <v>0.0</v>
      </c>
      <c r="Q32" s="881">
        <v>0.0</v>
      </c>
      <c r="R32" s="739">
        <v>0.0</v>
      </c>
      <c r="S32" s="739">
        <v>0.0</v>
      </c>
      <c r="T32" s="881">
        <v>0.0</v>
      </c>
      <c r="U32" s="739">
        <v>0.0</v>
      </c>
      <c r="V32" s="739">
        <v>0.0</v>
      </c>
      <c r="W32" s="881">
        <v>0.0</v>
      </c>
      <c r="X32" s="739">
        <v>0.0</v>
      </c>
      <c r="Y32" s="882">
        <v>0.0</v>
      </c>
      <c r="Z32" s="874"/>
      <c r="AA32" s="874"/>
      <c r="AB32" s="874"/>
      <c r="AC32" s="874"/>
    </row>
    <row r="33" ht="18.75" customHeight="1">
      <c r="A33" s="626">
        <v>26.0</v>
      </c>
      <c r="B33" s="881">
        <v>0.0</v>
      </c>
      <c r="C33" s="739">
        <v>0.0</v>
      </c>
      <c r="D33" s="739">
        <v>0.0</v>
      </c>
      <c r="E33" s="881">
        <v>0.0</v>
      </c>
      <c r="F33" s="739">
        <v>0.0</v>
      </c>
      <c r="G33" s="739">
        <v>0.0</v>
      </c>
      <c r="H33" s="881">
        <v>0.0</v>
      </c>
      <c r="I33" s="739">
        <v>0.0</v>
      </c>
      <c r="J33" s="739">
        <v>0.0</v>
      </c>
      <c r="K33" s="881">
        <v>0.0</v>
      </c>
      <c r="L33" s="739">
        <v>0.0</v>
      </c>
      <c r="M33" s="739">
        <v>0.0</v>
      </c>
      <c r="N33" s="881">
        <v>0.0</v>
      </c>
      <c r="O33" s="739">
        <v>0.0</v>
      </c>
      <c r="P33" s="739">
        <v>0.0</v>
      </c>
      <c r="Q33" s="881">
        <v>0.0</v>
      </c>
      <c r="R33" s="739">
        <v>0.0</v>
      </c>
      <c r="S33" s="739">
        <v>0.0</v>
      </c>
      <c r="T33" s="881">
        <v>0.0</v>
      </c>
      <c r="U33" s="739">
        <v>0.0</v>
      </c>
      <c r="V33" s="739">
        <v>0.0</v>
      </c>
      <c r="W33" s="881">
        <v>0.0</v>
      </c>
      <c r="X33" s="739">
        <v>0.0</v>
      </c>
      <c r="Y33" s="882">
        <v>0.0</v>
      </c>
      <c r="Z33" s="874"/>
      <c r="AA33" s="874"/>
      <c r="AB33" s="874"/>
      <c r="AC33" s="874"/>
    </row>
    <row r="34" ht="18.75" customHeight="1">
      <c r="A34" s="626">
        <v>27.0</v>
      </c>
      <c r="B34" s="881">
        <v>0.0</v>
      </c>
      <c r="C34" s="739">
        <v>0.0</v>
      </c>
      <c r="D34" s="739">
        <v>0.0</v>
      </c>
      <c r="E34" s="881">
        <v>0.0</v>
      </c>
      <c r="F34" s="739">
        <v>0.0</v>
      </c>
      <c r="G34" s="739">
        <v>0.0</v>
      </c>
      <c r="H34" s="881">
        <v>0.0</v>
      </c>
      <c r="I34" s="739">
        <v>0.0</v>
      </c>
      <c r="J34" s="739">
        <v>0.0</v>
      </c>
      <c r="K34" s="881">
        <v>0.0</v>
      </c>
      <c r="L34" s="739">
        <v>0.0</v>
      </c>
      <c r="M34" s="739">
        <v>0.0</v>
      </c>
      <c r="N34" s="881">
        <v>0.0</v>
      </c>
      <c r="O34" s="739">
        <v>0.0</v>
      </c>
      <c r="P34" s="739">
        <v>0.0</v>
      </c>
      <c r="Q34" s="881">
        <v>0.0</v>
      </c>
      <c r="R34" s="739">
        <v>0.0</v>
      </c>
      <c r="S34" s="739">
        <v>0.0</v>
      </c>
      <c r="T34" s="881">
        <v>0.0</v>
      </c>
      <c r="U34" s="739">
        <v>0.0</v>
      </c>
      <c r="V34" s="739">
        <v>0.0</v>
      </c>
      <c r="W34" s="881">
        <v>0.0</v>
      </c>
      <c r="X34" s="739">
        <v>0.0</v>
      </c>
      <c r="Y34" s="882">
        <v>0.0</v>
      </c>
      <c r="Z34" s="884"/>
      <c r="AA34" s="884"/>
      <c r="AB34" s="884"/>
      <c r="AC34" s="884"/>
    </row>
    <row r="35" ht="18.75" customHeight="1">
      <c r="A35" s="626">
        <v>28.0</v>
      </c>
      <c r="B35" s="881">
        <v>0.0</v>
      </c>
      <c r="C35" s="739">
        <v>0.0</v>
      </c>
      <c r="D35" s="739">
        <v>0.0</v>
      </c>
      <c r="E35" s="881">
        <v>0.0</v>
      </c>
      <c r="F35" s="739">
        <v>0.0</v>
      </c>
      <c r="G35" s="739">
        <v>0.0</v>
      </c>
      <c r="H35" s="881">
        <v>0.0</v>
      </c>
      <c r="I35" s="739">
        <v>0.0</v>
      </c>
      <c r="J35" s="739">
        <v>0.0</v>
      </c>
      <c r="K35" s="881">
        <v>0.0</v>
      </c>
      <c r="L35" s="739">
        <v>0.0</v>
      </c>
      <c r="M35" s="739">
        <v>0.0</v>
      </c>
      <c r="N35" s="881">
        <v>0.0</v>
      </c>
      <c r="O35" s="739">
        <v>0.0</v>
      </c>
      <c r="P35" s="739">
        <v>0.0</v>
      </c>
      <c r="Q35" s="881">
        <v>0.0</v>
      </c>
      <c r="R35" s="739">
        <v>0.0</v>
      </c>
      <c r="S35" s="739">
        <v>0.0</v>
      </c>
      <c r="T35" s="881">
        <v>0.0</v>
      </c>
      <c r="U35" s="739">
        <v>0.0</v>
      </c>
      <c r="V35" s="739">
        <v>0.0</v>
      </c>
      <c r="W35" s="881">
        <v>0.0</v>
      </c>
      <c r="X35" s="739">
        <v>0.0</v>
      </c>
      <c r="Y35" s="882">
        <v>0.0</v>
      </c>
      <c r="Z35" s="679"/>
    </row>
    <row r="36" ht="18.75" customHeight="1">
      <c r="A36" s="626">
        <v>29.0</v>
      </c>
      <c r="B36" s="881">
        <v>0.0</v>
      </c>
      <c r="C36" s="739">
        <v>0.0</v>
      </c>
      <c r="D36" s="739">
        <v>0.0</v>
      </c>
      <c r="E36" s="881">
        <v>0.0</v>
      </c>
      <c r="F36" s="739">
        <v>0.0</v>
      </c>
      <c r="G36" s="739">
        <v>0.0</v>
      </c>
      <c r="H36" s="881">
        <v>0.0</v>
      </c>
      <c r="I36" s="739">
        <v>0.0</v>
      </c>
      <c r="J36" s="739">
        <v>0.0</v>
      </c>
      <c r="K36" s="881">
        <v>0.0</v>
      </c>
      <c r="L36" s="739">
        <v>0.0</v>
      </c>
      <c r="M36" s="739">
        <v>0.0</v>
      </c>
      <c r="N36" s="881">
        <v>0.0</v>
      </c>
      <c r="O36" s="739">
        <v>0.0</v>
      </c>
      <c r="P36" s="739">
        <v>0.0</v>
      </c>
      <c r="Q36" s="881">
        <v>0.0</v>
      </c>
      <c r="R36" s="739">
        <v>0.0</v>
      </c>
      <c r="S36" s="739">
        <v>0.0</v>
      </c>
      <c r="T36" s="881">
        <v>0.0</v>
      </c>
      <c r="U36" s="739">
        <v>0.0</v>
      </c>
      <c r="V36" s="739">
        <v>0.0</v>
      </c>
      <c r="W36" s="881">
        <v>0.0</v>
      </c>
      <c r="X36" s="739">
        <v>0.0</v>
      </c>
      <c r="Y36" s="882">
        <v>0.0</v>
      </c>
      <c r="Z36" s="679"/>
    </row>
    <row r="37" ht="18.75" customHeight="1">
      <c r="A37" s="626">
        <v>30.0</v>
      </c>
      <c r="B37" s="881">
        <v>0.0</v>
      </c>
      <c r="C37" s="739">
        <v>0.0</v>
      </c>
      <c r="D37" s="739">
        <v>0.0</v>
      </c>
      <c r="E37" s="881">
        <v>0.0</v>
      </c>
      <c r="F37" s="739">
        <v>0.0</v>
      </c>
      <c r="G37" s="739">
        <v>0.0</v>
      </c>
      <c r="H37" s="881">
        <v>0.0</v>
      </c>
      <c r="I37" s="739">
        <v>0.0</v>
      </c>
      <c r="J37" s="739">
        <v>0.0</v>
      </c>
      <c r="K37" s="881">
        <v>0.0</v>
      </c>
      <c r="L37" s="739">
        <v>0.0</v>
      </c>
      <c r="M37" s="739">
        <v>0.0</v>
      </c>
      <c r="N37" s="881">
        <v>0.0</v>
      </c>
      <c r="O37" s="739">
        <v>0.0</v>
      </c>
      <c r="P37" s="739">
        <v>0.0</v>
      </c>
      <c r="Q37" s="881">
        <v>0.0</v>
      </c>
      <c r="R37" s="739">
        <v>0.0</v>
      </c>
      <c r="S37" s="739">
        <v>0.0</v>
      </c>
      <c r="T37" s="881">
        <v>0.0</v>
      </c>
      <c r="U37" s="739">
        <v>0.0</v>
      </c>
      <c r="V37" s="739">
        <v>0.0</v>
      </c>
      <c r="W37" s="881">
        <v>0.0</v>
      </c>
      <c r="X37" s="739">
        <v>0.0</v>
      </c>
      <c r="Y37" s="882">
        <v>0.0</v>
      </c>
      <c r="Z37" s="679"/>
    </row>
    <row r="38" ht="19.5" customHeight="1">
      <c r="A38" s="666" t="s">
        <v>255</v>
      </c>
      <c r="B38" s="127"/>
      <c r="C38" s="128"/>
      <c r="D38" s="885">
        <f>AVERAGE('Parte4 '!D8:D37)</f>
        <v>0</v>
      </c>
      <c r="E38" s="886"/>
      <c r="F38" s="127"/>
      <c r="G38" s="885">
        <f>AVERAGE('Parte4 '!D7:D37)</f>
        <v>0</v>
      </c>
      <c r="H38" s="886"/>
      <c r="I38" s="127"/>
      <c r="J38" s="885">
        <f>AVERAGE('Parte4 '!D7:D37)</f>
        <v>0</v>
      </c>
      <c r="K38" s="886"/>
      <c r="L38" s="127"/>
      <c r="M38" s="885">
        <f>AVERAGE('Parte4 '!D7:D37)</f>
        <v>0</v>
      </c>
      <c r="N38" s="886"/>
      <c r="O38" s="127"/>
      <c r="P38" s="885">
        <f>AVERAGE('Parte4 '!D7:D37)</f>
        <v>0</v>
      </c>
      <c r="Q38" s="886"/>
      <c r="R38" s="127"/>
      <c r="S38" s="885">
        <f>AVERAGE('Parte4 '!D7:D37)</f>
        <v>0</v>
      </c>
      <c r="T38" s="886"/>
      <c r="U38" s="127"/>
      <c r="V38" s="885">
        <f>AVERAGE('Parte4 '!D7:D37)</f>
        <v>0</v>
      </c>
      <c r="W38" s="887"/>
      <c r="X38" s="128"/>
      <c r="Y38" s="885">
        <f>AVERAGE('Parte4 '!D7:D37)</f>
        <v>0</v>
      </c>
      <c r="Z38" s="679"/>
    </row>
    <row r="39" ht="12.75" customHeight="1">
      <c r="Z39" s="679"/>
    </row>
    <row r="40" ht="13.5" customHeight="1">
      <c r="Z40" s="679"/>
    </row>
    <row r="41" ht="13.5" customHeight="1">
      <c r="B41" s="888" t="s">
        <v>88</v>
      </c>
      <c r="C41" s="127"/>
      <c r="D41" s="127"/>
      <c r="E41" s="127"/>
      <c r="F41" s="127"/>
      <c r="G41" s="128"/>
      <c r="I41" s="889"/>
      <c r="J41" s="12"/>
      <c r="K41" s="889" t="s">
        <v>321</v>
      </c>
      <c r="L41" s="11"/>
      <c r="M41" s="11"/>
      <c r="N41" s="12"/>
      <c r="O41" s="888" t="s">
        <v>322</v>
      </c>
      <c r="P41" s="127"/>
      <c r="Q41" s="127"/>
      <c r="R41" s="128"/>
      <c r="Z41" s="679"/>
    </row>
    <row r="42" ht="13.5" customHeight="1">
      <c r="B42" s="890"/>
      <c r="C42" s="18"/>
      <c r="D42" s="888" t="s">
        <v>294</v>
      </c>
      <c r="E42" s="128"/>
      <c r="F42" s="888" t="s">
        <v>295</v>
      </c>
      <c r="G42" s="128"/>
      <c r="I42" s="16"/>
      <c r="J42" s="18"/>
      <c r="K42" s="888" t="s">
        <v>294</v>
      </c>
      <c r="L42" s="891"/>
      <c r="M42" s="892" t="s">
        <v>295</v>
      </c>
      <c r="N42" s="128"/>
      <c r="O42" s="888" t="s">
        <v>294</v>
      </c>
      <c r="P42" s="891"/>
      <c r="Q42" s="892" t="s">
        <v>295</v>
      </c>
      <c r="R42" s="128"/>
    </row>
    <row r="43" ht="13.5" customHeight="1">
      <c r="B43" s="888" t="s">
        <v>323</v>
      </c>
      <c r="C43" s="128"/>
      <c r="D43" s="893">
        <f>MAX('Parte4 '!B8:B37)</f>
        <v>0</v>
      </c>
      <c r="E43" s="128"/>
      <c r="F43" s="893">
        <f>MIN('Parte4 '!C8:C37)</f>
        <v>0</v>
      </c>
      <c r="G43" s="128"/>
      <c r="I43" s="888" t="s">
        <v>223</v>
      </c>
      <c r="J43" s="128"/>
      <c r="K43" s="894">
        <f>MAX('Parte4 '!U8:U37)</f>
        <v>0</v>
      </c>
      <c r="L43" s="891"/>
      <c r="M43" s="895">
        <f>MIN('Parte4 '!U8:U37)</f>
        <v>0</v>
      </c>
      <c r="N43" s="128"/>
      <c r="O43" s="894">
        <f>MAX('Parte4 '!W8:W37)</f>
        <v>0</v>
      </c>
      <c r="P43" s="891"/>
      <c r="Q43" s="896">
        <f>MIN('Parte4 '!W8:W37)</f>
        <v>0</v>
      </c>
      <c r="R43" s="128"/>
    </row>
    <row r="44" ht="13.5" customHeight="1">
      <c r="B44" s="888" t="s">
        <v>324</v>
      </c>
      <c r="C44" s="128"/>
      <c r="D44" s="893">
        <f>MAX('Parte4 '!E8:E37)</f>
        <v>0</v>
      </c>
      <c r="E44" s="128"/>
      <c r="F44" s="893">
        <f>MIN('Parte4 '!F8:F37)</f>
        <v>0</v>
      </c>
      <c r="G44" s="128"/>
      <c r="I44" s="888" t="s">
        <v>225</v>
      </c>
      <c r="J44" s="128"/>
      <c r="K44" s="894">
        <f>MAX('Parte4 '!V8:V37)</f>
        <v>0</v>
      </c>
      <c r="L44" s="891"/>
      <c r="M44" s="896">
        <f>MIN('Parte4 '!V8:V37)</f>
        <v>0</v>
      </c>
      <c r="N44" s="128"/>
      <c r="O44" s="894">
        <f>MAX('Parte4 '!X8:X37)</f>
        <v>0</v>
      </c>
      <c r="P44" s="891"/>
      <c r="Q44" s="896">
        <f>MIN('Parte4 '!X8:X37)</f>
        <v>0</v>
      </c>
      <c r="R44" s="128"/>
    </row>
    <row r="45" ht="13.5" customHeight="1">
      <c r="B45" s="888" t="s">
        <v>325</v>
      </c>
      <c r="C45" s="128"/>
      <c r="D45" s="893">
        <f>MAX('Parte4 '!H8:H37)</f>
        <v>0</v>
      </c>
      <c r="E45" s="128"/>
      <c r="F45" s="893">
        <f>MIN('Parte4 '!I8:I37)</f>
        <v>0</v>
      </c>
      <c r="G45" s="128"/>
    </row>
    <row r="46" ht="13.5" customHeight="1">
      <c r="B46" s="888" t="s">
        <v>326</v>
      </c>
      <c r="C46" s="128"/>
      <c r="D46" s="893">
        <f>MAX('Parte4 '!K8:K37)</f>
        <v>0</v>
      </c>
      <c r="E46" s="128"/>
      <c r="F46" s="893">
        <f>MIN('Parte4 '!L8:L37)</f>
        <v>0</v>
      </c>
      <c r="G46" s="128"/>
    </row>
    <row r="47" ht="13.5" customHeight="1">
      <c r="B47" s="888" t="s">
        <v>327</v>
      </c>
      <c r="C47" s="128"/>
      <c r="D47" s="893">
        <f>MAX('Parte4 '!N8:N37)</f>
        <v>0</v>
      </c>
      <c r="E47" s="128"/>
      <c r="F47" s="893">
        <f>MIN('Parte4 '!O8:O37)</f>
        <v>0</v>
      </c>
      <c r="G47" s="128"/>
    </row>
    <row r="48" ht="13.5" customHeight="1">
      <c r="B48" s="888" t="s">
        <v>328</v>
      </c>
      <c r="C48" s="128"/>
      <c r="D48" s="893">
        <f>MAX('Parte4 '!Q8:Q37)</f>
        <v>0</v>
      </c>
      <c r="E48" s="128"/>
      <c r="F48" s="893">
        <f>MIN('Parte4 '!R8:R37)</f>
        <v>0</v>
      </c>
      <c r="G48" s="128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62">
    <mergeCell ref="O42:P42"/>
    <mergeCell ref="Q42:R42"/>
    <mergeCell ref="B41:G41"/>
    <mergeCell ref="I41:J42"/>
    <mergeCell ref="K41:N41"/>
    <mergeCell ref="O41:R41"/>
    <mergeCell ref="B42:C42"/>
    <mergeCell ref="D42:E42"/>
    <mergeCell ref="F42:G42"/>
    <mergeCell ref="D43:E43"/>
    <mergeCell ref="F43:G43"/>
    <mergeCell ref="I43:J43"/>
    <mergeCell ref="K43:L43"/>
    <mergeCell ref="M43:N43"/>
    <mergeCell ref="O43:P43"/>
    <mergeCell ref="Q43:R43"/>
    <mergeCell ref="O44:P44"/>
    <mergeCell ref="Q44:R44"/>
    <mergeCell ref="B43:C43"/>
    <mergeCell ref="B44:C44"/>
    <mergeCell ref="D44:E44"/>
    <mergeCell ref="F44:G44"/>
    <mergeCell ref="I44:J44"/>
    <mergeCell ref="K44:L44"/>
    <mergeCell ref="M44:N44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B47:C47"/>
    <mergeCell ref="H6:J6"/>
    <mergeCell ref="K6:M6"/>
    <mergeCell ref="N6:P6"/>
    <mergeCell ref="Q6:S6"/>
    <mergeCell ref="T6:V6"/>
    <mergeCell ref="W6:Y6"/>
    <mergeCell ref="A1:F2"/>
    <mergeCell ref="G1:U2"/>
    <mergeCell ref="V1:Y1"/>
    <mergeCell ref="V2:Y2"/>
    <mergeCell ref="A4:A7"/>
    <mergeCell ref="B4:Y4"/>
    <mergeCell ref="B5:Y5"/>
    <mergeCell ref="Q38:R38"/>
    <mergeCell ref="T38:U38"/>
    <mergeCell ref="W38:X38"/>
    <mergeCell ref="B6:D6"/>
    <mergeCell ref="E6:G6"/>
    <mergeCell ref="A38:C38"/>
    <mergeCell ref="E38:F38"/>
    <mergeCell ref="H38:I38"/>
    <mergeCell ref="K38:L38"/>
    <mergeCell ref="N38:O38"/>
    <mergeCell ref="K42:L42"/>
    <mergeCell ref="M42:N42"/>
  </mergeCells>
  <printOptions horizontalCentered="1"/>
  <pageMargins bottom="0.590277777777778" footer="0.0" header="0.0" left="0.129861111111111" right="0.120138888888889" top="0.78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16" width="3.57"/>
    <col customWidth="1" min="17" max="18" width="3.43"/>
    <col customWidth="1" min="19" max="25" width="3.57"/>
    <col customWidth="1" min="26" max="44" width="8.86"/>
  </cols>
  <sheetData>
    <row r="1" ht="22.5" customHeight="1">
      <c r="A1" s="869" t="s">
        <v>309</v>
      </c>
      <c r="B1" s="11"/>
      <c r="C1" s="11"/>
      <c r="D1" s="11"/>
      <c r="E1" s="11"/>
      <c r="F1" s="12"/>
      <c r="G1" s="870" t="s">
        <v>217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897" t="s">
        <v>247</v>
      </c>
      <c r="W1" s="11"/>
      <c r="X1" s="11"/>
      <c r="Y1" s="12"/>
    </row>
    <row r="2" ht="18.0" customHeight="1">
      <c r="A2" s="16"/>
      <c r="B2" s="17"/>
      <c r="C2" s="17"/>
      <c r="D2" s="17"/>
      <c r="E2" s="17"/>
      <c r="F2" s="18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  <c r="V2" s="898">
        <f>'1'!$U$25</f>
        <v>43922</v>
      </c>
      <c r="W2" s="17"/>
      <c r="X2" s="17"/>
      <c r="Y2" s="18"/>
    </row>
    <row r="3" ht="3.0" customHeight="1">
      <c r="A3" s="616"/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  <c r="R3" s="616"/>
      <c r="S3" s="616"/>
      <c r="T3" s="616"/>
      <c r="U3" s="616"/>
      <c r="V3" s="616"/>
      <c r="W3" s="616"/>
      <c r="X3" s="616"/>
      <c r="Y3" s="616"/>
    </row>
    <row r="4" ht="27.75" customHeight="1">
      <c r="A4" s="617" t="s">
        <v>219</v>
      </c>
      <c r="B4" s="873" t="s">
        <v>329</v>
      </c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  <c r="R4" s="674"/>
      <c r="S4" s="674"/>
      <c r="T4" s="674"/>
      <c r="U4" s="674"/>
      <c r="V4" s="674"/>
      <c r="W4" s="674"/>
      <c r="X4" s="674"/>
      <c r="Y4" s="675"/>
      <c r="Z4" s="623"/>
      <c r="AA4" s="623"/>
      <c r="AB4" s="623"/>
      <c r="AC4" s="623"/>
      <c r="AD4" s="623"/>
      <c r="AE4" s="623"/>
      <c r="AF4" s="623"/>
      <c r="AG4" s="623"/>
      <c r="AH4" s="623"/>
      <c r="AI4" s="623"/>
      <c r="AJ4" s="623"/>
      <c r="AK4" s="623"/>
      <c r="AL4" s="623"/>
      <c r="AM4" s="623"/>
      <c r="AN4" s="623"/>
      <c r="AO4" s="623"/>
      <c r="AP4" s="623"/>
      <c r="AQ4" s="623"/>
      <c r="AR4" s="623"/>
    </row>
    <row r="5" ht="21.75" customHeight="1">
      <c r="A5" s="203"/>
      <c r="B5" s="875" t="s">
        <v>311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8"/>
    </row>
    <row r="6" ht="17.25" customHeight="1">
      <c r="A6" s="203"/>
      <c r="B6" s="876" t="s">
        <v>330</v>
      </c>
      <c r="C6" s="284"/>
      <c r="D6" s="285"/>
      <c r="E6" s="877" t="s">
        <v>331</v>
      </c>
      <c r="F6" s="284"/>
      <c r="G6" s="285"/>
      <c r="H6" s="877" t="s">
        <v>332</v>
      </c>
      <c r="I6" s="284"/>
      <c r="J6" s="285"/>
      <c r="K6" s="877" t="s">
        <v>333</v>
      </c>
      <c r="L6" s="284"/>
      <c r="M6" s="285"/>
      <c r="N6" s="877" t="s">
        <v>334</v>
      </c>
      <c r="O6" s="284"/>
      <c r="P6" s="285"/>
      <c r="Q6" s="877" t="s">
        <v>335</v>
      </c>
      <c r="R6" s="284"/>
      <c r="S6" s="285"/>
      <c r="T6" s="877" t="s">
        <v>336</v>
      </c>
      <c r="U6" s="284"/>
      <c r="V6" s="285"/>
      <c r="W6" s="877" t="s">
        <v>337</v>
      </c>
      <c r="X6" s="284"/>
      <c r="Y6" s="621"/>
    </row>
    <row r="7" ht="17.25" customHeight="1">
      <c r="A7" s="219"/>
      <c r="B7" s="631" t="s">
        <v>227</v>
      </c>
      <c r="C7" s="629" t="s">
        <v>228</v>
      </c>
      <c r="D7" s="629" t="s">
        <v>229</v>
      </c>
      <c r="E7" s="629" t="s">
        <v>227</v>
      </c>
      <c r="F7" s="629" t="s">
        <v>228</v>
      </c>
      <c r="G7" s="629" t="s">
        <v>229</v>
      </c>
      <c r="H7" s="629" t="s">
        <v>227</v>
      </c>
      <c r="I7" s="629" t="s">
        <v>228</v>
      </c>
      <c r="J7" s="629" t="s">
        <v>229</v>
      </c>
      <c r="K7" s="629" t="s">
        <v>227</v>
      </c>
      <c r="L7" s="629" t="s">
        <v>228</v>
      </c>
      <c r="M7" s="629" t="s">
        <v>229</v>
      </c>
      <c r="N7" s="632" t="s">
        <v>227</v>
      </c>
      <c r="O7" s="632" t="s">
        <v>228</v>
      </c>
      <c r="P7" s="632" t="s">
        <v>229</v>
      </c>
      <c r="Q7" s="632" t="s">
        <v>227</v>
      </c>
      <c r="R7" s="632" t="s">
        <v>228</v>
      </c>
      <c r="S7" s="632" t="s">
        <v>229</v>
      </c>
      <c r="T7" s="632" t="s">
        <v>227</v>
      </c>
      <c r="U7" s="629" t="s">
        <v>228</v>
      </c>
      <c r="V7" s="629" t="s">
        <v>229</v>
      </c>
      <c r="W7" s="629" t="s">
        <v>227</v>
      </c>
      <c r="X7" s="629" t="s">
        <v>228</v>
      </c>
      <c r="Y7" s="633" t="s">
        <v>229</v>
      </c>
    </row>
    <row r="8" ht="19.5" customHeight="1">
      <c r="A8" s="736">
        <v>1.0</v>
      </c>
      <c r="B8" s="881">
        <f>MAX('1'!$J$22:$J$23)</f>
        <v>0</v>
      </c>
      <c r="C8" s="739" t="str">
        <f t="shared" ref="C8:Y8" si="1">#VALUE!</f>
        <v>#VALUE!</v>
      </c>
      <c r="D8" s="739" t="str">
        <f t="shared" si="1"/>
        <v>#VALUE!</v>
      </c>
      <c r="E8" s="739" t="str">
        <f t="shared" si="1"/>
        <v>#VALUE!</v>
      </c>
      <c r="F8" s="739" t="str">
        <f t="shared" si="1"/>
        <v>#VALUE!</v>
      </c>
      <c r="G8" s="739" t="str">
        <f t="shared" si="1"/>
        <v>#VALUE!</v>
      </c>
      <c r="H8" s="739" t="str">
        <f t="shared" si="1"/>
        <v>#VALUE!</v>
      </c>
      <c r="I8" s="739" t="str">
        <f t="shared" si="1"/>
        <v>#VALUE!</v>
      </c>
      <c r="J8" s="739" t="str">
        <f t="shared" si="1"/>
        <v>#VALUE!</v>
      </c>
      <c r="K8" s="739" t="str">
        <f t="shared" si="1"/>
        <v>#VALUE!</v>
      </c>
      <c r="L8" s="739" t="str">
        <f t="shared" si="1"/>
        <v>#VALUE!</v>
      </c>
      <c r="M8" s="739" t="str">
        <f t="shared" si="1"/>
        <v>#VALUE!</v>
      </c>
      <c r="N8" s="739" t="str">
        <f t="shared" si="1"/>
        <v>#VALUE!</v>
      </c>
      <c r="O8" s="739" t="str">
        <f t="shared" si="1"/>
        <v>#VALUE!</v>
      </c>
      <c r="P8" s="739" t="str">
        <f t="shared" si="1"/>
        <v>#VALUE!</v>
      </c>
      <c r="Q8" s="739" t="str">
        <f t="shared" si="1"/>
        <v>#VALUE!</v>
      </c>
      <c r="R8" s="739" t="str">
        <f t="shared" si="1"/>
        <v>#VALUE!</v>
      </c>
      <c r="S8" s="739" t="str">
        <f t="shared" si="1"/>
        <v>#VALUE!</v>
      </c>
      <c r="T8" s="739" t="str">
        <f t="shared" si="1"/>
        <v>#VALUE!</v>
      </c>
      <c r="U8" s="739" t="str">
        <f t="shared" si="1"/>
        <v>#VALUE!</v>
      </c>
      <c r="V8" s="739" t="str">
        <f t="shared" si="1"/>
        <v>#VALUE!</v>
      </c>
      <c r="W8" s="739" t="str">
        <f t="shared" si="1"/>
        <v>#VALUE!</v>
      </c>
      <c r="X8" s="739" t="str">
        <f t="shared" si="1"/>
        <v>#VALUE!</v>
      </c>
      <c r="Y8" s="739" t="str">
        <f t="shared" si="1"/>
        <v>#VALUE!</v>
      </c>
    </row>
    <row r="9" ht="19.5" customHeight="1">
      <c r="A9" s="626">
        <v>2.0</v>
      </c>
      <c r="B9" s="899" t="str">
        <f t="shared" ref="B9:Y9" si="2">#VALUE!</f>
        <v>#VALUE!</v>
      </c>
      <c r="C9" s="654" t="str">
        <f t="shared" si="2"/>
        <v>#VALUE!</v>
      </c>
      <c r="D9" s="654" t="str">
        <f t="shared" si="2"/>
        <v>#VALUE!</v>
      </c>
      <c r="E9" s="654" t="str">
        <f t="shared" si="2"/>
        <v>#VALUE!</v>
      </c>
      <c r="F9" s="654" t="str">
        <f t="shared" si="2"/>
        <v>#VALUE!</v>
      </c>
      <c r="G9" s="654" t="str">
        <f t="shared" si="2"/>
        <v>#VALUE!</v>
      </c>
      <c r="H9" s="654" t="str">
        <f t="shared" si="2"/>
        <v>#VALUE!</v>
      </c>
      <c r="I9" s="654" t="str">
        <f t="shared" si="2"/>
        <v>#VALUE!</v>
      </c>
      <c r="J9" s="654" t="str">
        <f t="shared" si="2"/>
        <v>#VALUE!</v>
      </c>
      <c r="K9" s="654" t="str">
        <f t="shared" si="2"/>
        <v>#VALUE!</v>
      </c>
      <c r="L9" s="654" t="str">
        <f t="shared" si="2"/>
        <v>#VALUE!</v>
      </c>
      <c r="M9" s="654" t="str">
        <f t="shared" si="2"/>
        <v>#VALUE!</v>
      </c>
      <c r="N9" s="654" t="str">
        <f t="shared" si="2"/>
        <v>#VALUE!</v>
      </c>
      <c r="O9" s="654" t="str">
        <f t="shared" si="2"/>
        <v>#VALUE!</v>
      </c>
      <c r="P9" s="654" t="str">
        <f t="shared" si="2"/>
        <v>#VALUE!</v>
      </c>
      <c r="Q9" s="654" t="str">
        <f t="shared" si="2"/>
        <v>#VALUE!</v>
      </c>
      <c r="R9" s="654" t="str">
        <f t="shared" si="2"/>
        <v>#VALUE!</v>
      </c>
      <c r="S9" s="654" t="str">
        <f t="shared" si="2"/>
        <v>#VALUE!</v>
      </c>
      <c r="T9" s="654" t="str">
        <f t="shared" si="2"/>
        <v>#VALUE!</v>
      </c>
      <c r="U9" s="654" t="str">
        <f t="shared" si="2"/>
        <v>#VALUE!</v>
      </c>
      <c r="V9" s="654" t="str">
        <f t="shared" si="2"/>
        <v>#VALUE!</v>
      </c>
      <c r="W9" s="654" t="str">
        <f t="shared" si="2"/>
        <v>#VALUE!</v>
      </c>
      <c r="X9" s="654" t="str">
        <f t="shared" si="2"/>
        <v>#VALUE!</v>
      </c>
      <c r="Y9" s="654" t="str">
        <f t="shared" si="2"/>
        <v>#VALUE!</v>
      </c>
    </row>
    <row r="10" ht="19.5" customHeight="1">
      <c r="A10" s="626">
        <v>3.0</v>
      </c>
      <c r="B10" s="899">
        <f>MAX('3'!$J$25)</f>
        <v>0</v>
      </c>
      <c r="C10" s="654">
        <f>MIN('3'!$J$26)</f>
        <v>0</v>
      </c>
      <c r="D10" s="654">
        <f>MIN('3'!$J$26)</f>
        <v>0</v>
      </c>
      <c r="E10" s="654" t="str">
        <f t="shared" ref="E10:Y10" si="3">#VALUE!</f>
        <v>#VALUE!</v>
      </c>
      <c r="F10" s="654" t="str">
        <f t="shared" si="3"/>
        <v>#VALUE!</v>
      </c>
      <c r="G10" s="654" t="str">
        <f t="shared" si="3"/>
        <v>#VALUE!</v>
      </c>
      <c r="H10" s="654" t="str">
        <f t="shared" si="3"/>
        <v>#VALUE!</v>
      </c>
      <c r="I10" s="654" t="str">
        <f t="shared" si="3"/>
        <v>#VALUE!</v>
      </c>
      <c r="J10" s="654" t="str">
        <f t="shared" si="3"/>
        <v>#VALUE!</v>
      </c>
      <c r="K10" s="654" t="str">
        <f t="shared" si="3"/>
        <v>#VALUE!</v>
      </c>
      <c r="L10" s="654" t="str">
        <f t="shared" si="3"/>
        <v>#VALUE!</v>
      </c>
      <c r="M10" s="654" t="str">
        <f t="shared" si="3"/>
        <v>#VALUE!</v>
      </c>
      <c r="N10" s="654" t="str">
        <f t="shared" si="3"/>
        <v>#VALUE!</v>
      </c>
      <c r="O10" s="654" t="str">
        <f t="shared" si="3"/>
        <v>#VALUE!</v>
      </c>
      <c r="P10" s="654" t="str">
        <f t="shared" si="3"/>
        <v>#VALUE!</v>
      </c>
      <c r="Q10" s="654" t="str">
        <f t="shared" si="3"/>
        <v>#VALUE!</v>
      </c>
      <c r="R10" s="654" t="str">
        <f t="shared" si="3"/>
        <v>#VALUE!</v>
      </c>
      <c r="S10" s="654" t="str">
        <f t="shared" si="3"/>
        <v>#VALUE!</v>
      </c>
      <c r="T10" s="654" t="str">
        <f t="shared" si="3"/>
        <v>#VALUE!</v>
      </c>
      <c r="U10" s="654" t="str">
        <f t="shared" si="3"/>
        <v>#VALUE!</v>
      </c>
      <c r="V10" s="654" t="str">
        <f t="shared" si="3"/>
        <v>#VALUE!</v>
      </c>
      <c r="W10" s="654" t="str">
        <f t="shared" si="3"/>
        <v>#VALUE!</v>
      </c>
      <c r="X10" s="654" t="str">
        <f t="shared" si="3"/>
        <v>#VALUE!</v>
      </c>
      <c r="Y10" s="654" t="str">
        <f t="shared" si="3"/>
        <v>#VALUE!</v>
      </c>
    </row>
    <row r="11" ht="19.5" customHeight="1">
      <c r="A11" s="626">
        <v>4.0</v>
      </c>
      <c r="B11" s="899" t="str">
        <f t="shared" ref="B11:Y11" si="4">#VALUE!</f>
        <v>#VALUE!</v>
      </c>
      <c r="C11" s="654" t="str">
        <f t="shared" si="4"/>
        <v>#VALUE!</v>
      </c>
      <c r="D11" s="654" t="str">
        <f t="shared" si="4"/>
        <v>#VALUE!</v>
      </c>
      <c r="E11" s="654" t="str">
        <f t="shared" si="4"/>
        <v>#VALUE!</v>
      </c>
      <c r="F11" s="654" t="str">
        <f t="shared" si="4"/>
        <v>#VALUE!</v>
      </c>
      <c r="G11" s="654" t="str">
        <f t="shared" si="4"/>
        <v>#VALUE!</v>
      </c>
      <c r="H11" s="654" t="str">
        <f t="shared" si="4"/>
        <v>#VALUE!</v>
      </c>
      <c r="I11" s="654" t="str">
        <f t="shared" si="4"/>
        <v>#VALUE!</v>
      </c>
      <c r="J11" s="654" t="str">
        <f t="shared" si="4"/>
        <v>#VALUE!</v>
      </c>
      <c r="K11" s="654" t="str">
        <f t="shared" si="4"/>
        <v>#VALUE!</v>
      </c>
      <c r="L11" s="654" t="str">
        <f t="shared" si="4"/>
        <v>#VALUE!</v>
      </c>
      <c r="M11" s="654" t="str">
        <f t="shared" si="4"/>
        <v>#VALUE!</v>
      </c>
      <c r="N11" s="654" t="str">
        <f t="shared" si="4"/>
        <v>#VALUE!</v>
      </c>
      <c r="O11" s="654" t="str">
        <f t="shared" si="4"/>
        <v>#VALUE!</v>
      </c>
      <c r="P11" s="654" t="str">
        <f t="shared" si="4"/>
        <v>#VALUE!</v>
      </c>
      <c r="Q11" s="654" t="str">
        <f t="shared" si="4"/>
        <v>#VALUE!</v>
      </c>
      <c r="R11" s="654" t="str">
        <f t="shared" si="4"/>
        <v>#VALUE!</v>
      </c>
      <c r="S11" s="654" t="str">
        <f t="shared" si="4"/>
        <v>#VALUE!</v>
      </c>
      <c r="T11" s="654" t="str">
        <f t="shared" si="4"/>
        <v>#VALUE!</v>
      </c>
      <c r="U11" s="654" t="str">
        <f t="shared" si="4"/>
        <v>#VALUE!</v>
      </c>
      <c r="V11" s="654" t="str">
        <f t="shared" si="4"/>
        <v>#VALUE!</v>
      </c>
      <c r="W11" s="654" t="str">
        <f t="shared" si="4"/>
        <v>#VALUE!</v>
      </c>
      <c r="X11" s="654" t="str">
        <f t="shared" si="4"/>
        <v>#VALUE!</v>
      </c>
      <c r="Y11" s="654" t="str">
        <f t="shared" si="4"/>
        <v>#VALUE!</v>
      </c>
    </row>
    <row r="12" ht="19.5" customHeight="1">
      <c r="A12" s="626">
        <v>5.0</v>
      </c>
      <c r="B12" s="648" t="str">
        <f t="shared" ref="B12:Y12" si="5">#VALUE!</f>
        <v>#VALUE!</v>
      </c>
      <c r="C12" s="637" t="str">
        <f t="shared" si="5"/>
        <v>#VALUE!</v>
      </c>
      <c r="D12" s="637" t="str">
        <f t="shared" si="5"/>
        <v>#VALUE!</v>
      </c>
      <c r="E12" s="637" t="str">
        <f t="shared" si="5"/>
        <v>#VALUE!</v>
      </c>
      <c r="F12" s="637" t="str">
        <f t="shared" si="5"/>
        <v>#VALUE!</v>
      </c>
      <c r="G12" s="637" t="str">
        <f t="shared" si="5"/>
        <v>#VALUE!</v>
      </c>
      <c r="H12" s="637" t="str">
        <f t="shared" si="5"/>
        <v>#VALUE!</v>
      </c>
      <c r="I12" s="637" t="str">
        <f t="shared" si="5"/>
        <v>#VALUE!</v>
      </c>
      <c r="J12" s="637" t="str">
        <f t="shared" si="5"/>
        <v>#VALUE!</v>
      </c>
      <c r="K12" s="637" t="str">
        <f t="shared" si="5"/>
        <v>#VALUE!</v>
      </c>
      <c r="L12" s="637" t="str">
        <f t="shared" si="5"/>
        <v>#VALUE!</v>
      </c>
      <c r="M12" s="637" t="str">
        <f t="shared" si="5"/>
        <v>#VALUE!</v>
      </c>
      <c r="N12" s="637" t="str">
        <f t="shared" si="5"/>
        <v>#VALUE!</v>
      </c>
      <c r="O12" s="637" t="str">
        <f t="shared" si="5"/>
        <v>#VALUE!</v>
      </c>
      <c r="P12" s="637" t="str">
        <f t="shared" si="5"/>
        <v>#VALUE!</v>
      </c>
      <c r="Q12" s="637" t="str">
        <f t="shared" si="5"/>
        <v>#VALUE!</v>
      </c>
      <c r="R12" s="637" t="str">
        <f t="shared" si="5"/>
        <v>#VALUE!</v>
      </c>
      <c r="S12" s="637" t="str">
        <f t="shared" si="5"/>
        <v>#VALUE!</v>
      </c>
      <c r="T12" s="637" t="str">
        <f t="shared" si="5"/>
        <v>#VALUE!</v>
      </c>
      <c r="U12" s="637" t="str">
        <f t="shared" si="5"/>
        <v>#VALUE!</v>
      </c>
      <c r="V12" s="637" t="str">
        <f t="shared" si="5"/>
        <v>#VALUE!</v>
      </c>
      <c r="W12" s="637" t="str">
        <f t="shared" si="5"/>
        <v>#VALUE!</v>
      </c>
      <c r="X12" s="654" t="str">
        <f t="shared" si="5"/>
        <v>#VALUE!</v>
      </c>
      <c r="Y12" s="654" t="str">
        <f t="shared" si="5"/>
        <v>#VALUE!</v>
      </c>
    </row>
    <row r="13" ht="19.5" customHeight="1">
      <c r="A13" s="626">
        <v>6.0</v>
      </c>
      <c r="B13" s="648" t="str">
        <f t="shared" ref="B13:Y13" si="6">#VALUE!</f>
        <v>#VALUE!</v>
      </c>
      <c r="C13" s="637" t="str">
        <f t="shared" si="6"/>
        <v>#VALUE!</v>
      </c>
      <c r="D13" s="637" t="str">
        <f t="shared" si="6"/>
        <v>#VALUE!</v>
      </c>
      <c r="E13" s="637" t="str">
        <f t="shared" si="6"/>
        <v>#VALUE!</v>
      </c>
      <c r="F13" s="637" t="str">
        <f t="shared" si="6"/>
        <v>#VALUE!</v>
      </c>
      <c r="G13" s="637" t="str">
        <f t="shared" si="6"/>
        <v>#VALUE!</v>
      </c>
      <c r="H13" s="637" t="str">
        <f t="shared" si="6"/>
        <v>#VALUE!</v>
      </c>
      <c r="I13" s="637" t="str">
        <f t="shared" si="6"/>
        <v>#VALUE!</v>
      </c>
      <c r="J13" s="637" t="str">
        <f t="shared" si="6"/>
        <v>#VALUE!</v>
      </c>
      <c r="K13" s="637" t="str">
        <f t="shared" si="6"/>
        <v>#VALUE!</v>
      </c>
      <c r="L13" s="637" t="str">
        <f t="shared" si="6"/>
        <v>#VALUE!</v>
      </c>
      <c r="M13" s="637" t="str">
        <f t="shared" si="6"/>
        <v>#VALUE!</v>
      </c>
      <c r="N13" s="637" t="str">
        <f t="shared" si="6"/>
        <v>#VALUE!</v>
      </c>
      <c r="O13" s="637" t="str">
        <f t="shared" si="6"/>
        <v>#VALUE!</v>
      </c>
      <c r="P13" s="637" t="str">
        <f t="shared" si="6"/>
        <v>#VALUE!</v>
      </c>
      <c r="Q13" s="637" t="str">
        <f t="shared" si="6"/>
        <v>#VALUE!</v>
      </c>
      <c r="R13" s="637" t="str">
        <f t="shared" si="6"/>
        <v>#VALUE!</v>
      </c>
      <c r="S13" s="637" t="str">
        <f t="shared" si="6"/>
        <v>#VALUE!</v>
      </c>
      <c r="T13" s="637" t="str">
        <f t="shared" si="6"/>
        <v>#VALUE!</v>
      </c>
      <c r="U13" s="637" t="str">
        <f t="shared" si="6"/>
        <v>#VALUE!</v>
      </c>
      <c r="V13" s="637" t="str">
        <f t="shared" si="6"/>
        <v>#VALUE!</v>
      </c>
      <c r="W13" s="637" t="str">
        <f t="shared" si="6"/>
        <v>#VALUE!</v>
      </c>
      <c r="X13" s="637" t="str">
        <f t="shared" si="6"/>
        <v>#VALUE!</v>
      </c>
      <c r="Y13" s="637" t="str">
        <f t="shared" si="6"/>
        <v>#VALUE!</v>
      </c>
    </row>
    <row r="14" ht="19.5" customHeight="1">
      <c r="A14" s="626">
        <v>7.0</v>
      </c>
      <c r="B14" s="899" t="str">
        <f t="shared" ref="B14:Y14" si="7">#VALUE!</f>
        <v>#VALUE!</v>
      </c>
      <c r="C14" s="654" t="str">
        <f t="shared" si="7"/>
        <v>#VALUE!</v>
      </c>
      <c r="D14" s="654" t="str">
        <f t="shared" si="7"/>
        <v>#VALUE!</v>
      </c>
      <c r="E14" s="637" t="str">
        <f t="shared" si="7"/>
        <v>#VALUE!</v>
      </c>
      <c r="F14" s="637" t="str">
        <f t="shared" si="7"/>
        <v>#VALUE!</v>
      </c>
      <c r="G14" s="637" t="str">
        <f t="shared" si="7"/>
        <v>#VALUE!</v>
      </c>
      <c r="H14" s="654" t="str">
        <f t="shared" si="7"/>
        <v>#VALUE!</v>
      </c>
      <c r="I14" s="654" t="str">
        <f t="shared" si="7"/>
        <v>#VALUE!</v>
      </c>
      <c r="J14" s="654" t="str">
        <f t="shared" si="7"/>
        <v>#VALUE!</v>
      </c>
      <c r="K14" s="637" t="str">
        <f t="shared" si="7"/>
        <v>#VALUE!</v>
      </c>
      <c r="L14" s="637" t="str">
        <f t="shared" si="7"/>
        <v>#VALUE!</v>
      </c>
      <c r="M14" s="637" t="str">
        <f t="shared" si="7"/>
        <v>#VALUE!</v>
      </c>
      <c r="N14" s="637" t="str">
        <f t="shared" si="7"/>
        <v>#VALUE!</v>
      </c>
      <c r="O14" s="637" t="str">
        <f t="shared" si="7"/>
        <v>#VALUE!</v>
      </c>
      <c r="P14" s="637" t="str">
        <f t="shared" si="7"/>
        <v>#VALUE!</v>
      </c>
      <c r="Q14" s="637" t="str">
        <f t="shared" si="7"/>
        <v>#VALUE!</v>
      </c>
      <c r="R14" s="637" t="str">
        <f t="shared" si="7"/>
        <v>#VALUE!</v>
      </c>
      <c r="S14" s="637" t="str">
        <f t="shared" si="7"/>
        <v>#VALUE!</v>
      </c>
      <c r="T14" s="637" t="str">
        <f t="shared" si="7"/>
        <v>#VALUE!</v>
      </c>
      <c r="U14" s="637" t="str">
        <f t="shared" si="7"/>
        <v>#VALUE!</v>
      </c>
      <c r="V14" s="637" t="str">
        <f t="shared" si="7"/>
        <v>#VALUE!</v>
      </c>
      <c r="W14" s="637" t="str">
        <f t="shared" si="7"/>
        <v>#VALUE!</v>
      </c>
      <c r="X14" s="637" t="str">
        <f t="shared" si="7"/>
        <v>#VALUE!</v>
      </c>
      <c r="Y14" s="637" t="str">
        <f t="shared" si="7"/>
        <v>#VALUE!</v>
      </c>
    </row>
    <row r="15" ht="19.5" customHeight="1">
      <c r="A15" s="626">
        <v>8.0</v>
      </c>
      <c r="B15" s="648" t="str">
        <f t="shared" ref="B15:Y15" si="8">#VALUE!</f>
        <v>#VALUE!</v>
      </c>
      <c r="C15" s="637" t="str">
        <f t="shared" si="8"/>
        <v>#VALUE!</v>
      </c>
      <c r="D15" s="637" t="str">
        <f t="shared" si="8"/>
        <v>#VALUE!</v>
      </c>
      <c r="E15" s="637" t="str">
        <f t="shared" si="8"/>
        <v>#VALUE!</v>
      </c>
      <c r="F15" s="637" t="str">
        <f t="shared" si="8"/>
        <v>#VALUE!</v>
      </c>
      <c r="G15" s="637" t="str">
        <f t="shared" si="8"/>
        <v>#VALUE!</v>
      </c>
      <c r="H15" s="637" t="str">
        <f t="shared" si="8"/>
        <v>#VALUE!</v>
      </c>
      <c r="I15" s="637" t="str">
        <f t="shared" si="8"/>
        <v>#VALUE!</v>
      </c>
      <c r="J15" s="637" t="str">
        <f t="shared" si="8"/>
        <v>#VALUE!</v>
      </c>
      <c r="K15" s="637" t="str">
        <f t="shared" si="8"/>
        <v>#VALUE!</v>
      </c>
      <c r="L15" s="637" t="str">
        <f t="shared" si="8"/>
        <v>#VALUE!</v>
      </c>
      <c r="M15" s="637" t="str">
        <f t="shared" si="8"/>
        <v>#VALUE!</v>
      </c>
      <c r="N15" s="637" t="str">
        <f t="shared" si="8"/>
        <v>#VALUE!</v>
      </c>
      <c r="O15" s="637" t="str">
        <f t="shared" si="8"/>
        <v>#VALUE!</v>
      </c>
      <c r="P15" s="637" t="str">
        <f t="shared" si="8"/>
        <v>#VALUE!</v>
      </c>
      <c r="Q15" s="637" t="str">
        <f t="shared" si="8"/>
        <v>#VALUE!</v>
      </c>
      <c r="R15" s="637" t="str">
        <f t="shared" si="8"/>
        <v>#VALUE!</v>
      </c>
      <c r="S15" s="637" t="str">
        <f t="shared" si="8"/>
        <v>#VALUE!</v>
      </c>
      <c r="T15" s="637" t="str">
        <f t="shared" si="8"/>
        <v>#VALUE!</v>
      </c>
      <c r="U15" s="637" t="str">
        <f t="shared" si="8"/>
        <v>#VALUE!</v>
      </c>
      <c r="V15" s="637" t="str">
        <f t="shared" si="8"/>
        <v>#VALUE!</v>
      </c>
      <c r="W15" s="637" t="str">
        <f t="shared" si="8"/>
        <v>#VALUE!</v>
      </c>
      <c r="X15" s="637" t="str">
        <f t="shared" si="8"/>
        <v>#VALUE!</v>
      </c>
      <c r="Y15" s="637" t="str">
        <f t="shared" si="8"/>
        <v>#VALUE!</v>
      </c>
    </row>
    <row r="16" ht="19.5" customHeight="1">
      <c r="A16" s="626">
        <v>9.0</v>
      </c>
      <c r="B16" s="648" t="str">
        <f t="shared" ref="B16:Y16" si="9">#VALUE!</f>
        <v>#VALUE!</v>
      </c>
      <c r="C16" s="637" t="str">
        <f t="shared" si="9"/>
        <v>#VALUE!</v>
      </c>
      <c r="D16" s="637" t="str">
        <f t="shared" si="9"/>
        <v>#VALUE!</v>
      </c>
      <c r="E16" s="637" t="str">
        <f t="shared" si="9"/>
        <v>#VALUE!</v>
      </c>
      <c r="F16" s="637" t="str">
        <f t="shared" si="9"/>
        <v>#VALUE!</v>
      </c>
      <c r="G16" s="637" t="str">
        <f t="shared" si="9"/>
        <v>#VALUE!</v>
      </c>
      <c r="H16" s="637" t="str">
        <f t="shared" si="9"/>
        <v>#VALUE!</v>
      </c>
      <c r="I16" s="637" t="str">
        <f t="shared" si="9"/>
        <v>#VALUE!</v>
      </c>
      <c r="J16" s="637" t="str">
        <f t="shared" si="9"/>
        <v>#VALUE!</v>
      </c>
      <c r="K16" s="637" t="str">
        <f t="shared" si="9"/>
        <v>#VALUE!</v>
      </c>
      <c r="L16" s="637" t="str">
        <f t="shared" si="9"/>
        <v>#VALUE!</v>
      </c>
      <c r="M16" s="637" t="str">
        <f t="shared" si="9"/>
        <v>#VALUE!</v>
      </c>
      <c r="N16" s="637" t="str">
        <f t="shared" si="9"/>
        <v>#VALUE!</v>
      </c>
      <c r="O16" s="637" t="str">
        <f t="shared" si="9"/>
        <v>#VALUE!</v>
      </c>
      <c r="P16" s="637" t="str">
        <f t="shared" si="9"/>
        <v>#VALUE!</v>
      </c>
      <c r="Q16" s="637" t="str">
        <f t="shared" si="9"/>
        <v>#VALUE!</v>
      </c>
      <c r="R16" s="637" t="str">
        <f t="shared" si="9"/>
        <v>#VALUE!</v>
      </c>
      <c r="S16" s="637" t="str">
        <f t="shared" si="9"/>
        <v>#VALUE!</v>
      </c>
      <c r="T16" s="637" t="str">
        <f t="shared" si="9"/>
        <v>#VALUE!</v>
      </c>
      <c r="U16" s="637" t="str">
        <f t="shared" si="9"/>
        <v>#VALUE!</v>
      </c>
      <c r="V16" s="637" t="str">
        <f t="shared" si="9"/>
        <v>#VALUE!</v>
      </c>
      <c r="W16" s="637" t="str">
        <f t="shared" si="9"/>
        <v>#VALUE!</v>
      </c>
      <c r="X16" s="637" t="str">
        <f t="shared" si="9"/>
        <v>#VALUE!</v>
      </c>
      <c r="Y16" s="637" t="str">
        <f t="shared" si="9"/>
        <v>#VALUE!</v>
      </c>
    </row>
    <row r="17" ht="19.5" customHeight="1">
      <c r="A17" s="626">
        <v>10.0</v>
      </c>
      <c r="B17" s="648" t="str">
        <f t="shared" ref="B17:Y17" si="10">#VALUE!</f>
        <v>#VALUE!</v>
      </c>
      <c r="C17" s="637" t="str">
        <f t="shared" si="10"/>
        <v>#VALUE!</v>
      </c>
      <c r="D17" s="637" t="str">
        <f t="shared" si="10"/>
        <v>#VALUE!</v>
      </c>
      <c r="E17" s="637" t="str">
        <f t="shared" si="10"/>
        <v>#VALUE!</v>
      </c>
      <c r="F17" s="637" t="str">
        <f t="shared" si="10"/>
        <v>#VALUE!</v>
      </c>
      <c r="G17" s="637" t="str">
        <f t="shared" si="10"/>
        <v>#VALUE!</v>
      </c>
      <c r="H17" s="637" t="str">
        <f t="shared" si="10"/>
        <v>#VALUE!</v>
      </c>
      <c r="I17" s="637" t="str">
        <f t="shared" si="10"/>
        <v>#VALUE!</v>
      </c>
      <c r="J17" s="637" t="str">
        <f t="shared" si="10"/>
        <v>#VALUE!</v>
      </c>
      <c r="K17" s="637" t="str">
        <f t="shared" si="10"/>
        <v>#VALUE!</v>
      </c>
      <c r="L17" s="637" t="str">
        <f t="shared" si="10"/>
        <v>#VALUE!</v>
      </c>
      <c r="M17" s="637" t="str">
        <f t="shared" si="10"/>
        <v>#VALUE!</v>
      </c>
      <c r="N17" s="637" t="str">
        <f t="shared" si="10"/>
        <v>#VALUE!</v>
      </c>
      <c r="O17" s="637" t="str">
        <f t="shared" si="10"/>
        <v>#VALUE!</v>
      </c>
      <c r="P17" s="637" t="str">
        <f t="shared" si="10"/>
        <v>#VALUE!</v>
      </c>
      <c r="Q17" s="637" t="str">
        <f t="shared" si="10"/>
        <v>#VALUE!</v>
      </c>
      <c r="R17" s="637" t="str">
        <f t="shared" si="10"/>
        <v>#VALUE!</v>
      </c>
      <c r="S17" s="637" t="str">
        <f t="shared" si="10"/>
        <v>#VALUE!</v>
      </c>
      <c r="T17" s="637" t="str">
        <f t="shared" si="10"/>
        <v>#VALUE!</v>
      </c>
      <c r="U17" s="637" t="str">
        <f t="shared" si="10"/>
        <v>#VALUE!</v>
      </c>
      <c r="V17" s="637" t="str">
        <f t="shared" si="10"/>
        <v>#VALUE!</v>
      </c>
      <c r="W17" s="637" t="str">
        <f t="shared" si="10"/>
        <v>#VALUE!</v>
      </c>
      <c r="X17" s="637" t="str">
        <f t="shared" si="10"/>
        <v>#VALUE!</v>
      </c>
      <c r="Y17" s="637" t="str">
        <f t="shared" si="10"/>
        <v>#VALUE!</v>
      </c>
    </row>
    <row r="18" ht="19.5" customHeight="1">
      <c r="A18" s="626">
        <v>11.0</v>
      </c>
      <c r="B18" s="648" t="str">
        <f t="shared" ref="B18:Y18" si="11">#VALUE!</f>
        <v>#VALUE!</v>
      </c>
      <c r="C18" s="637" t="str">
        <f t="shared" si="11"/>
        <v>#VALUE!</v>
      </c>
      <c r="D18" s="637" t="str">
        <f t="shared" si="11"/>
        <v>#VALUE!</v>
      </c>
      <c r="E18" s="637" t="str">
        <f t="shared" si="11"/>
        <v>#VALUE!</v>
      </c>
      <c r="F18" s="637" t="str">
        <f t="shared" si="11"/>
        <v>#VALUE!</v>
      </c>
      <c r="G18" s="637" t="str">
        <f t="shared" si="11"/>
        <v>#VALUE!</v>
      </c>
      <c r="H18" s="637" t="str">
        <f t="shared" si="11"/>
        <v>#VALUE!</v>
      </c>
      <c r="I18" s="637" t="str">
        <f t="shared" si="11"/>
        <v>#VALUE!</v>
      </c>
      <c r="J18" s="637" t="str">
        <f t="shared" si="11"/>
        <v>#VALUE!</v>
      </c>
      <c r="K18" s="637" t="str">
        <f t="shared" si="11"/>
        <v>#VALUE!</v>
      </c>
      <c r="L18" s="637" t="str">
        <f t="shared" si="11"/>
        <v>#VALUE!</v>
      </c>
      <c r="M18" s="637" t="str">
        <f t="shared" si="11"/>
        <v>#VALUE!</v>
      </c>
      <c r="N18" s="637" t="str">
        <f t="shared" si="11"/>
        <v>#VALUE!</v>
      </c>
      <c r="O18" s="637" t="str">
        <f t="shared" si="11"/>
        <v>#VALUE!</v>
      </c>
      <c r="P18" s="637" t="str">
        <f t="shared" si="11"/>
        <v>#VALUE!</v>
      </c>
      <c r="Q18" s="637" t="str">
        <f t="shared" si="11"/>
        <v>#VALUE!</v>
      </c>
      <c r="R18" s="637" t="str">
        <f t="shared" si="11"/>
        <v>#VALUE!</v>
      </c>
      <c r="S18" s="637" t="str">
        <f t="shared" si="11"/>
        <v>#VALUE!</v>
      </c>
      <c r="T18" s="637" t="str">
        <f t="shared" si="11"/>
        <v>#VALUE!</v>
      </c>
      <c r="U18" s="637" t="str">
        <f t="shared" si="11"/>
        <v>#VALUE!</v>
      </c>
      <c r="V18" s="637" t="str">
        <f t="shared" si="11"/>
        <v>#VALUE!</v>
      </c>
      <c r="W18" s="637" t="str">
        <f t="shared" si="11"/>
        <v>#VALUE!</v>
      </c>
      <c r="X18" s="637" t="str">
        <f t="shared" si="11"/>
        <v>#VALUE!</v>
      </c>
      <c r="Y18" s="637" t="str">
        <f t="shared" si="11"/>
        <v>#VALUE!</v>
      </c>
    </row>
    <row r="19" ht="19.5" customHeight="1">
      <c r="A19" s="626">
        <v>12.0</v>
      </c>
      <c r="B19" s="648" t="str">
        <f t="shared" ref="B19:Y19" si="12">#VALUE!</f>
        <v>#VALUE!</v>
      </c>
      <c r="C19" s="637" t="str">
        <f t="shared" si="12"/>
        <v>#VALUE!</v>
      </c>
      <c r="D19" s="637" t="str">
        <f t="shared" si="12"/>
        <v>#VALUE!</v>
      </c>
      <c r="E19" s="637" t="str">
        <f t="shared" si="12"/>
        <v>#VALUE!</v>
      </c>
      <c r="F19" s="637" t="str">
        <f t="shared" si="12"/>
        <v>#VALUE!</v>
      </c>
      <c r="G19" s="637" t="str">
        <f t="shared" si="12"/>
        <v>#VALUE!</v>
      </c>
      <c r="H19" s="637" t="str">
        <f t="shared" si="12"/>
        <v>#VALUE!</v>
      </c>
      <c r="I19" s="637" t="str">
        <f t="shared" si="12"/>
        <v>#VALUE!</v>
      </c>
      <c r="J19" s="637" t="str">
        <f t="shared" si="12"/>
        <v>#VALUE!</v>
      </c>
      <c r="K19" s="637" t="str">
        <f t="shared" si="12"/>
        <v>#VALUE!</v>
      </c>
      <c r="L19" s="637" t="str">
        <f t="shared" si="12"/>
        <v>#VALUE!</v>
      </c>
      <c r="M19" s="637" t="str">
        <f t="shared" si="12"/>
        <v>#VALUE!</v>
      </c>
      <c r="N19" s="637" t="str">
        <f t="shared" si="12"/>
        <v>#VALUE!</v>
      </c>
      <c r="O19" s="637" t="str">
        <f t="shared" si="12"/>
        <v>#VALUE!</v>
      </c>
      <c r="P19" s="637" t="str">
        <f t="shared" si="12"/>
        <v>#VALUE!</v>
      </c>
      <c r="Q19" s="637" t="str">
        <f t="shared" si="12"/>
        <v>#VALUE!</v>
      </c>
      <c r="R19" s="637" t="str">
        <f t="shared" si="12"/>
        <v>#VALUE!</v>
      </c>
      <c r="S19" s="637" t="str">
        <f t="shared" si="12"/>
        <v>#VALUE!</v>
      </c>
      <c r="T19" s="637" t="str">
        <f t="shared" si="12"/>
        <v>#VALUE!</v>
      </c>
      <c r="U19" s="637" t="str">
        <f t="shared" si="12"/>
        <v>#VALUE!</v>
      </c>
      <c r="V19" s="637" t="str">
        <f t="shared" si="12"/>
        <v>#VALUE!</v>
      </c>
      <c r="W19" s="637" t="str">
        <f t="shared" si="12"/>
        <v>#VALUE!</v>
      </c>
      <c r="X19" s="637" t="str">
        <f t="shared" si="12"/>
        <v>#VALUE!</v>
      </c>
      <c r="Y19" s="637" t="str">
        <f t="shared" si="12"/>
        <v>#VALUE!</v>
      </c>
    </row>
    <row r="20" ht="19.5" customHeight="1">
      <c r="A20" s="626">
        <v>13.0</v>
      </c>
      <c r="B20" s="648" t="str">
        <f t="shared" ref="B20:Y20" si="13">#VALUE!</f>
        <v>#VALUE!</v>
      </c>
      <c r="C20" s="637" t="str">
        <f t="shared" si="13"/>
        <v>#VALUE!</v>
      </c>
      <c r="D20" s="637" t="str">
        <f t="shared" si="13"/>
        <v>#VALUE!</v>
      </c>
      <c r="E20" s="637" t="str">
        <f t="shared" si="13"/>
        <v>#VALUE!</v>
      </c>
      <c r="F20" s="637" t="str">
        <f t="shared" si="13"/>
        <v>#VALUE!</v>
      </c>
      <c r="G20" s="637" t="str">
        <f t="shared" si="13"/>
        <v>#VALUE!</v>
      </c>
      <c r="H20" s="637" t="str">
        <f t="shared" si="13"/>
        <v>#VALUE!</v>
      </c>
      <c r="I20" s="637" t="str">
        <f t="shared" si="13"/>
        <v>#VALUE!</v>
      </c>
      <c r="J20" s="637" t="str">
        <f t="shared" si="13"/>
        <v>#VALUE!</v>
      </c>
      <c r="K20" s="637" t="str">
        <f t="shared" si="13"/>
        <v>#VALUE!</v>
      </c>
      <c r="L20" s="637" t="str">
        <f t="shared" si="13"/>
        <v>#VALUE!</v>
      </c>
      <c r="M20" s="637" t="str">
        <f t="shared" si="13"/>
        <v>#VALUE!</v>
      </c>
      <c r="N20" s="637" t="str">
        <f t="shared" si="13"/>
        <v>#VALUE!</v>
      </c>
      <c r="O20" s="637" t="str">
        <f t="shared" si="13"/>
        <v>#VALUE!</v>
      </c>
      <c r="P20" s="637" t="str">
        <f t="shared" si="13"/>
        <v>#VALUE!</v>
      </c>
      <c r="Q20" s="637" t="str">
        <f t="shared" si="13"/>
        <v>#VALUE!</v>
      </c>
      <c r="R20" s="637" t="str">
        <f t="shared" si="13"/>
        <v>#VALUE!</v>
      </c>
      <c r="S20" s="637" t="str">
        <f t="shared" si="13"/>
        <v>#VALUE!</v>
      </c>
      <c r="T20" s="637" t="str">
        <f t="shared" si="13"/>
        <v>#VALUE!</v>
      </c>
      <c r="U20" s="637" t="str">
        <f t="shared" si="13"/>
        <v>#VALUE!</v>
      </c>
      <c r="V20" s="637" t="str">
        <f t="shared" si="13"/>
        <v>#VALUE!</v>
      </c>
      <c r="W20" s="637" t="str">
        <f t="shared" si="13"/>
        <v>#VALUE!</v>
      </c>
      <c r="X20" s="637" t="str">
        <f t="shared" si="13"/>
        <v>#VALUE!</v>
      </c>
      <c r="Y20" s="637" t="str">
        <f t="shared" si="13"/>
        <v>#VALUE!</v>
      </c>
    </row>
    <row r="21" ht="19.5" customHeight="1">
      <c r="A21" s="626">
        <v>14.0</v>
      </c>
      <c r="B21" s="648" t="str">
        <f t="shared" ref="B21:Y21" si="14">#VALUE!</f>
        <v>#VALUE!</v>
      </c>
      <c r="C21" s="637" t="str">
        <f t="shared" si="14"/>
        <v>#VALUE!</v>
      </c>
      <c r="D21" s="637" t="str">
        <f t="shared" si="14"/>
        <v>#VALUE!</v>
      </c>
      <c r="E21" s="637" t="str">
        <f t="shared" si="14"/>
        <v>#VALUE!</v>
      </c>
      <c r="F21" s="637" t="str">
        <f t="shared" si="14"/>
        <v>#VALUE!</v>
      </c>
      <c r="G21" s="637" t="str">
        <f t="shared" si="14"/>
        <v>#VALUE!</v>
      </c>
      <c r="H21" s="637" t="str">
        <f t="shared" si="14"/>
        <v>#VALUE!</v>
      </c>
      <c r="I21" s="637" t="str">
        <f t="shared" si="14"/>
        <v>#VALUE!</v>
      </c>
      <c r="J21" s="637" t="str">
        <f t="shared" si="14"/>
        <v>#VALUE!</v>
      </c>
      <c r="K21" s="637" t="str">
        <f t="shared" si="14"/>
        <v>#VALUE!</v>
      </c>
      <c r="L21" s="637" t="str">
        <f t="shared" si="14"/>
        <v>#VALUE!</v>
      </c>
      <c r="M21" s="637" t="str">
        <f t="shared" si="14"/>
        <v>#VALUE!</v>
      </c>
      <c r="N21" s="637" t="str">
        <f t="shared" si="14"/>
        <v>#VALUE!</v>
      </c>
      <c r="O21" s="637" t="str">
        <f t="shared" si="14"/>
        <v>#VALUE!</v>
      </c>
      <c r="P21" s="637" t="str">
        <f t="shared" si="14"/>
        <v>#VALUE!</v>
      </c>
      <c r="Q21" s="637" t="str">
        <f t="shared" si="14"/>
        <v>#VALUE!</v>
      </c>
      <c r="R21" s="637" t="str">
        <f t="shared" si="14"/>
        <v>#VALUE!</v>
      </c>
      <c r="S21" s="637" t="str">
        <f t="shared" si="14"/>
        <v>#VALUE!</v>
      </c>
      <c r="T21" s="637" t="str">
        <f t="shared" si="14"/>
        <v>#VALUE!</v>
      </c>
      <c r="U21" s="637" t="str">
        <f t="shared" si="14"/>
        <v>#VALUE!</v>
      </c>
      <c r="V21" s="637" t="str">
        <f t="shared" si="14"/>
        <v>#VALUE!</v>
      </c>
      <c r="W21" s="637" t="str">
        <f t="shared" si="14"/>
        <v>#VALUE!</v>
      </c>
      <c r="X21" s="637" t="str">
        <f t="shared" si="14"/>
        <v>#VALUE!</v>
      </c>
      <c r="Y21" s="637" t="str">
        <f t="shared" si="14"/>
        <v>#VALUE!</v>
      </c>
    </row>
    <row r="22" ht="19.5" customHeight="1">
      <c r="A22" s="626">
        <v>15.0</v>
      </c>
      <c r="B22" s="648" t="str">
        <f t="shared" ref="B22:Y22" si="15">#VALUE!</f>
        <v>#VALUE!</v>
      </c>
      <c r="C22" s="637" t="str">
        <f t="shared" si="15"/>
        <v>#VALUE!</v>
      </c>
      <c r="D22" s="637" t="str">
        <f t="shared" si="15"/>
        <v>#VALUE!</v>
      </c>
      <c r="E22" s="637" t="str">
        <f t="shared" si="15"/>
        <v>#VALUE!</v>
      </c>
      <c r="F22" s="637" t="str">
        <f t="shared" si="15"/>
        <v>#VALUE!</v>
      </c>
      <c r="G22" s="637" t="str">
        <f t="shared" si="15"/>
        <v>#VALUE!</v>
      </c>
      <c r="H22" s="637" t="str">
        <f t="shared" si="15"/>
        <v>#VALUE!</v>
      </c>
      <c r="I22" s="637" t="str">
        <f t="shared" si="15"/>
        <v>#VALUE!</v>
      </c>
      <c r="J22" s="637" t="str">
        <f t="shared" si="15"/>
        <v>#VALUE!</v>
      </c>
      <c r="K22" s="637" t="str">
        <f t="shared" si="15"/>
        <v>#VALUE!</v>
      </c>
      <c r="L22" s="637" t="str">
        <f t="shared" si="15"/>
        <v>#VALUE!</v>
      </c>
      <c r="M22" s="637" t="str">
        <f t="shared" si="15"/>
        <v>#VALUE!</v>
      </c>
      <c r="N22" s="637" t="str">
        <f t="shared" si="15"/>
        <v>#VALUE!</v>
      </c>
      <c r="O22" s="637" t="str">
        <f t="shared" si="15"/>
        <v>#VALUE!</v>
      </c>
      <c r="P22" s="637" t="str">
        <f t="shared" si="15"/>
        <v>#VALUE!</v>
      </c>
      <c r="Q22" s="637" t="str">
        <f t="shared" si="15"/>
        <v>#VALUE!</v>
      </c>
      <c r="R22" s="637" t="str">
        <f t="shared" si="15"/>
        <v>#VALUE!</v>
      </c>
      <c r="S22" s="637" t="str">
        <f t="shared" si="15"/>
        <v>#VALUE!</v>
      </c>
      <c r="T22" s="637" t="str">
        <f t="shared" si="15"/>
        <v>#VALUE!</v>
      </c>
      <c r="U22" s="637" t="str">
        <f t="shared" si="15"/>
        <v>#VALUE!</v>
      </c>
      <c r="V22" s="637" t="str">
        <f t="shared" si="15"/>
        <v>#VALUE!</v>
      </c>
      <c r="W22" s="637" t="str">
        <f t="shared" si="15"/>
        <v>#VALUE!</v>
      </c>
      <c r="X22" s="637" t="str">
        <f t="shared" si="15"/>
        <v>#VALUE!</v>
      </c>
      <c r="Y22" s="637" t="str">
        <f t="shared" si="15"/>
        <v>#VALUE!</v>
      </c>
    </row>
    <row r="23" ht="19.5" customHeight="1">
      <c r="A23" s="626">
        <v>16.0</v>
      </c>
      <c r="B23" s="648" t="str">
        <f t="shared" ref="B23:Y23" si="16">#VALUE!</f>
        <v>#VALUE!</v>
      </c>
      <c r="C23" s="637" t="str">
        <f t="shared" si="16"/>
        <v>#VALUE!</v>
      </c>
      <c r="D23" s="637" t="str">
        <f t="shared" si="16"/>
        <v>#VALUE!</v>
      </c>
      <c r="E23" s="637" t="str">
        <f t="shared" si="16"/>
        <v>#VALUE!</v>
      </c>
      <c r="F23" s="637" t="str">
        <f t="shared" si="16"/>
        <v>#VALUE!</v>
      </c>
      <c r="G23" s="637" t="str">
        <f t="shared" si="16"/>
        <v>#VALUE!</v>
      </c>
      <c r="H23" s="637" t="str">
        <f t="shared" si="16"/>
        <v>#VALUE!</v>
      </c>
      <c r="I23" s="637" t="str">
        <f t="shared" si="16"/>
        <v>#VALUE!</v>
      </c>
      <c r="J23" s="637" t="str">
        <f t="shared" si="16"/>
        <v>#VALUE!</v>
      </c>
      <c r="K23" s="637" t="str">
        <f t="shared" si="16"/>
        <v>#VALUE!</v>
      </c>
      <c r="L23" s="637" t="str">
        <f t="shared" si="16"/>
        <v>#VALUE!</v>
      </c>
      <c r="M23" s="637" t="str">
        <f t="shared" si="16"/>
        <v>#VALUE!</v>
      </c>
      <c r="N23" s="637" t="str">
        <f t="shared" si="16"/>
        <v>#VALUE!</v>
      </c>
      <c r="O23" s="637" t="str">
        <f t="shared" si="16"/>
        <v>#VALUE!</v>
      </c>
      <c r="P23" s="637" t="str">
        <f t="shared" si="16"/>
        <v>#VALUE!</v>
      </c>
      <c r="Q23" s="637" t="str">
        <f t="shared" si="16"/>
        <v>#VALUE!</v>
      </c>
      <c r="R23" s="637" t="str">
        <f t="shared" si="16"/>
        <v>#VALUE!</v>
      </c>
      <c r="S23" s="637" t="str">
        <f t="shared" si="16"/>
        <v>#VALUE!</v>
      </c>
      <c r="T23" s="637" t="str">
        <f t="shared" si="16"/>
        <v>#VALUE!</v>
      </c>
      <c r="U23" s="637" t="str">
        <f t="shared" si="16"/>
        <v>#VALUE!</v>
      </c>
      <c r="V23" s="637" t="str">
        <f t="shared" si="16"/>
        <v>#VALUE!</v>
      </c>
      <c r="W23" s="637" t="str">
        <f t="shared" si="16"/>
        <v>#VALUE!</v>
      </c>
      <c r="X23" s="637" t="str">
        <f t="shared" si="16"/>
        <v>#VALUE!</v>
      </c>
      <c r="Y23" s="637" t="str">
        <f t="shared" si="16"/>
        <v>#VALUE!</v>
      </c>
    </row>
    <row r="24" ht="19.5" customHeight="1">
      <c r="A24" s="626">
        <v>17.0</v>
      </c>
      <c r="B24" s="648" t="str">
        <f t="shared" ref="B24:Y24" si="17">#VALUE!</f>
        <v>#VALUE!</v>
      </c>
      <c r="C24" s="637" t="str">
        <f t="shared" si="17"/>
        <v>#VALUE!</v>
      </c>
      <c r="D24" s="637" t="str">
        <f t="shared" si="17"/>
        <v>#VALUE!</v>
      </c>
      <c r="E24" s="637" t="str">
        <f t="shared" si="17"/>
        <v>#VALUE!</v>
      </c>
      <c r="F24" s="637" t="str">
        <f t="shared" si="17"/>
        <v>#VALUE!</v>
      </c>
      <c r="G24" s="637" t="str">
        <f t="shared" si="17"/>
        <v>#VALUE!</v>
      </c>
      <c r="H24" s="637" t="str">
        <f t="shared" si="17"/>
        <v>#VALUE!</v>
      </c>
      <c r="I24" s="637" t="str">
        <f t="shared" si="17"/>
        <v>#VALUE!</v>
      </c>
      <c r="J24" s="637" t="str">
        <f t="shared" si="17"/>
        <v>#VALUE!</v>
      </c>
      <c r="K24" s="637" t="str">
        <f t="shared" si="17"/>
        <v>#VALUE!</v>
      </c>
      <c r="L24" s="637" t="str">
        <f t="shared" si="17"/>
        <v>#VALUE!</v>
      </c>
      <c r="M24" s="637" t="str">
        <f t="shared" si="17"/>
        <v>#VALUE!</v>
      </c>
      <c r="N24" s="637" t="str">
        <f t="shared" si="17"/>
        <v>#VALUE!</v>
      </c>
      <c r="O24" s="637" t="str">
        <f t="shared" si="17"/>
        <v>#VALUE!</v>
      </c>
      <c r="P24" s="637" t="str">
        <f t="shared" si="17"/>
        <v>#VALUE!</v>
      </c>
      <c r="Q24" s="637" t="str">
        <f t="shared" si="17"/>
        <v>#VALUE!</v>
      </c>
      <c r="R24" s="637" t="str">
        <f t="shared" si="17"/>
        <v>#VALUE!</v>
      </c>
      <c r="S24" s="637" t="str">
        <f t="shared" si="17"/>
        <v>#VALUE!</v>
      </c>
      <c r="T24" s="637" t="str">
        <f t="shared" si="17"/>
        <v>#VALUE!</v>
      </c>
      <c r="U24" s="637" t="str">
        <f t="shared" si="17"/>
        <v>#VALUE!</v>
      </c>
      <c r="V24" s="637" t="str">
        <f t="shared" si="17"/>
        <v>#VALUE!</v>
      </c>
      <c r="W24" s="637" t="str">
        <f t="shared" si="17"/>
        <v>#VALUE!</v>
      </c>
      <c r="X24" s="637" t="str">
        <f t="shared" si="17"/>
        <v>#VALUE!</v>
      </c>
      <c r="Y24" s="637" t="str">
        <f t="shared" si="17"/>
        <v>#VALUE!</v>
      </c>
    </row>
    <row r="25" ht="19.5" customHeight="1">
      <c r="A25" s="626">
        <v>18.0</v>
      </c>
      <c r="B25" s="648" t="str">
        <f t="shared" ref="B25:Y25" si="18">#VALUE!</f>
        <v>#VALUE!</v>
      </c>
      <c r="C25" s="637" t="str">
        <f t="shared" si="18"/>
        <v>#VALUE!</v>
      </c>
      <c r="D25" s="637" t="str">
        <f t="shared" si="18"/>
        <v>#VALUE!</v>
      </c>
      <c r="E25" s="637" t="str">
        <f t="shared" si="18"/>
        <v>#VALUE!</v>
      </c>
      <c r="F25" s="637" t="str">
        <f t="shared" si="18"/>
        <v>#VALUE!</v>
      </c>
      <c r="G25" s="637" t="str">
        <f t="shared" si="18"/>
        <v>#VALUE!</v>
      </c>
      <c r="H25" s="637" t="str">
        <f t="shared" si="18"/>
        <v>#VALUE!</v>
      </c>
      <c r="I25" s="637" t="str">
        <f t="shared" si="18"/>
        <v>#VALUE!</v>
      </c>
      <c r="J25" s="637" t="str">
        <f t="shared" si="18"/>
        <v>#VALUE!</v>
      </c>
      <c r="K25" s="637" t="str">
        <f t="shared" si="18"/>
        <v>#VALUE!</v>
      </c>
      <c r="L25" s="637" t="str">
        <f t="shared" si="18"/>
        <v>#VALUE!</v>
      </c>
      <c r="M25" s="637" t="str">
        <f t="shared" si="18"/>
        <v>#VALUE!</v>
      </c>
      <c r="N25" s="637" t="str">
        <f t="shared" si="18"/>
        <v>#VALUE!</v>
      </c>
      <c r="O25" s="637" t="str">
        <f t="shared" si="18"/>
        <v>#VALUE!</v>
      </c>
      <c r="P25" s="637" t="str">
        <f t="shared" si="18"/>
        <v>#VALUE!</v>
      </c>
      <c r="Q25" s="637" t="str">
        <f t="shared" si="18"/>
        <v>#VALUE!</v>
      </c>
      <c r="R25" s="637" t="str">
        <f t="shared" si="18"/>
        <v>#VALUE!</v>
      </c>
      <c r="S25" s="637" t="str">
        <f t="shared" si="18"/>
        <v>#VALUE!</v>
      </c>
      <c r="T25" s="637" t="str">
        <f t="shared" si="18"/>
        <v>#VALUE!</v>
      </c>
      <c r="U25" s="637" t="str">
        <f t="shared" si="18"/>
        <v>#VALUE!</v>
      </c>
      <c r="V25" s="637" t="str">
        <f t="shared" si="18"/>
        <v>#VALUE!</v>
      </c>
      <c r="W25" s="637" t="str">
        <f t="shared" si="18"/>
        <v>#VALUE!</v>
      </c>
      <c r="X25" s="637" t="str">
        <f t="shared" si="18"/>
        <v>#VALUE!</v>
      </c>
      <c r="Y25" s="637" t="str">
        <f t="shared" si="18"/>
        <v>#VALUE!</v>
      </c>
    </row>
    <row r="26" ht="19.5" customHeight="1">
      <c r="A26" s="626">
        <v>19.0</v>
      </c>
      <c r="B26" s="648" t="str">
        <f t="shared" ref="B26:Y26" si="19">#VALUE!</f>
        <v>#VALUE!</v>
      </c>
      <c r="C26" s="637" t="str">
        <f t="shared" si="19"/>
        <v>#VALUE!</v>
      </c>
      <c r="D26" s="637" t="str">
        <f t="shared" si="19"/>
        <v>#VALUE!</v>
      </c>
      <c r="E26" s="637" t="str">
        <f t="shared" si="19"/>
        <v>#VALUE!</v>
      </c>
      <c r="F26" s="637" t="str">
        <f t="shared" si="19"/>
        <v>#VALUE!</v>
      </c>
      <c r="G26" s="637" t="str">
        <f t="shared" si="19"/>
        <v>#VALUE!</v>
      </c>
      <c r="H26" s="637" t="str">
        <f t="shared" si="19"/>
        <v>#VALUE!</v>
      </c>
      <c r="I26" s="637" t="str">
        <f t="shared" si="19"/>
        <v>#VALUE!</v>
      </c>
      <c r="J26" s="637" t="str">
        <f t="shared" si="19"/>
        <v>#VALUE!</v>
      </c>
      <c r="K26" s="637" t="str">
        <f t="shared" si="19"/>
        <v>#VALUE!</v>
      </c>
      <c r="L26" s="637" t="str">
        <f t="shared" si="19"/>
        <v>#VALUE!</v>
      </c>
      <c r="M26" s="637" t="str">
        <f t="shared" si="19"/>
        <v>#VALUE!</v>
      </c>
      <c r="N26" s="637" t="str">
        <f t="shared" si="19"/>
        <v>#VALUE!</v>
      </c>
      <c r="O26" s="637" t="str">
        <f t="shared" si="19"/>
        <v>#VALUE!</v>
      </c>
      <c r="P26" s="637" t="str">
        <f t="shared" si="19"/>
        <v>#VALUE!</v>
      </c>
      <c r="Q26" s="637" t="str">
        <f t="shared" si="19"/>
        <v>#VALUE!</v>
      </c>
      <c r="R26" s="637" t="str">
        <f t="shared" si="19"/>
        <v>#VALUE!</v>
      </c>
      <c r="S26" s="637" t="str">
        <f t="shared" si="19"/>
        <v>#VALUE!</v>
      </c>
      <c r="T26" s="637" t="str">
        <f t="shared" si="19"/>
        <v>#VALUE!</v>
      </c>
      <c r="U26" s="637" t="str">
        <f t="shared" si="19"/>
        <v>#VALUE!</v>
      </c>
      <c r="V26" s="637" t="str">
        <f t="shared" si="19"/>
        <v>#VALUE!</v>
      </c>
      <c r="W26" s="637" t="str">
        <f t="shared" si="19"/>
        <v>#VALUE!</v>
      </c>
      <c r="X26" s="637" t="str">
        <f t="shared" si="19"/>
        <v>#VALUE!</v>
      </c>
      <c r="Y26" s="637" t="str">
        <f t="shared" si="19"/>
        <v>#VALUE!</v>
      </c>
    </row>
    <row r="27" ht="19.5" customHeight="1">
      <c r="A27" s="626">
        <v>20.0</v>
      </c>
      <c r="B27" s="648" t="str">
        <f t="shared" ref="B27:Y27" si="20">#VALUE!</f>
        <v>#VALUE!</v>
      </c>
      <c r="C27" s="637" t="str">
        <f t="shared" si="20"/>
        <v>#VALUE!</v>
      </c>
      <c r="D27" s="637" t="str">
        <f t="shared" si="20"/>
        <v>#VALUE!</v>
      </c>
      <c r="E27" s="637" t="str">
        <f t="shared" si="20"/>
        <v>#VALUE!</v>
      </c>
      <c r="F27" s="637" t="str">
        <f t="shared" si="20"/>
        <v>#VALUE!</v>
      </c>
      <c r="G27" s="637" t="str">
        <f t="shared" si="20"/>
        <v>#VALUE!</v>
      </c>
      <c r="H27" s="637" t="str">
        <f t="shared" si="20"/>
        <v>#VALUE!</v>
      </c>
      <c r="I27" s="637" t="str">
        <f t="shared" si="20"/>
        <v>#VALUE!</v>
      </c>
      <c r="J27" s="637" t="str">
        <f t="shared" si="20"/>
        <v>#VALUE!</v>
      </c>
      <c r="K27" s="637" t="str">
        <f t="shared" si="20"/>
        <v>#VALUE!</v>
      </c>
      <c r="L27" s="637" t="str">
        <f t="shared" si="20"/>
        <v>#VALUE!</v>
      </c>
      <c r="M27" s="637" t="str">
        <f t="shared" si="20"/>
        <v>#VALUE!</v>
      </c>
      <c r="N27" s="637" t="str">
        <f t="shared" si="20"/>
        <v>#VALUE!</v>
      </c>
      <c r="O27" s="637" t="str">
        <f t="shared" si="20"/>
        <v>#VALUE!</v>
      </c>
      <c r="P27" s="637" t="str">
        <f t="shared" si="20"/>
        <v>#VALUE!</v>
      </c>
      <c r="Q27" s="637" t="str">
        <f t="shared" si="20"/>
        <v>#VALUE!</v>
      </c>
      <c r="R27" s="637" t="str">
        <f t="shared" si="20"/>
        <v>#VALUE!</v>
      </c>
      <c r="S27" s="637" t="str">
        <f t="shared" si="20"/>
        <v>#VALUE!</v>
      </c>
      <c r="T27" s="637" t="str">
        <f t="shared" si="20"/>
        <v>#VALUE!</v>
      </c>
      <c r="U27" s="637" t="str">
        <f t="shared" si="20"/>
        <v>#VALUE!</v>
      </c>
      <c r="V27" s="637" t="str">
        <f t="shared" si="20"/>
        <v>#VALUE!</v>
      </c>
      <c r="W27" s="637" t="str">
        <f t="shared" si="20"/>
        <v>#VALUE!</v>
      </c>
      <c r="X27" s="637" t="str">
        <f t="shared" si="20"/>
        <v>#VALUE!</v>
      </c>
      <c r="Y27" s="637" t="str">
        <f t="shared" si="20"/>
        <v>#VALUE!</v>
      </c>
    </row>
    <row r="28" ht="19.5" customHeight="1">
      <c r="A28" s="626">
        <v>21.0</v>
      </c>
      <c r="B28" s="648" t="str">
        <f t="shared" ref="B28:Y28" si="21">#VALUE!</f>
        <v>#VALUE!</v>
      </c>
      <c r="C28" s="637" t="str">
        <f t="shared" si="21"/>
        <v>#VALUE!</v>
      </c>
      <c r="D28" s="637" t="str">
        <f t="shared" si="21"/>
        <v>#VALUE!</v>
      </c>
      <c r="E28" s="637" t="str">
        <f t="shared" si="21"/>
        <v>#VALUE!</v>
      </c>
      <c r="F28" s="637" t="str">
        <f t="shared" si="21"/>
        <v>#VALUE!</v>
      </c>
      <c r="G28" s="637" t="str">
        <f t="shared" si="21"/>
        <v>#VALUE!</v>
      </c>
      <c r="H28" s="637" t="str">
        <f t="shared" si="21"/>
        <v>#VALUE!</v>
      </c>
      <c r="I28" s="637" t="str">
        <f t="shared" si="21"/>
        <v>#VALUE!</v>
      </c>
      <c r="J28" s="637" t="str">
        <f t="shared" si="21"/>
        <v>#VALUE!</v>
      </c>
      <c r="K28" s="637" t="str">
        <f t="shared" si="21"/>
        <v>#VALUE!</v>
      </c>
      <c r="L28" s="637" t="str">
        <f t="shared" si="21"/>
        <v>#VALUE!</v>
      </c>
      <c r="M28" s="637" t="str">
        <f t="shared" si="21"/>
        <v>#VALUE!</v>
      </c>
      <c r="N28" s="637" t="str">
        <f t="shared" si="21"/>
        <v>#VALUE!</v>
      </c>
      <c r="O28" s="637" t="str">
        <f t="shared" si="21"/>
        <v>#VALUE!</v>
      </c>
      <c r="P28" s="637" t="str">
        <f t="shared" si="21"/>
        <v>#VALUE!</v>
      </c>
      <c r="Q28" s="637" t="str">
        <f t="shared" si="21"/>
        <v>#VALUE!</v>
      </c>
      <c r="R28" s="637" t="str">
        <f t="shared" si="21"/>
        <v>#VALUE!</v>
      </c>
      <c r="S28" s="637" t="str">
        <f t="shared" si="21"/>
        <v>#VALUE!</v>
      </c>
      <c r="T28" s="637" t="str">
        <f t="shared" si="21"/>
        <v>#VALUE!</v>
      </c>
      <c r="U28" s="637" t="str">
        <f t="shared" si="21"/>
        <v>#VALUE!</v>
      </c>
      <c r="V28" s="637" t="str">
        <f t="shared" si="21"/>
        <v>#VALUE!</v>
      </c>
      <c r="W28" s="637" t="str">
        <f t="shared" si="21"/>
        <v>#VALUE!</v>
      </c>
      <c r="X28" s="637" t="str">
        <f t="shared" si="21"/>
        <v>#VALUE!</v>
      </c>
      <c r="Y28" s="637" t="str">
        <f t="shared" si="21"/>
        <v>#VALUE!</v>
      </c>
    </row>
    <row r="29" ht="19.5" customHeight="1">
      <c r="A29" s="626">
        <v>22.0</v>
      </c>
      <c r="B29" s="648" t="str">
        <f t="shared" ref="B29:Y29" si="22">#VALUE!</f>
        <v>#VALUE!</v>
      </c>
      <c r="C29" s="637" t="str">
        <f t="shared" si="22"/>
        <v>#VALUE!</v>
      </c>
      <c r="D29" s="637" t="str">
        <f t="shared" si="22"/>
        <v>#VALUE!</v>
      </c>
      <c r="E29" s="637" t="str">
        <f t="shared" si="22"/>
        <v>#VALUE!</v>
      </c>
      <c r="F29" s="637" t="str">
        <f t="shared" si="22"/>
        <v>#VALUE!</v>
      </c>
      <c r="G29" s="637" t="str">
        <f t="shared" si="22"/>
        <v>#VALUE!</v>
      </c>
      <c r="H29" s="637" t="str">
        <f t="shared" si="22"/>
        <v>#VALUE!</v>
      </c>
      <c r="I29" s="637" t="str">
        <f t="shared" si="22"/>
        <v>#VALUE!</v>
      </c>
      <c r="J29" s="637" t="str">
        <f t="shared" si="22"/>
        <v>#VALUE!</v>
      </c>
      <c r="K29" s="637" t="str">
        <f t="shared" si="22"/>
        <v>#VALUE!</v>
      </c>
      <c r="L29" s="637" t="str">
        <f t="shared" si="22"/>
        <v>#VALUE!</v>
      </c>
      <c r="M29" s="637" t="str">
        <f t="shared" si="22"/>
        <v>#VALUE!</v>
      </c>
      <c r="N29" s="637" t="str">
        <f t="shared" si="22"/>
        <v>#VALUE!</v>
      </c>
      <c r="O29" s="637" t="str">
        <f t="shared" si="22"/>
        <v>#VALUE!</v>
      </c>
      <c r="P29" s="637" t="str">
        <f t="shared" si="22"/>
        <v>#VALUE!</v>
      </c>
      <c r="Q29" s="637" t="str">
        <f t="shared" si="22"/>
        <v>#VALUE!</v>
      </c>
      <c r="R29" s="637" t="str">
        <f t="shared" si="22"/>
        <v>#VALUE!</v>
      </c>
      <c r="S29" s="637" t="str">
        <f t="shared" si="22"/>
        <v>#VALUE!</v>
      </c>
      <c r="T29" s="637" t="str">
        <f t="shared" si="22"/>
        <v>#VALUE!</v>
      </c>
      <c r="U29" s="637" t="str">
        <f t="shared" si="22"/>
        <v>#VALUE!</v>
      </c>
      <c r="V29" s="637" t="str">
        <f t="shared" si="22"/>
        <v>#VALUE!</v>
      </c>
      <c r="W29" s="637" t="str">
        <f t="shared" si="22"/>
        <v>#VALUE!</v>
      </c>
      <c r="X29" s="637" t="str">
        <f t="shared" si="22"/>
        <v>#VALUE!</v>
      </c>
      <c r="Y29" s="637" t="str">
        <f t="shared" si="22"/>
        <v>#VALUE!</v>
      </c>
    </row>
    <row r="30" ht="19.5" customHeight="1">
      <c r="A30" s="626">
        <v>23.0</v>
      </c>
      <c r="B30" s="648" t="str">
        <f t="shared" ref="B30:Y30" si="23">#VALUE!</f>
        <v>#VALUE!</v>
      </c>
      <c r="C30" s="637" t="str">
        <f t="shared" si="23"/>
        <v>#VALUE!</v>
      </c>
      <c r="D30" s="637" t="str">
        <f t="shared" si="23"/>
        <v>#VALUE!</v>
      </c>
      <c r="E30" s="637" t="str">
        <f t="shared" si="23"/>
        <v>#VALUE!</v>
      </c>
      <c r="F30" s="637" t="str">
        <f t="shared" si="23"/>
        <v>#VALUE!</v>
      </c>
      <c r="G30" s="637" t="str">
        <f t="shared" si="23"/>
        <v>#VALUE!</v>
      </c>
      <c r="H30" s="637" t="str">
        <f t="shared" si="23"/>
        <v>#VALUE!</v>
      </c>
      <c r="I30" s="637" t="str">
        <f t="shared" si="23"/>
        <v>#VALUE!</v>
      </c>
      <c r="J30" s="637" t="str">
        <f t="shared" si="23"/>
        <v>#VALUE!</v>
      </c>
      <c r="K30" s="637" t="str">
        <f t="shared" si="23"/>
        <v>#VALUE!</v>
      </c>
      <c r="L30" s="637" t="str">
        <f t="shared" si="23"/>
        <v>#VALUE!</v>
      </c>
      <c r="M30" s="637" t="str">
        <f t="shared" si="23"/>
        <v>#VALUE!</v>
      </c>
      <c r="N30" s="637" t="str">
        <f t="shared" si="23"/>
        <v>#VALUE!</v>
      </c>
      <c r="O30" s="637" t="str">
        <f t="shared" si="23"/>
        <v>#VALUE!</v>
      </c>
      <c r="P30" s="637" t="str">
        <f t="shared" si="23"/>
        <v>#VALUE!</v>
      </c>
      <c r="Q30" s="637" t="str">
        <f t="shared" si="23"/>
        <v>#VALUE!</v>
      </c>
      <c r="R30" s="637" t="str">
        <f t="shared" si="23"/>
        <v>#VALUE!</v>
      </c>
      <c r="S30" s="637" t="str">
        <f t="shared" si="23"/>
        <v>#VALUE!</v>
      </c>
      <c r="T30" s="637" t="str">
        <f t="shared" si="23"/>
        <v>#VALUE!</v>
      </c>
      <c r="U30" s="637" t="str">
        <f t="shared" si="23"/>
        <v>#VALUE!</v>
      </c>
      <c r="V30" s="637" t="str">
        <f t="shared" si="23"/>
        <v>#VALUE!</v>
      </c>
      <c r="W30" s="637" t="str">
        <f t="shared" si="23"/>
        <v>#VALUE!</v>
      </c>
      <c r="X30" s="637" t="str">
        <f t="shared" si="23"/>
        <v>#VALUE!</v>
      </c>
      <c r="Y30" s="637" t="str">
        <f t="shared" si="23"/>
        <v>#VALUE!</v>
      </c>
    </row>
    <row r="31" ht="19.5" customHeight="1">
      <c r="A31" s="626">
        <v>24.0</v>
      </c>
      <c r="B31" s="648" t="str">
        <f t="shared" ref="B31:Y31" si="24">#VALUE!</f>
        <v>#VALUE!</v>
      </c>
      <c r="C31" s="637" t="str">
        <f t="shared" si="24"/>
        <v>#VALUE!</v>
      </c>
      <c r="D31" s="637" t="str">
        <f t="shared" si="24"/>
        <v>#VALUE!</v>
      </c>
      <c r="E31" s="637" t="str">
        <f t="shared" si="24"/>
        <v>#VALUE!</v>
      </c>
      <c r="F31" s="637" t="str">
        <f t="shared" si="24"/>
        <v>#VALUE!</v>
      </c>
      <c r="G31" s="637" t="str">
        <f t="shared" si="24"/>
        <v>#VALUE!</v>
      </c>
      <c r="H31" s="637" t="str">
        <f t="shared" si="24"/>
        <v>#VALUE!</v>
      </c>
      <c r="I31" s="637" t="str">
        <f t="shared" si="24"/>
        <v>#VALUE!</v>
      </c>
      <c r="J31" s="637" t="str">
        <f t="shared" si="24"/>
        <v>#VALUE!</v>
      </c>
      <c r="K31" s="637" t="str">
        <f t="shared" si="24"/>
        <v>#VALUE!</v>
      </c>
      <c r="L31" s="637" t="str">
        <f t="shared" si="24"/>
        <v>#VALUE!</v>
      </c>
      <c r="M31" s="637" t="str">
        <f t="shared" si="24"/>
        <v>#VALUE!</v>
      </c>
      <c r="N31" s="637" t="str">
        <f t="shared" si="24"/>
        <v>#VALUE!</v>
      </c>
      <c r="O31" s="637" t="str">
        <f t="shared" si="24"/>
        <v>#VALUE!</v>
      </c>
      <c r="P31" s="637" t="str">
        <f t="shared" si="24"/>
        <v>#VALUE!</v>
      </c>
      <c r="Q31" s="637" t="str">
        <f t="shared" si="24"/>
        <v>#VALUE!</v>
      </c>
      <c r="R31" s="637" t="str">
        <f t="shared" si="24"/>
        <v>#VALUE!</v>
      </c>
      <c r="S31" s="637" t="str">
        <f t="shared" si="24"/>
        <v>#VALUE!</v>
      </c>
      <c r="T31" s="637" t="str">
        <f t="shared" si="24"/>
        <v>#VALUE!</v>
      </c>
      <c r="U31" s="637" t="str">
        <f t="shared" si="24"/>
        <v>#VALUE!</v>
      </c>
      <c r="V31" s="637" t="str">
        <f t="shared" si="24"/>
        <v>#VALUE!</v>
      </c>
      <c r="W31" s="637" t="str">
        <f t="shared" si="24"/>
        <v>#VALUE!</v>
      </c>
      <c r="X31" s="637" t="str">
        <f t="shared" si="24"/>
        <v>#VALUE!</v>
      </c>
      <c r="Y31" s="637" t="str">
        <f t="shared" si="24"/>
        <v>#VALUE!</v>
      </c>
    </row>
    <row r="32" ht="19.5" customHeight="1">
      <c r="A32" s="626">
        <v>25.0</v>
      </c>
      <c r="B32" s="648" t="str">
        <f t="shared" ref="B32:Y32" si="25">#VALUE!</f>
        <v>#VALUE!</v>
      </c>
      <c r="C32" s="637" t="str">
        <f t="shared" si="25"/>
        <v>#VALUE!</v>
      </c>
      <c r="D32" s="637" t="str">
        <f t="shared" si="25"/>
        <v>#VALUE!</v>
      </c>
      <c r="E32" s="637" t="str">
        <f t="shared" si="25"/>
        <v>#VALUE!</v>
      </c>
      <c r="F32" s="637" t="str">
        <f t="shared" si="25"/>
        <v>#VALUE!</v>
      </c>
      <c r="G32" s="637" t="str">
        <f t="shared" si="25"/>
        <v>#VALUE!</v>
      </c>
      <c r="H32" s="637" t="str">
        <f t="shared" si="25"/>
        <v>#VALUE!</v>
      </c>
      <c r="I32" s="637" t="str">
        <f t="shared" si="25"/>
        <v>#VALUE!</v>
      </c>
      <c r="J32" s="637" t="str">
        <f t="shared" si="25"/>
        <v>#VALUE!</v>
      </c>
      <c r="K32" s="637" t="str">
        <f t="shared" si="25"/>
        <v>#VALUE!</v>
      </c>
      <c r="L32" s="637" t="str">
        <f t="shared" si="25"/>
        <v>#VALUE!</v>
      </c>
      <c r="M32" s="637" t="str">
        <f t="shared" si="25"/>
        <v>#VALUE!</v>
      </c>
      <c r="N32" s="637" t="str">
        <f t="shared" si="25"/>
        <v>#VALUE!</v>
      </c>
      <c r="O32" s="637" t="str">
        <f t="shared" si="25"/>
        <v>#VALUE!</v>
      </c>
      <c r="P32" s="637" t="str">
        <f t="shared" si="25"/>
        <v>#VALUE!</v>
      </c>
      <c r="Q32" s="637" t="str">
        <f t="shared" si="25"/>
        <v>#VALUE!</v>
      </c>
      <c r="R32" s="637" t="str">
        <f t="shared" si="25"/>
        <v>#VALUE!</v>
      </c>
      <c r="S32" s="637" t="str">
        <f t="shared" si="25"/>
        <v>#VALUE!</v>
      </c>
      <c r="T32" s="637" t="str">
        <f t="shared" si="25"/>
        <v>#VALUE!</v>
      </c>
      <c r="U32" s="637" t="str">
        <f t="shared" si="25"/>
        <v>#VALUE!</v>
      </c>
      <c r="V32" s="637" t="str">
        <f t="shared" si="25"/>
        <v>#VALUE!</v>
      </c>
      <c r="W32" s="637" t="str">
        <f t="shared" si="25"/>
        <v>#VALUE!</v>
      </c>
      <c r="X32" s="637" t="str">
        <f t="shared" si="25"/>
        <v>#VALUE!</v>
      </c>
      <c r="Y32" s="637" t="str">
        <f t="shared" si="25"/>
        <v>#VALUE!</v>
      </c>
    </row>
    <row r="33" ht="19.5" customHeight="1">
      <c r="A33" s="626">
        <v>26.0</v>
      </c>
      <c r="B33" s="648" t="str">
        <f t="shared" ref="B33:Y33" si="26">#VALUE!</f>
        <v>#VALUE!</v>
      </c>
      <c r="C33" s="637" t="str">
        <f t="shared" si="26"/>
        <v>#VALUE!</v>
      </c>
      <c r="D33" s="637" t="str">
        <f t="shared" si="26"/>
        <v>#VALUE!</v>
      </c>
      <c r="E33" s="637" t="str">
        <f t="shared" si="26"/>
        <v>#VALUE!</v>
      </c>
      <c r="F33" s="637" t="str">
        <f t="shared" si="26"/>
        <v>#VALUE!</v>
      </c>
      <c r="G33" s="637" t="str">
        <f t="shared" si="26"/>
        <v>#VALUE!</v>
      </c>
      <c r="H33" s="637" t="str">
        <f t="shared" si="26"/>
        <v>#VALUE!</v>
      </c>
      <c r="I33" s="637" t="str">
        <f t="shared" si="26"/>
        <v>#VALUE!</v>
      </c>
      <c r="J33" s="637" t="str">
        <f t="shared" si="26"/>
        <v>#VALUE!</v>
      </c>
      <c r="K33" s="637" t="str">
        <f t="shared" si="26"/>
        <v>#VALUE!</v>
      </c>
      <c r="L33" s="637" t="str">
        <f t="shared" si="26"/>
        <v>#VALUE!</v>
      </c>
      <c r="M33" s="637" t="str">
        <f t="shared" si="26"/>
        <v>#VALUE!</v>
      </c>
      <c r="N33" s="637" t="str">
        <f t="shared" si="26"/>
        <v>#VALUE!</v>
      </c>
      <c r="O33" s="637" t="str">
        <f t="shared" si="26"/>
        <v>#VALUE!</v>
      </c>
      <c r="P33" s="637" t="str">
        <f t="shared" si="26"/>
        <v>#VALUE!</v>
      </c>
      <c r="Q33" s="637" t="str">
        <f t="shared" si="26"/>
        <v>#VALUE!</v>
      </c>
      <c r="R33" s="637" t="str">
        <f t="shared" si="26"/>
        <v>#VALUE!</v>
      </c>
      <c r="S33" s="637" t="str">
        <f t="shared" si="26"/>
        <v>#VALUE!</v>
      </c>
      <c r="T33" s="637" t="str">
        <f t="shared" si="26"/>
        <v>#VALUE!</v>
      </c>
      <c r="U33" s="637" t="str">
        <f t="shared" si="26"/>
        <v>#VALUE!</v>
      </c>
      <c r="V33" s="637" t="str">
        <f t="shared" si="26"/>
        <v>#VALUE!</v>
      </c>
      <c r="W33" s="637" t="str">
        <f t="shared" si="26"/>
        <v>#VALUE!</v>
      </c>
      <c r="X33" s="637" t="str">
        <f t="shared" si="26"/>
        <v>#VALUE!</v>
      </c>
      <c r="Y33" s="637" t="str">
        <f t="shared" si="26"/>
        <v>#VALUE!</v>
      </c>
    </row>
    <row r="34" ht="19.5" customHeight="1">
      <c r="A34" s="626">
        <v>27.0</v>
      </c>
      <c r="B34" s="648" t="str">
        <f t="shared" ref="B34:Y34" si="27">#VALUE!</f>
        <v>#VALUE!</v>
      </c>
      <c r="C34" s="637" t="str">
        <f t="shared" si="27"/>
        <v>#VALUE!</v>
      </c>
      <c r="D34" s="637" t="str">
        <f t="shared" si="27"/>
        <v>#VALUE!</v>
      </c>
      <c r="E34" s="637" t="str">
        <f t="shared" si="27"/>
        <v>#VALUE!</v>
      </c>
      <c r="F34" s="637" t="str">
        <f t="shared" si="27"/>
        <v>#VALUE!</v>
      </c>
      <c r="G34" s="637" t="str">
        <f t="shared" si="27"/>
        <v>#VALUE!</v>
      </c>
      <c r="H34" s="637" t="str">
        <f t="shared" si="27"/>
        <v>#VALUE!</v>
      </c>
      <c r="I34" s="637" t="str">
        <f t="shared" si="27"/>
        <v>#VALUE!</v>
      </c>
      <c r="J34" s="637" t="str">
        <f t="shared" si="27"/>
        <v>#VALUE!</v>
      </c>
      <c r="K34" s="637" t="str">
        <f t="shared" si="27"/>
        <v>#VALUE!</v>
      </c>
      <c r="L34" s="637" t="str">
        <f t="shared" si="27"/>
        <v>#VALUE!</v>
      </c>
      <c r="M34" s="637" t="str">
        <f t="shared" si="27"/>
        <v>#VALUE!</v>
      </c>
      <c r="N34" s="637" t="str">
        <f t="shared" si="27"/>
        <v>#VALUE!</v>
      </c>
      <c r="O34" s="637" t="str">
        <f t="shared" si="27"/>
        <v>#VALUE!</v>
      </c>
      <c r="P34" s="637" t="str">
        <f t="shared" si="27"/>
        <v>#VALUE!</v>
      </c>
      <c r="Q34" s="637" t="str">
        <f t="shared" si="27"/>
        <v>#VALUE!</v>
      </c>
      <c r="R34" s="637" t="str">
        <f t="shared" si="27"/>
        <v>#VALUE!</v>
      </c>
      <c r="S34" s="637" t="str">
        <f t="shared" si="27"/>
        <v>#VALUE!</v>
      </c>
      <c r="T34" s="637" t="str">
        <f t="shared" si="27"/>
        <v>#VALUE!</v>
      </c>
      <c r="U34" s="637" t="str">
        <f t="shared" si="27"/>
        <v>#VALUE!</v>
      </c>
      <c r="V34" s="637" t="str">
        <f t="shared" si="27"/>
        <v>#VALUE!</v>
      </c>
      <c r="W34" s="637" t="str">
        <f t="shared" si="27"/>
        <v>#VALUE!</v>
      </c>
      <c r="X34" s="637" t="str">
        <f t="shared" si="27"/>
        <v>#VALUE!</v>
      </c>
      <c r="Y34" s="637" t="str">
        <f t="shared" si="27"/>
        <v>#VALUE!</v>
      </c>
    </row>
    <row r="35" ht="19.5" customHeight="1">
      <c r="A35" s="626">
        <v>28.0</v>
      </c>
      <c r="B35" s="648" t="str">
        <f t="shared" ref="B35:Y35" si="28">#VALUE!</f>
        <v>#VALUE!</v>
      </c>
      <c r="C35" s="637" t="str">
        <f t="shared" si="28"/>
        <v>#VALUE!</v>
      </c>
      <c r="D35" s="637" t="str">
        <f t="shared" si="28"/>
        <v>#VALUE!</v>
      </c>
      <c r="E35" s="637" t="str">
        <f t="shared" si="28"/>
        <v>#VALUE!</v>
      </c>
      <c r="F35" s="637" t="str">
        <f t="shared" si="28"/>
        <v>#VALUE!</v>
      </c>
      <c r="G35" s="637" t="str">
        <f t="shared" si="28"/>
        <v>#VALUE!</v>
      </c>
      <c r="H35" s="637" t="str">
        <f t="shared" si="28"/>
        <v>#VALUE!</v>
      </c>
      <c r="I35" s="637" t="str">
        <f t="shared" si="28"/>
        <v>#VALUE!</v>
      </c>
      <c r="J35" s="637" t="str">
        <f t="shared" si="28"/>
        <v>#VALUE!</v>
      </c>
      <c r="K35" s="637" t="str">
        <f t="shared" si="28"/>
        <v>#VALUE!</v>
      </c>
      <c r="L35" s="637" t="str">
        <f t="shared" si="28"/>
        <v>#VALUE!</v>
      </c>
      <c r="M35" s="637" t="str">
        <f t="shared" si="28"/>
        <v>#VALUE!</v>
      </c>
      <c r="N35" s="637" t="str">
        <f t="shared" si="28"/>
        <v>#VALUE!</v>
      </c>
      <c r="O35" s="637" t="str">
        <f t="shared" si="28"/>
        <v>#VALUE!</v>
      </c>
      <c r="P35" s="637" t="str">
        <f t="shared" si="28"/>
        <v>#VALUE!</v>
      </c>
      <c r="Q35" s="637" t="str">
        <f t="shared" si="28"/>
        <v>#VALUE!</v>
      </c>
      <c r="R35" s="637" t="str">
        <f t="shared" si="28"/>
        <v>#VALUE!</v>
      </c>
      <c r="S35" s="637" t="str">
        <f t="shared" si="28"/>
        <v>#VALUE!</v>
      </c>
      <c r="T35" s="637" t="str">
        <f t="shared" si="28"/>
        <v>#VALUE!</v>
      </c>
      <c r="U35" s="637" t="str">
        <f t="shared" si="28"/>
        <v>#VALUE!</v>
      </c>
      <c r="V35" s="637" t="str">
        <f t="shared" si="28"/>
        <v>#VALUE!</v>
      </c>
      <c r="W35" s="637" t="str">
        <f t="shared" si="28"/>
        <v>#VALUE!</v>
      </c>
      <c r="X35" s="637" t="str">
        <f t="shared" si="28"/>
        <v>#VALUE!</v>
      </c>
      <c r="Y35" s="637" t="str">
        <f t="shared" si="28"/>
        <v>#VALUE!</v>
      </c>
    </row>
    <row r="36" ht="19.5" customHeight="1">
      <c r="A36" s="626">
        <v>29.0</v>
      </c>
      <c r="B36" s="648" t="str">
        <f t="shared" ref="B36:Y36" si="29">#VALUE!</f>
        <v>#VALUE!</v>
      </c>
      <c r="C36" s="637" t="str">
        <f t="shared" si="29"/>
        <v>#VALUE!</v>
      </c>
      <c r="D36" s="637" t="str">
        <f t="shared" si="29"/>
        <v>#VALUE!</v>
      </c>
      <c r="E36" s="637" t="str">
        <f t="shared" si="29"/>
        <v>#VALUE!</v>
      </c>
      <c r="F36" s="637" t="str">
        <f t="shared" si="29"/>
        <v>#VALUE!</v>
      </c>
      <c r="G36" s="637" t="str">
        <f t="shared" si="29"/>
        <v>#VALUE!</v>
      </c>
      <c r="H36" s="637" t="str">
        <f t="shared" si="29"/>
        <v>#VALUE!</v>
      </c>
      <c r="I36" s="637" t="str">
        <f t="shared" si="29"/>
        <v>#VALUE!</v>
      </c>
      <c r="J36" s="637" t="str">
        <f t="shared" si="29"/>
        <v>#VALUE!</v>
      </c>
      <c r="K36" s="637" t="str">
        <f t="shared" si="29"/>
        <v>#VALUE!</v>
      </c>
      <c r="L36" s="637" t="str">
        <f t="shared" si="29"/>
        <v>#VALUE!</v>
      </c>
      <c r="M36" s="637" t="str">
        <f t="shared" si="29"/>
        <v>#VALUE!</v>
      </c>
      <c r="N36" s="637" t="str">
        <f t="shared" si="29"/>
        <v>#VALUE!</v>
      </c>
      <c r="O36" s="637" t="str">
        <f t="shared" si="29"/>
        <v>#VALUE!</v>
      </c>
      <c r="P36" s="637" t="str">
        <f t="shared" si="29"/>
        <v>#VALUE!</v>
      </c>
      <c r="Q36" s="637" t="str">
        <f t="shared" si="29"/>
        <v>#VALUE!</v>
      </c>
      <c r="R36" s="637" t="str">
        <f t="shared" si="29"/>
        <v>#VALUE!</v>
      </c>
      <c r="S36" s="637" t="str">
        <f t="shared" si="29"/>
        <v>#VALUE!</v>
      </c>
      <c r="T36" s="637" t="str">
        <f t="shared" si="29"/>
        <v>#VALUE!</v>
      </c>
      <c r="U36" s="637" t="str">
        <f t="shared" si="29"/>
        <v>#VALUE!</v>
      </c>
      <c r="V36" s="637" t="str">
        <f t="shared" si="29"/>
        <v>#VALUE!</v>
      </c>
      <c r="W36" s="637" t="str">
        <f t="shared" si="29"/>
        <v>#VALUE!</v>
      </c>
      <c r="X36" s="637" t="str">
        <f t="shared" si="29"/>
        <v>#VALUE!</v>
      </c>
      <c r="Y36" s="637" t="str">
        <f t="shared" si="29"/>
        <v>#VALUE!</v>
      </c>
    </row>
    <row r="37" ht="19.5" customHeight="1">
      <c r="A37" s="900">
        <v>30.0</v>
      </c>
      <c r="B37" s="648" t="str">
        <f t="shared" ref="B37:Y37" si="30">#VALUE!</f>
        <v>#VALUE!</v>
      </c>
      <c r="C37" s="637" t="str">
        <f t="shared" si="30"/>
        <v>#VALUE!</v>
      </c>
      <c r="D37" s="637" t="str">
        <f t="shared" si="30"/>
        <v>#VALUE!</v>
      </c>
      <c r="E37" s="637" t="str">
        <f t="shared" si="30"/>
        <v>#VALUE!</v>
      </c>
      <c r="F37" s="637" t="str">
        <f t="shared" si="30"/>
        <v>#VALUE!</v>
      </c>
      <c r="G37" s="637" t="str">
        <f t="shared" si="30"/>
        <v>#VALUE!</v>
      </c>
      <c r="H37" s="637" t="str">
        <f t="shared" si="30"/>
        <v>#VALUE!</v>
      </c>
      <c r="I37" s="637" t="str">
        <f t="shared" si="30"/>
        <v>#VALUE!</v>
      </c>
      <c r="J37" s="637" t="str">
        <f t="shared" si="30"/>
        <v>#VALUE!</v>
      </c>
      <c r="K37" s="637" t="str">
        <f t="shared" si="30"/>
        <v>#VALUE!</v>
      </c>
      <c r="L37" s="637" t="str">
        <f t="shared" si="30"/>
        <v>#VALUE!</v>
      </c>
      <c r="M37" s="637" t="str">
        <f t="shared" si="30"/>
        <v>#VALUE!</v>
      </c>
      <c r="N37" s="637" t="str">
        <f t="shared" si="30"/>
        <v>#VALUE!</v>
      </c>
      <c r="O37" s="637" t="str">
        <f t="shared" si="30"/>
        <v>#VALUE!</v>
      </c>
      <c r="P37" s="637" t="str">
        <f t="shared" si="30"/>
        <v>#VALUE!</v>
      </c>
      <c r="Q37" s="637" t="str">
        <f t="shared" si="30"/>
        <v>#VALUE!</v>
      </c>
      <c r="R37" s="637" t="str">
        <f t="shared" si="30"/>
        <v>#VALUE!</v>
      </c>
      <c r="S37" s="637" t="str">
        <f t="shared" si="30"/>
        <v>#VALUE!</v>
      </c>
      <c r="T37" s="637" t="str">
        <f t="shared" si="30"/>
        <v>#VALUE!</v>
      </c>
      <c r="U37" s="637" t="str">
        <f t="shared" si="30"/>
        <v>#VALUE!</v>
      </c>
      <c r="V37" s="637" t="str">
        <f t="shared" si="30"/>
        <v>#VALUE!</v>
      </c>
      <c r="W37" s="637" t="str">
        <f t="shared" si="30"/>
        <v>#VALUE!</v>
      </c>
      <c r="X37" s="637" t="str">
        <f t="shared" si="30"/>
        <v>#VALUE!</v>
      </c>
      <c r="Y37" s="637" t="str">
        <f t="shared" si="30"/>
        <v>#VALUE!</v>
      </c>
    </row>
    <row r="38" ht="19.5" customHeight="1">
      <c r="A38" s="666" t="s">
        <v>255</v>
      </c>
      <c r="B38" s="127"/>
      <c r="C38" s="128"/>
      <c r="D38" s="885" t="str">
        <f>AVERAGE('Parte5 '!D8:D37)</f>
        <v>#VALUE!</v>
      </c>
      <c r="E38" s="886"/>
      <c r="F38" s="127"/>
      <c r="G38" s="885" t="str">
        <f>AVERAGE('Parte5 '!G8:G37)</f>
        <v>#VALUE!</v>
      </c>
      <c r="H38" s="886"/>
      <c r="I38" s="127"/>
      <c r="J38" s="885" t="str">
        <f>AVERAGE('Parte5 '!J8:J37)</f>
        <v>#VALUE!</v>
      </c>
      <c r="K38" s="886"/>
      <c r="L38" s="127"/>
      <c r="M38" s="885" t="str">
        <f>AVERAGE('Parte5 '!M8:M37)</f>
        <v>#VALUE!</v>
      </c>
      <c r="N38" s="886"/>
      <c r="O38" s="127"/>
      <c r="P38" s="885" t="str">
        <f>AVERAGE('Parte5 '!P8:P37)</f>
        <v>#VALUE!</v>
      </c>
      <c r="Q38" s="886"/>
      <c r="R38" s="127"/>
      <c r="S38" s="885" t="str">
        <f>AVERAGE('Parte5 '!S8:S37)</f>
        <v>#VALUE!</v>
      </c>
      <c r="T38" s="886"/>
      <c r="U38" s="127"/>
      <c r="V38" s="885" t="str">
        <f>AVERAGE('Parte5 '!V8:V37)</f>
        <v>#VALUE!</v>
      </c>
      <c r="W38" s="887"/>
      <c r="X38" s="128"/>
      <c r="Y38" s="885" t="str">
        <f>AVERAGE('Parte5 '!Y8:Y37)</f>
        <v>#VALUE!</v>
      </c>
    </row>
    <row r="39" ht="13.5" customHeight="1"/>
    <row r="40" ht="13.5" customHeight="1">
      <c r="C40" s="888" t="s">
        <v>87</v>
      </c>
      <c r="D40" s="127"/>
      <c r="E40" s="127"/>
      <c r="F40" s="127"/>
      <c r="G40" s="127"/>
      <c r="H40" s="128"/>
    </row>
    <row r="41" ht="13.5" customHeight="1">
      <c r="C41" s="888"/>
      <c r="D41" s="128"/>
      <c r="E41" s="888" t="s">
        <v>294</v>
      </c>
      <c r="F41" s="128"/>
      <c r="G41" s="888" t="s">
        <v>295</v>
      </c>
      <c r="H41" s="128"/>
    </row>
    <row r="42" ht="13.5" customHeight="1">
      <c r="C42" s="901" t="s">
        <v>323</v>
      </c>
      <c r="D42" s="128"/>
      <c r="E42" s="893" t="str">
        <f>MAX('Parte5 '!B8:B37)</f>
        <v>#VALUE!</v>
      </c>
      <c r="F42" s="128"/>
      <c r="G42" s="893" t="str">
        <f>MIN('Parte5 '!C8:C37)</f>
        <v>#VALUE!</v>
      </c>
      <c r="H42" s="128"/>
    </row>
    <row r="43" ht="13.5" customHeight="1">
      <c r="C43" s="901" t="s">
        <v>324</v>
      </c>
      <c r="D43" s="128"/>
      <c r="E43" s="893" t="str">
        <f>MAX('Parte5 '!E8:E37)</f>
        <v>#VALUE!</v>
      </c>
      <c r="F43" s="128"/>
      <c r="G43" s="893" t="str">
        <f>MIN('Parte5 '!F8:F37)</f>
        <v>#VALUE!</v>
      </c>
      <c r="H43" s="128"/>
    </row>
    <row r="44" ht="13.5" customHeight="1">
      <c r="C44" s="901" t="s">
        <v>325</v>
      </c>
      <c r="D44" s="128"/>
      <c r="E44" s="893" t="str">
        <f>MAX('Parte5 '!H8:H37)</f>
        <v>#VALUE!</v>
      </c>
      <c r="F44" s="128"/>
      <c r="G44" s="893" t="str">
        <f>MIN('Parte5 '!I8:I37)</f>
        <v>#VALUE!</v>
      </c>
      <c r="H44" s="128"/>
    </row>
    <row r="45" ht="13.5" customHeight="1">
      <c r="C45" s="901" t="s">
        <v>326</v>
      </c>
      <c r="D45" s="128"/>
      <c r="E45" s="893" t="str">
        <f>MAX('Parte5 '!K8:K37)</f>
        <v>#VALUE!</v>
      </c>
      <c r="F45" s="128"/>
      <c r="G45" s="893" t="str">
        <f>MIN('Parte5 '!L8:L37)</f>
        <v>#VALUE!</v>
      </c>
      <c r="H45" s="128"/>
    </row>
    <row r="46" ht="13.5" customHeight="1">
      <c r="C46" s="901" t="s">
        <v>327</v>
      </c>
      <c r="D46" s="128"/>
      <c r="E46" s="893" t="str">
        <f>MAX('Parte5 '!N8:N37)</f>
        <v>#VALUE!</v>
      </c>
      <c r="F46" s="128"/>
      <c r="G46" s="893" t="str">
        <f>MIN('Parte5 '!O8:O37)</f>
        <v>#VALUE!</v>
      </c>
      <c r="H46" s="128"/>
    </row>
    <row r="47" ht="13.5" customHeight="1">
      <c r="C47" s="901" t="s">
        <v>328</v>
      </c>
      <c r="D47" s="128"/>
      <c r="E47" s="893" t="str">
        <f>MAX('Parte5 '!Q8:Q37)</f>
        <v>#VALUE!</v>
      </c>
      <c r="F47" s="128"/>
      <c r="G47" s="893" t="str">
        <f>MIN('Parte5 '!R8:R37)</f>
        <v>#VALUE!</v>
      </c>
      <c r="H47" s="128"/>
    </row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5">
    <mergeCell ref="E45:F45"/>
    <mergeCell ref="G45:H45"/>
    <mergeCell ref="C46:D46"/>
    <mergeCell ref="E46:F46"/>
    <mergeCell ref="G46:H46"/>
    <mergeCell ref="C47:D47"/>
    <mergeCell ref="E47:F47"/>
    <mergeCell ref="G47:H47"/>
    <mergeCell ref="C43:D43"/>
    <mergeCell ref="E43:F43"/>
    <mergeCell ref="G43:H43"/>
    <mergeCell ref="C44:D44"/>
    <mergeCell ref="E44:F44"/>
    <mergeCell ref="G44:H44"/>
    <mergeCell ref="C45:D45"/>
    <mergeCell ref="H6:J6"/>
    <mergeCell ref="K6:M6"/>
    <mergeCell ref="N6:P6"/>
    <mergeCell ref="Q6:S6"/>
    <mergeCell ref="T6:V6"/>
    <mergeCell ref="W6:Y6"/>
    <mergeCell ref="A1:F2"/>
    <mergeCell ref="G1:U2"/>
    <mergeCell ref="V1:Y1"/>
    <mergeCell ref="V2:Y2"/>
    <mergeCell ref="A4:A7"/>
    <mergeCell ref="B4:Y4"/>
    <mergeCell ref="B5:Y5"/>
    <mergeCell ref="Q38:R38"/>
    <mergeCell ref="T38:U38"/>
    <mergeCell ref="W38:X38"/>
    <mergeCell ref="B6:D6"/>
    <mergeCell ref="E6:G6"/>
    <mergeCell ref="A38:C38"/>
    <mergeCell ref="E38:F38"/>
    <mergeCell ref="H38:I38"/>
    <mergeCell ref="K38:L38"/>
    <mergeCell ref="N38:O38"/>
    <mergeCell ref="C40:H40"/>
    <mergeCell ref="C41:D41"/>
    <mergeCell ref="E41:F41"/>
    <mergeCell ref="G41:H41"/>
    <mergeCell ref="C42:D42"/>
    <mergeCell ref="E42:F42"/>
    <mergeCell ref="G42:H42"/>
  </mergeCells>
  <printOptions horizontalCentered="1"/>
  <pageMargins bottom="0.590277777777778" footer="0.0" header="0.0" left="0.129861111111111" right="0.120138888888889" top="0.78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10.71"/>
    <col customWidth="1" min="3" max="3" width="11.29"/>
    <col customWidth="1" min="4" max="4" width="11.0"/>
    <col customWidth="1" min="5" max="5" width="13.29"/>
    <col customWidth="1" min="6" max="7" width="9.71"/>
    <col customWidth="1" min="8" max="8" width="9.86"/>
    <col customWidth="1" min="9" max="9" width="13.29"/>
    <col customWidth="1" min="10" max="10" width="8.86"/>
    <col customWidth="1" min="11" max="11" width="16.14"/>
    <col customWidth="1" min="12" max="12" width="9.29"/>
    <col customWidth="1" min="13" max="13" width="19.0"/>
    <col customWidth="1" min="14" max="14" width="8.86"/>
    <col customWidth="1" min="15" max="15" width="8.57"/>
    <col customWidth="1" min="16" max="26" width="8.86"/>
  </cols>
  <sheetData>
    <row r="1" ht="12.75" customHeight="1">
      <c r="A1" s="902"/>
      <c r="B1" s="756"/>
      <c r="C1" s="903" t="s">
        <v>338</v>
      </c>
      <c r="D1" s="755"/>
      <c r="E1" s="755"/>
      <c r="F1" s="755"/>
      <c r="G1" s="755"/>
      <c r="H1" s="755"/>
      <c r="I1" s="755"/>
      <c r="J1" s="755"/>
      <c r="K1" s="755"/>
      <c r="L1" s="756"/>
      <c r="M1" s="904" t="s">
        <v>339</v>
      </c>
    </row>
    <row r="2" ht="12.75" customHeight="1">
      <c r="A2" s="905"/>
      <c r="B2" s="906"/>
      <c r="C2" s="905"/>
      <c r="L2" s="906"/>
      <c r="M2" s="3"/>
    </row>
    <row r="3" ht="21.75" customHeight="1">
      <c r="A3" s="759"/>
      <c r="B3" s="136"/>
      <c r="C3" s="759"/>
      <c r="D3" s="135"/>
      <c r="E3" s="135"/>
      <c r="F3" s="135"/>
      <c r="G3" s="135"/>
      <c r="H3" s="135"/>
      <c r="I3" s="135"/>
      <c r="J3" s="135"/>
      <c r="K3" s="135"/>
      <c r="L3" s="136"/>
      <c r="M3" s="907">
        <f>'1'!$U$25</f>
        <v>43922</v>
      </c>
    </row>
    <row r="4" ht="12.75" customHeight="1">
      <c r="A4" s="908" t="s">
        <v>340</v>
      </c>
      <c r="B4" s="755"/>
      <c r="C4" s="755"/>
      <c r="D4" s="755"/>
      <c r="E4" s="755"/>
      <c r="F4" s="755"/>
      <c r="G4" s="755"/>
      <c r="H4" s="755"/>
      <c r="I4" s="755"/>
      <c r="J4" s="756"/>
      <c r="K4" s="909" t="s">
        <v>341</v>
      </c>
      <c r="L4" s="910" t="s">
        <v>342</v>
      </c>
      <c r="M4" s="756"/>
    </row>
    <row r="5" ht="12.75" customHeight="1">
      <c r="A5" s="759"/>
      <c r="B5" s="135"/>
      <c r="C5" s="135"/>
      <c r="D5" s="135"/>
      <c r="E5" s="135"/>
      <c r="F5" s="135"/>
      <c r="G5" s="135"/>
      <c r="H5" s="135"/>
      <c r="I5" s="135"/>
      <c r="J5" s="136"/>
      <c r="K5" s="3"/>
      <c r="L5" s="759"/>
      <c r="M5" s="136"/>
    </row>
    <row r="6" ht="15.75" customHeight="1">
      <c r="A6" s="911" t="s">
        <v>343</v>
      </c>
      <c r="B6" s="912" t="s">
        <v>344</v>
      </c>
      <c r="C6" s="913" t="s">
        <v>345</v>
      </c>
      <c r="D6" s="914" t="s">
        <v>346</v>
      </c>
      <c r="E6" s="570"/>
      <c r="F6" s="570"/>
      <c r="G6" s="570"/>
      <c r="H6" s="570"/>
      <c r="I6" s="570"/>
      <c r="J6" s="570"/>
      <c r="K6" s="570"/>
      <c r="L6" s="571"/>
      <c r="M6" s="915" t="s">
        <v>347</v>
      </c>
      <c r="N6" s="916"/>
      <c r="O6" s="917"/>
      <c r="P6" s="917"/>
      <c r="Q6" s="917"/>
    </row>
    <row r="7" ht="15.75" customHeight="1">
      <c r="A7" s="415"/>
      <c r="B7" s="415"/>
      <c r="C7" s="415"/>
      <c r="D7" s="914" t="s">
        <v>259</v>
      </c>
      <c r="E7" s="571"/>
      <c r="F7" s="914" t="s">
        <v>348</v>
      </c>
      <c r="G7" s="571"/>
      <c r="H7" s="914" t="s">
        <v>349</v>
      </c>
      <c r="I7" s="571"/>
      <c r="J7" s="914" t="s">
        <v>350</v>
      </c>
      <c r="K7" s="571"/>
      <c r="L7" s="918" t="s">
        <v>351</v>
      </c>
      <c r="M7" s="812" t="s">
        <v>352</v>
      </c>
      <c r="N7" s="919"/>
      <c r="O7" s="917"/>
      <c r="P7" s="917"/>
      <c r="Q7" s="917"/>
    </row>
    <row r="8" ht="15.75" customHeight="1">
      <c r="A8" s="3"/>
      <c r="B8" s="3"/>
      <c r="C8" s="3"/>
      <c r="D8" s="918" t="s">
        <v>353</v>
      </c>
      <c r="E8" s="918" t="s">
        <v>46</v>
      </c>
      <c r="F8" s="918" t="s">
        <v>353</v>
      </c>
      <c r="G8" s="918" t="s">
        <v>46</v>
      </c>
      <c r="H8" s="918" t="s">
        <v>353</v>
      </c>
      <c r="I8" s="918" t="s">
        <v>46</v>
      </c>
      <c r="J8" s="918" t="s">
        <v>353</v>
      </c>
      <c r="K8" s="918" t="s">
        <v>46</v>
      </c>
      <c r="L8" s="918" t="s">
        <v>353</v>
      </c>
      <c r="M8" s="918" t="s">
        <v>46</v>
      </c>
    </row>
    <row r="9" ht="16.5" customHeight="1">
      <c r="A9" s="920">
        <v>1.0</v>
      </c>
      <c r="B9" s="921">
        <f>'1'!$Z$37</f>
        <v>24</v>
      </c>
      <c r="C9" s="922">
        <f>'1'!Y30</f>
        <v>286448.4</v>
      </c>
      <c r="D9" s="922">
        <f>'1'!AA32</f>
        <v>38016.72</v>
      </c>
      <c r="E9" s="923">
        <f>'1'!$AB$32</f>
        <v>66.47601613</v>
      </c>
      <c r="F9" s="922">
        <f>'1'!AA33</f>
        <v>0</v>
      </c>
      <c r="G9" s="924" t="str">
        <f>'1'!AB33</f>
        <v>#DIV/0!</v>
      </c>
      <c r="H9" s="925">
        <f>'1'!$AK$38</f>
        <v>0</v>
      </c>
      <c r="I9" s="924">
        <f>'1'!$AK$39</f>
        <v>0</v>
      </c>
      <c r="J9" s="925">
        <f>'1'!$AQ$40</f>
        <v>2383.5</v>
      </c>
      <c r="K9" s="924">
        <f>'1'!$AQ$41</f>
        <v>8.320870356</v>
      </c>
      <c r="L9" s="924"/>
      <c r="M9" s="926">
        <f>'1'!$O$19</f>
        <v>3.625</v>
      </c>
      <c r="O9" s="927"/>
      <c r="P9" s="97"/>
    </row>
    <row r="10" ht="16.5" customHeight="1">
      <c r="A10" s="920">
        <v>2.0</v>
      </c>
      <c r="B10" s="921">
        <f>'2'!$Z$37</f>
        <v>24</v>
      </c>
      <c r="C10" s="922">
        <f>'2'!Y30</f>
        <v>293076</v>
      </c>
      <c r="D10" s="922">
        <f>'2'!AA32</f>
        <v>39939.9</v>
      </c>
      <c r="E10" s="923">
        <f>'2'!$AB$32</f>
        <v>74.22244508</v>
      </c>
      <c r="F10" s="922">
        <f>'2'!AA33</f>
        <v>0</v>
      </c>
      <c r="G10" s="924" t="str">
        <f>'2'!AB33</f>
        <v>#DIV/0!</v>
      </c>
      <c r="H10" s="925">
        <f>'2'!$AK$38</f>
        <v>0</v>
      </c>
      <c r="I10" s="924">
        <f>'2'!$AK$39</f>
        <v>0</v>
      </c>
      <c r="J10" s="925">
        <f>'2'!$AQ$40</f>
        <v>1967.333333</v>
      </c>
      <c r="K10" s="924">
        <f>'2'!$AQ$41</f>
        <v>6.712707057</v>
      </c>
      <c r="L10" s="924"/>
      <c r="M10" s="926">
        <f>'2'!$O$19</f>
        <v>3.566666667</v>
      </c>
      <c r="O10" s="927"/>
      <c r="P10" s="97"/>
    </row>
    <row r="11" ht="16.5" customHeight="1">
      <c r="A11" s="920">
        <v>3.0</v>
      </c>
      <c r="B11" s="921">
        <f>'3'!$Z$37</f>
        <v>24</v>
      </c>
      <c r="C11" s="922">
        <f>'3'!Y30</f>
        <v>292431.6</v>
      </c>
      <c r="D11" s="922">
        <f>'3'!AA32</f>
        <v>55062</v>
      </c>
      <c r="E11" s="923">
        <f>'3'!$AB$32</f>
        <v>94.13855076</v>
      </c>
      <c r="F11" s="922">
        <f>'3'!AA33</f>
        <v>0</v>
      </c>
      <c r="G11" s="924" t="str">
        <f>'3'!AB33</f>
        <v>#DIV/0!</v>
      </c>
      <c r="H11" s="925">
        <f>'3'!$AK$38</f>
        <v>0</v>
      </c>
      <c r="I11" s="924">
        <f>'3'!$AK$39</f>
        <v>0</v>
      </c>
      <c r="J11" s="925">
        <f>'3'!$AQ$40</f>
        <v>2330.533333</v>
      </c>
      <c r="K11" s="924">
        <f>'3'!$AQ$41</f>
        <v>7.969498964</v>
      </c>
      <c r="L11" s="924"/>
      <c r="M11" s="926">
        <f>'3'!$O$19</f>
        <v>3.65</v>
      </c>
      <c r="O11" s="927"/>
      <c r="P11" s="97"/>
    </row>
    <row r="12" ht="16.5" customHeight="1">
      <c r="A12" s="920">
        <v>4.0</v>
      </c>
      <c r="B12" s="921">
        <f>'4'!$Z$37</f>
        <v>24</v>
      </c>
      <c r="C12" s="922">
        <f>'4'!Y30</f>
        <v>290469.6</v>
      </c>
      <c r="D12" s="922">
        <f>'4'!AA32</f>
        <v>49476</v>
      </c>
      <c r="E12" s="923">
        <f>'4'!$AB$32</f>
        <v>85.17901009</v>
      </c>
      <c r="F12" s="922">
        <f>'4'!AA33</f>
        <v>0</v>
      </c>
      <c r="G12" s="924" t="str">
        <f>'4'!AB33</f>
        <v>#DIV/0!</v>
      </c>
      <c r="H12" s="925">
        <f>'4'!$AK$38</f>
        <v>0</v>
      </c>
      <c r="I12" s="924">
        <f>'4'!$AK$39</f>
        <v>0</v>
      </c>
      <c r="J12" s="925">
        <f>'4'!$AQ$40</f>
        <v>2329.422168</v>
      </c>
      <c r="K12" s="924">
        <f>'4'!$AQ$41</f>
        <v>8.01950417</v>
      </c>
      <c r="L12" s="924"/>
      <c r="M12" s="926">
        <f>'4'!$O$19</f>
        <v>3.65</v>
      </c>
      <c r="O12" s="927"/>
      <c r="P12" s="97"/>
    </row>
    <row r="13" ht="16.5" customHeight="1">
      <c r="A13" s="920">
        <v>5.0</v>
      </c>
      <c r="B13" s="921">
        <f>'5'!$Z$37</f>
        <v>24</v>
      </c>
      <c r="C13" s="922">
        <f>'5'!Y30</f>
        <v>281710.8</v>
      </c>
      <c r="D13" s="922">
        <f>'5'!AA32</f>
        <v>49476</v>
      </c>
      <c r="E13" s="923">
        <f>'5'!$AB$32</f>
        <v>87.84042164</v>
      </c>
      <c r="F13" s="922">
        <f>'5'!AA33</f>
        <v>0</v>
      </c>
      <c r="G13" s="924" t="str">
        <f>'5'!AB33</f>
        <v>#DIV/0!</v>
      </c>
      <c r="H13" s="925">
        <f>'5'!$AK$38</f>
        <v>0</v>
      </c>
      <c r="I13" s="924">
        <f>'5'!$AK$39</f>
        <v>0</v>
      </c>
      <c r="J13" s="925">
        <f>'5'!$AQ$40</f>
        <v>2103.533333</v>
      </c>
      <c r="K13" s="924">
        <f>'5'!$AQ$41</f>
        <v>7.466995704</v>
      </c>
      <c r="L13" s="924"/>
      <c r="M13" s="926">
        <f>'5'!$O$19</f>
        <v>3.766666667</v>
      </c>
      <c r="O13" s="927"/>
      <c r="P13" s="97"/>
    </row>
    <row r="14" ht="15.0" customHeight="1">
      <c r="A14" s="920">
        <v>6.0</v>
      </c>
      <c r="B14" s="921">
        <f>'6'!$Z$37</f>
        <v>24</v>
      </c>
      <c r="C14" s="922">
        <f>'6'!Y30</f>
        <v>279482.4</v>
      </c>
      <c r="D14" s="922">
        <f>'6'!AA32</f>
        <v>47414.5</v>
      </c>
      <c r="E14" s="923">
        <f>'6'!$AB$32</f>
        <v>84.38721745</v>
      </c>
      <c r="F14" s="922">
        <f>'6'!AA33</f>
        <v>0</v>
      </c>
      <c r="G14" s="924" t="str">
        <f>'6'!AB33</f>
        <v>#DIV/0!</v>
      </c>
      <c r="H14" s="925">
        <f>'6'!$AK$38</f>
        <v>0</v>
      </c>
      <c r="I14" s="924">
        <f>'6'!$AK$39</f>
        <v>0</v>
      </c>
      <c r="J14" s="925">
        <f>'6'!$AQ$40</f>
        <v>2133.8</v>
      </c>
      <c r="K14" s="924">
        <f>'6'!$AQ$41</f>
        <v>7.63482781</v>
      </c>
      <c r="L14" s="924"/>
      <c r="M14" s="926">
        <f>'6'!$O$19</f>
        <v>3.175</v>
      </c>
      <c r="O14" s="927"/>
      <c r="P14" s="97"/>
    </row>
    <row r="15" ht="15.0" customHeight="1">
      <c r="A15" s="920">
        <v>7.0</v>
      </c>
      <c r="B15" s="921">
        <f>'7'!$Z$37</f>
        <v>24</v>
      </c>
      <c r="C15" s="922">
        <f>'7'!Y30</f>
        <v>287028</v>
      </c>
      <c r="D15" s="922">
        <f>'7'!AA32</f>
        <v>47241.6</v>
      </c>
      <c r="E15" s="923">
        <f>'7'!$AB$32</f>
        <v>84.38721745</v>
      </c>
      <c r="F15" s="922">
        <f>'7'!AA33</f>
        <v>0</v>
      </c>
      <c r="G15" s="924" t="str">
        <f>'7'!AB33</f>
        <v>#DIV/0!</v>
      </c>
      <c r="H15" s="925">
        <f>'7'!$AK$38</f>
        <v>0</v>
      </c>
      <c r="I15" s="924">
        <f>'7'!$AK$39</f>
        <v>0</v>
      </c>
      <c r="J15" s="925">
        <f>'7'!$AQ$40</f>
        <v>662.0833333</v>
      </c>
      <c r="K15" s="924">
        <f>'7'!$AQ$41</f>
        <v>2.306685527</v>
      </c>
      <c r="L15" s="924"/>
      <c r="M15" s="926">
        <f>'7'!$O$19</f>
        <v>3.6</v>
      </c>
      <c r="O15" s="927"/>
      <c r="P15" s="97"/>
    </row>
    <row r="16" ht="16.5" customHeight="1">
      <c r="A16" s="920">
        <v>8.0</v>
      </c>
      <c r="B16" s="921">
        <f>'8'!$Z$37</f>
        <v>24</v>
      </c>
      <c r="C16" s="922">
        <f>'8'!Y30</f>
        <v>291366</v>
      </c>
      <c r="D16" s="922">
        <f>'8'!AA32</f>
        <v>47241.6</v>
      </c>
      <c r="E16" s="923">
        <f>'8'!$AB$32</f>
        <v>81.08056001</v>
      </c>
      <c r="F16" s="922">
        <f>'8'!AA33</f>
        <v>0</v>
      </c>
      <c r="G16" s="924" t="str">
        <f>'8'!AB33</f>
        <v>#DIV/0!</v>
      </c>
      <c r="H16" s="925">
        <f>'8'!$AK$38</f>
        <v>0</v>
      </c>
      <c r="I16" s="924">
        <f>'8'!$AK$39</f>
        <v>0</v>
      </c>
      <c r="J16" s="925">
        <f>'8'!$AQ$40</f>
        <v>2270</v>
      </c>
      <c r="K16" s="924">
        <f>'8'!$AQ$41</f>
        <v>7.790888436</v>
      </c>
      <c r="L16" s="924"/>
      <c r="M16" s="926">
        <f>'8'!$O$19</f>
        <v>3.391666667</v>
      </c>
      <c r="O16" s="927"/>
      <c r="P16" s="97"/>
      <c r="Q16" s="928" t="s">
        <v>159</v>
      </c>
    </row>
    <row r="17" ht="16.5" customHeight="1">
      <c r="A17" s="920">
        <v>9.0</v>
      </c>
      <c r="B17" s="921">
        <f>'9'!$Z$37</f>
        <v>24</v>
      </c>
      <c r="C17" s="922">
        <f>'9'!Y30</f>
        <v>271278</v>
      </c>
      <c r="D17" s="922">
        <f>'9'!AA32</f>
        <v>46164.3</v>
      </c>
      <c r="E17" s="923" t="str">
        <f>'9'!$AB$32</f>
        <v>#DIV/0!</v>
      </c>
      <c r="F17" s="922">
        <f>'9'!AA33</f>
        <v>0</v>
      </c>
      <c r="G17" s="924" t="str">
        <f>'9'!AB33</f>
        <v>#DIV/0!</v>
      </c>
      <c r="H17" s="925">
        <f>'9'!$AK$38</f>
        <v>0</v>
      </c>
      <c r="I17" s="924">
        <f>'9'!$AK$39</f>
        <v>0</v>
      </c>
      <c r="J17" s="925">
        <f>'9'!$AQ$40</f>
        <v>2270</v>
      </c>
      <c r="K17" s="924">
        <f>'9'!$AQ$41</f>
        <v>8.367799822</v>
      </c>
      <c r="L17" s="924"/>
      <c r="M17" s="926">
        <f>'9'!$O$19</f>
        <v>3.5</v>
      </c>
      <c r="O17" s="927"/>
      <c r="P17" s="97"/>
    </row>
    <row r="18" ht="16.5" customHeight="1">
      <c r="A18" s="920">
        <v>10.0</v>
      </c>
      <c r="B18" s="921">
        <f>'10'!$Z$37</f>
        <v>24</v>
      </c>
      <c r="C18" s="922">
        <f>'10'!Y30</f>
        <v>283500</v>
      </c>
      <c r="D18" s="922">
        <f>'10'!AA32</f>
        <v>44195.9</v>
      </c>
      <c r="E18" s="923">
        <f>'10'!$AB$32</f>
        <v>77.94587775</v>
      </c>
      <c r="F18" s="922">
        <f>'10'!AA33</f>
        <v>0</v>
      </c>
      <c r="G18" s="924" t="str">
        <f>'10'!AB33</f>
        <v>#DIV/0!</v>
      </c>
      <c r="H18" s="925">
        <f>'10'!$AK$38</f>
        <v>0</v>
      </c>
      <c r="I18" s="924">
        <f>'10'!$AK$39</f>
        <v>0</v>
      </c>
      <c r="J18" s="925">
        <f>'10'!$AQ$40</f>
        <v>2270</v>
      </c>
      <c r="K18" s="924">
        <f>'10'!$AQ$41</f>
        <v>8.007054674</v>
      </c>
      <c r="L18" s="924"/>
      <c r="M18" s="926">
        <f>'10'!$O$19</f>
        <v>3.6</v>
      </c>
      <c r="O18" s="927"/>
      <c r="P18" s="97"/>
    </row>
    <row r="19" ht="16.5" customHeight="1">
      <c r="A19" s="920">
        <v>11.0</v>
      </c>
      <c r="B19" s="921">
        <f>'11'!$Z$37</f>
        <v>24</v>
      </c>
      <c r="C19" s="922">
        <f>'11'!Y30</f>
        <v>278647.2</v>
      </c>
      <c r="D19" s="922">
        <f>'11'!AA32</f>
        <v>42340.55</v>
      </c>
      <c r="E19" s="923">
        <f>'11'!$AB$32</f>
        <v>76.06206894</v>
      </c>
      <c r="F19" s="922">
        <f>'11'!AA33</f>
        <v>0</v>
      </c>
      <c r="G19" s="924" t="str">
        <f>'11'!AB33</f>
        <v>#DIV/0!</v>
      </c>
      <c r="H19" s="925">
        <f>'11'!$AK$38</f>
        <v>0</v>
      </c>
      <c r="I19" s="924">
        <f>'11'!$AK$39</f>
        <v>0</v>
      </c>
      <c r="J19" s="925">
        <f>'11'!$AQ$40</f>
        <v>2251.083333</v>
      </c>
      <c r="K19" s="924">
        <f>'11'!$AQ$41</f>
        <v>8.078614583</v>
      </c>
      <c r="L19" s="924"/>
      <c r="M19" s="926">
        <f>'11'!$O$19</f>
        <v>3.6</v>
      </c>
      <c r="O19" s="927"/>
      <c r="P19" s="97"/>
    </row>
    <row r="20" ht="16.5" customHeight="1">
      <c r="A20" s="920">
        <v>12.0</v>
      </c>
      <c r="B20" s="921">
        <f>'12'!$Z$37</f>
        <v>24</v>
      </c>
      <c r="C20" s="922">
        <f>'12'!Y30</f>
        <v>284133.6</v>
      </c>
      <c r="D20" s="922">
        <f>'12'!AA32</f>
        <v>41900.32</v>
      </c>
      <c r="E20" s="923">
        <f>'12'!$AB$32</f>
        <v>73.82459776</v>
      </c>
      <c r="F20" s="922">
        <f>'12'!AA33</f>
        <v>0</v>
      </c>
      <c r="G20" s="924" t="str">
        <f>'12'!AB33</f>
        <v>#DIV/0!</v>
      </c>
      <c r="H20" s="925">
        <f>'12'!$AK$38</f>
        <v>0</v>
      </c>
      <c r="I20" s="924">
        <f>'12'!$AK$39</f>
        <v>0</v>
      </c>
      <c r="J20" s="925">
        <f>'12'!$AQ$40</f>
        <v>2270</v>
      </c>
      <c r="K20" s="924">
        <f>'12'!$AQ$41</f>
        <v>7.989199447</v>
      </c>
      <c r="L20" s="924"/>
      <c r="M20" s="926">
        <f>'12'!$O$19</f>
        <v>3.525</v>
      </c>
      <c r="O20" s="927"/>
      <c r="P20" s="97"/>
    </row>
    <row r="21" ht="16.5" customHeight="1">
      <c r="A21" s="920">
        <v>13.0</v>
      </c>
      <c r="B21" s="921">
        <f>'13'!$Z$38</f>
        <v>24</v>
      </c>
      <c r="C21" s="922">
        <f>'13'!Y31</f>
        <v>285746.4</v>
      </c>
      <c r="D21" s="922">
        <f>'13'!AA33</f>
        <v>38623.2</v>
      </c>
      <c r="E21" s="923">
        <f>'13'!$AB$33</f>
        <v>67.58486376</v>
      </c>
      <c r="F21" s="922">
        <f>'13'!AA34</f>
        <v>0</v>
      </c>
      <c r="G21" s="924" t="str">
        <f>'13'!AB34</f>
        <v>#DIV/0!</v>
      </c>
      <c r="H21" s="925">
        <f>'13'!$AK$39</f>
        <v>0</v>
      </c>
      <c r="I21" s="924">
        <f>'13'!$AK$40</f>
        <v>0</v>
      </c>
      <c r="J21" s="925">
        <f>'13'!$AQ$41</f>
        <v>2270</v>
      </c>
      <c r="K21" s="924">
        <f>'13'!$AQ$42</f>
        <v>7.944107082</v>
      </c>
      <c r="L21" s="924"/>
      <c r="M21" s="926">
        <f>'13'!$O$19</f>
        <v>3.6</v>
      </c>
      <c r="O21" s="927"/>
      <c r="P21" s="97"/>
    </row>
    <row r="22" ht="16.5" customHeight="1">
      <c r="A22" s="920">
        <v>14.0</v>
      </c>
      <c r="B22" s="921">
        <f>'14'!$Z$37</f>
        <v>24</v>
      </c>
      <c r="C22" s="922">
        <f>'14'!Y30</f>
        <v>289756.8</v>
      </c>
      <c r="D22" s="922">
        <f>'14'!AA32</f>
        <v>38623.2</v>
      </c>
      <c r="E22" s="923">
        <f>'14'!$AB$32</f>
        <v>66.68825085</v>
      </c>
      <c r="F22" s="922">
        <f>'14'!AA33</f>
        <v>0</v>
      </c>
      <c r="G22" s="924" t="str">
        <f>'14'!AB33</f>
        <v>#DIV/0!</v>
      </c>
      <c r="H22" s="925">
        <f>'14'!$AK$38</f>
        <v>0</v>
      </c>
      <c r="I22" s="924">
        <f>'14'!$AK$39</f>
        <v>0</v>
      </c>
      <c r="J22" s="925">
        <f>'14'!$AQ$40</f>
        <v>2270</v>
      </c>
      <c r="K22" s="924">
        <f>'14'!$AQ$41</f>
        <v>7.834156092</v>
      </c>
      <c r="L22" s="924"/>
      <c r="M22" s="926">
        <f>'14'!$O$19</f>
        <v>3.233333333</v>
      </c>
      <c r="O22" s="927"/>
      <c r="P22" s="97"/>
    </row>
    <row r="23" ht="16.5" customHeight="1">
      <c r="A23" s="920">
        <v>15.0</v>
      </c>
      <c r="B23" s="921">
        <f>'15'!$Z$37</f>
        <v>24</v>
      </c>
      <c r="C23" s="922">
        <f>'15'!Y30</f>
        <v>284976</v>
      </c>
      <c r="D23" s="922">
        <f>'15'!AA32</f>
        <v>38623.2</v>
      </c>
      <c r="E23" s="923">
        <f>'15'!$AB$32</f>
        <v>67.9211077</v>
      </c>
      <c r="F23" s="922">
        <f>'15'!AA33</f>
        <v>0</v>
      </c>
      <c r="G23" s="924" t="str">
        <f>'15'!AB33</f>
        <v>#DIV/0!</v>
      </c>
      <c r="H23" s="925">
        <f>'15'!$AK$38</f>
        <v>0</v>
      </c>
      <c r="I23" s="924">
        <f>'15'!$AK$39</f>
        <v>0</v>
      </c>
      <c r="J23" s="925">
        <f>'15'!$AQ$40</f>
        <v>2270</v>
      </c>
      <c r="K23" s="924">
        <f>'15'!$AQ$41</f>
        <v>7.965583067</v>
      </c>
      <c r="L23" s="924"/>
      <c r="M23" s="926">
        <f>'15'!$O$19</f>
        <v>3.166666667</v>
      </c>
      <c r="O23" s="927"/>
      <c r="P23" s="929"/>
    </row>
    <row r="24" ht="16.5" customHeight="1">
      <c r="A24" s="920">
        <v>16.0</v>
      </c>
      <c r="B24" s="921">
        <f>'16'!$Z$37</f>
        <v>24</v>
      </c>
      <c r="C24" s="922">
        <f>'16'!Y30</f>
        <v>271393.2</v>
      </c>
      <c r="D24" s="922">
        <f>'16'!AA32</f>
        <v>35803.6</v>
      </c>
      <c r="E24" s="923">
        <f>'16'!$AB$32</f>
        <v>65.91080461</v>
      </c>
      <c r="F24" s="922">
        <f>'16'!AA33</f>
        <v>0</v>
      </c>
      <c r="G24" s="924" t="str">
        <f>'16'!AB33</f>
        <v>#DIV/0!</v>
      </c>
      <c r="H24" s="925">
        <f>'16'!$AK$38</f>
        <v>0</v>
      </c>
      <c r="I24" s="924">
        <f>'16'!$AK$39</f>
        <v>0</v>
      </c>
      <c r="J24" s="925">
        <f>'16'!$AQ$40</f>
        <v>1816</v>
      </c>
      <c r="K24" s="924">
        <f>'16'!$AQ$41</f>
        <v>6.691398311</v>
      </c>
      <c r="L24" s="924"/>
      <c r="M24" s="926">
        <f>'16'!$O$19</f>
        <v>3.716666667</v>
      </c>
      <c r="O24" s="927"/>
      <c r="P24" s="929"/>
    </row>
    <row r="25" ht="16.5" customHeight="1">
      <c r="A25" s="920">
        <v>17.0</v>
      </c>
      <c r="B25" s="921">
        <f>'17'!$Z$37</f>
        <v>24</v>
      </c>
      <c r="C25" s="922">
        <f>'17'!Y30</f>
        <v>293976</v>
      </c>
      <c r="D25" s="922">
        <f>'17'!AA32</f>
        <v>38304</v>
      </c>
      <c r="E25" s="923">
        <f>'17'!$AB$32</f>
        <v>65.1731898</v>
      </c>
      <c r="F25" s="922">
        <f>'17'!AA33</f>
        <v>0</v>
      </c>
      <c r="G25" s="924" t="str">
        <f>'17'!AB33</f>
        <v>#DIV/0!</v>
      </c>
      <c r="H25" s="925">
        <f>'17'!$AK$38</f>
        <v>0</v>
      </c>
      <c r="I25" s="924">
        <f>'17'!$AK$39</f>
        <v>0</v>
      </c>
      <c r="J25" s="925">
        <f>'17'!$AQ$40</f>
        <v>2156.5</v>
      </c>
      <c r="K25" s="924">
        <f>'17'!$AQ$41</f>
        <v>7.335632841</v>
      </c>
      <c r="L25" s="924"/>
      <c r="M25" s="926">
        <f>'17'!$O$19</f>
        <v>2.883333333</v>
      </c>
      <c r="N25" s="303" t="s">
        <v>354</v>
      </c>
      <c r="O25" s="927"/>
      <c r="P25" s="929"/>
    </row>
    <row r="26" ht="16.5" customHeight="1">
      <c r="A26" s="920">
        <v>18.0</v>
      </c>
      <c r="B26" s="921">
        <f>'18'!$Z$37</f>
        <v>24</v>
      </c>
      <c r="C26" s="922">
        <f>'18'!Y30</f>
        <v>293040</v>
      </c>
      <c r="D26" s="922">
        <f>'18'!AA32</f>
        <v>37772</v>
      </c>
      <c r="E26" s="923">
        <f>'18'!$AB$32</f>
        <v>64.45542516</v>
      </c>
      <c r="F26" s="922">
        <f>'18'!AA33</f>
        <v>0</v>
      </c>
      <c r="G26" s="924" t="str">
        <f>'18'!AB33</f>
        <v>#DIV/0!</v>
      </c>
      <c r="H26" s="925">
        <f>'18'!$AK$38</f>
        <v>0</v>
      </c>
      <c r="I26" s="924">
        <f>'18'!$AK$39</f>
        <v>0</v>
      </c>
      <c r="J26" s="925">
        <f>'18'!$AQ$40</f>
        <v>2270</v>
      </c>
      <c r="K26" s="924">
        <f>'18'!$AQ$41</f>
        <v>7.746382746</v>
      </c>
      <c r="L26" s="924"/>
      <c r="M26" s="926">
        <f>'18'!$O$19</f>
        <v>3.1</v>
      </c>
      <c r="O26" s="927"/>
      <c r="P26" s="97"/>
    </row>
    <row r="27" ht="16.5" customHeight="1">
      <c r="A27" s="920">
        <v>19.0</v>
      </c>
      <c r="B27" s="921">
        <f>'19'!$Z$37</f>
        <v>24</v>
      </c>
      <c r="C27" s="922">
        <f>'19'!Y30</f>
        <v>285231.6</v>
      </c>
      <c r="D27" s="922">
        <f>'19'!AA32</f>
        <v>38357.2</v>
      </c>
      <c r="E27" s="923">
        <f>'19'!$AB$32</f>
        <v>67.28801351</v>
      </c>
      <c r="F27" s="922">
        <f>'19'!AA33</f>
        <v>0</v>
      </c>
      <c r="G27" s="924" t="str">
        <f>'19'!AB33</f>
        <v>#DIV/0!</v>
      </c>
      <c r="H27" s="925">
        <f>'19'!$AK$38</f>
        <v>0</v>
      </c>
      <c r="I27" s="924">
        <f>'19'!$AK$39</f>
        <v>0</v>
      </c>
      <c r="J27" s="925">
        <f>'19'!$AQ$40</f>
        <v>2364.583333</v>
      </c>
      <c r="K27" s="924">
        <f>'19'!$AQ$41</f>
        <v>8.290046872</v>
      </c>
      <c r="L27" s="924"/>
      <c r="M27" s="926">
        <f>'19'!$O$19</f>
        <v>2.983333333</v>
      </c>
      <c r="O27" s="927"/>
      <c r="P27" s="97"/>
    </row>
    <row r="28" ht="16.5" customHeight="1">
      <c r="A28" s="920">
        <v>20.0</v>
      </c>
      <c r="B28" s="921">
        <f>'20'!$Z$37</f>
        <v>24</v>
      </c>
      <c r="C28" s="922">
        <f>'20'!Y30</f>
        <v>295761.6</v>
      </c>
      <c r="D28" s="922">
        <f>'20'!AA32</f>
        <v>44688</v>
      </c>
      <c r="E28" s="923">
        <f>'20'!$AB$32</f>
        <v>75.55912634</v>
      </c>
      <c r="F28" s="922">
        <f>'20'!AA33</f>
        <v>0</v>
      </c>
      <c r="G28" s="924" t="str">
        <f>'20'!AB33</f>
        <v>#DIV/0!</v>
      </c>
      <c r="H28" s="925">
        <f>'20'!$AK$38</f>
        <v>0</v>
      </c>
      <c r="I28" s="924">
        <f>'20'!$AK$39</f>
        <v>0</v>
      </c>
      <c r="J28" s="925">
        <f>'20'!$AQ$40</f>
        <v>2411.875</v>
      </c>
      <c r="K28" s="924">
        <f>'20'!$AQ$41</f>
        <v>8.154794267</v>
      </c>
      <c r="L28" s="924"/>
      <c r="M28" s="926">
        <f>'20'!$O$19</f>
        <v>3.8</v>
      </c>
      <c r="O28" s="927"/>
      <c r="P28" s="97"/>
    </row>
    <row r="29" ht="16.5" customHeight="1">
      <c r="A29" s="920">
        <v>21.0</v>
      </c>
      <c r="B29" s="921">
        <f>'21'!$Z$37</f>
        <v>24</v>
      </c>
      <c r="C29" s="922">
        <f>'21'!Y30</f>
        <v>292460.4</v>
      </c>
      <c r="D29" s="922">
        <f>'21'!AA32</f>
        <v>44461.9</v>
      </c>
      <c r="E29" s="923">
        <f>'21'!$AB$32</f>
        <v>76.0171477</v>
      </c>
      <c r="F29" s="922">
        <f>'21'!AA33</f>
        <v>0</v>
      </c>
      <c r="G29" s="924" t="str">
        <f>'21'!AB33</f>
        <v>#DIV/0!</v>
      </c>
      <c r="H29" s="925">
        <f>'21'!$AK$38</f>
        <v>0</v>
      </c>
      <c r="I29" s="924">
        <f>'21'!$AK$39</f>
        <v>0</v>
      </c>
      <c r="J29" s="925">
        <f>'21'!$AQ$40</f>
        <v>2270</v>
      </c>
      <c r="K29" s="924">
        <f>'21'!$AQ$41</f>
        <v>7.76173458</v>
      </c>
      <c r="L29" s="924"/>
      <c r="M29" s="926">
        <f>'21'!$O$19</f>
        <v>3.216666667</v>
      </c>
      <c r="O29" s="927"/>
      <c r="P29" s="97"/>
    </row>
    <row r="30" ht="16.5" customHeight="1">
      <c r="A30" s="920">
        <v>22.0</v>
      </c>
      <c r="B30" s="921">
        <f>'22'!$Z$37</f>
        <v>24</v>
      </c>
      <c r="C30" s="922">
        <f>'22'!Y30</f>
        <v>296017.2</v>
      </c>
      <c r="D30" s="922">
        <f>'22'!AA32</f>
        <v>44368.8</v>
      </c>
      <c r="E30" s="923">
        <f>'22'!$AB$32</f>
        <v>74.95773945</v>
      </c>
      <c r="F30" s="922">
        <f>'22'!AA33</f>
        <v>0</v>
      </c>
      <c r="G30" s="924" t="str">
        <f>'22'!AB33</f>
        <v>#DIV/0!</v>
      </c>
      <c r="H30" s="925">
        <f>'22'!$AK$38</f>
        <v>0</v>
      </c>
      <c r="I30" s="924">
        <f>'22'!$AK$39</f>
        <v>0</v>
      </c>
      <c r="J30" s="925">
        <f>'22'!$AQ$40</f>
        <v>2270</v>
      </c>
      <c r="K30" s="924">
        <f>'22'!$AQ$41</f>
        <v>7.668473318</v>
      </c>
      <c r="L30" s="924"/>
      <c r="M30" s="926">
        <f>'22'!$O$19</f>
        <v>3.6</v>
      </c>
      <c r="O30" s="927"/>
      <c r="P30" s="97"/>
    </row>
    <row r="31" ht="16.5" customHeight="1">
      <c r="A31" s="920">
        <v>23.0</v>
      </c>
      <c r="B31" s="921">
        <f>'23'!$Z$37</f>
        <v>24</v>
      </c>
      <c r="C31" s="922">
        <f>'23'!Y30</f>
        <v>294393.6</v>
      </c>
      <c r="D31" s="922">
        <f>'23'!AA32</f>
        <v>44702.4</v>
      </c>
      <c r="E31" s="923">
        <f>'23'!$AB$32</f>
        <v>75.93052212</v>
      </c>
      <c r="F31" s="922">
        <f>'23'!AA33</f>
        <v>0</v>
      </c>
      <c r="G31" s="924" t="str">
        <f>'23'!AB33</f>
        <v>#DIV/0!</v>
      </c>
      <c r="H31" s="925">
        <f>'23'!$AK$38</f>
        <v>0</v>
      </c>
      <c r="I31" s="924">
        <f>'23'!$AK$39</f>
        <v>0</v>
      </c>
      <c r="J31" s="925">
        <f>'23'!$AQ$40</f>
        <v>2270</v>
      </c>
      <c r="K31" s="924">
        <f>'23'!$AQ$41</f>
        <v>7.710765451</v>
      </c>
      <c r="L31" s="924"/>
      <c r="M31" s="926">
        <f>'23'!$O$19</f>
        <v>3.6</v>
      </c>
      <c r="N31" s="303" t="s">
        <v>134</v>
      </c>
      <c r="O31" s="927"/>
      <c r="P31" s="97"/>
    </row>
    <row r="32" ht="16.5" customHeight="1">
      <c r="A32" s="920">
        <v>24.0</v>
      </c>
      <c r="B32" s="921">
        <f>'24'!$Z$37</f>
        <v>24</v>
      </c>
      <c r="C32" s="922">
        <f>'24'!Y30</f>
        <v>291150</v>
      </c>
      <c r="D32" s="922">
        <f>'24'!AA32</f>
        <v>44368.8</v>
      </c>
      <c r="E32" s="923">
        <f>'24'!$AB$32</f>
        <v>76.26341214</v>
      </c>
      <c r="F32" s="922">
        <f>'24'!AA33</f>
        <v>0</v>
      </c>
      <c r="G32" s="924" t="str">
        <f>'24'!AB33</f>
        <v>#DIV/0!</v>
      </c>
      <c r="H32" s="925">
        <f>'24'!$AK$38</f>
        <v>0</v>
      </c>
      <c r="I32" s="924">
        <f>'24'!$AK$39</f>
        <v>0</v>
      </c>
      <c r="J32" s="925">
        <f>'24'!AQ40</f>
        <v>2270</v>
      </c>
      <c r="K32" s="924">
        <f>'24'!$AQ$41</f>
        <v>7.796668384</v>
      </c>
      <c r="L32" s="924"/>
      <c r="M32" s="926">
        <f>'24'!$O$19</f>
        <v>5.6</v>
      </c>
      <c r="O32" s="927"/>
      <c r="P32" s="97"/>
    </row>
    <row r="33" ht="16.5" customHeight="1">
      <c r="A33" s="920">
        <v>25.0</v>
      </c>
      <c r="B33" s="921">
        <f>'25'!$Z$37</f>
        <v>24</v>
      </c>
      <c r="C33" s="922">
        <f>'25'!Y30</f>
        <v>299844</v>
      </c>
      <c r="D33" s="922">
        <f>'25'!AA32</f>
        <v>44847.6</v>
      </c>
      <c r="E33" s="923">
        <f>'25'!$AB$32</f>
        <v>74.78763345</v>
      </c>
      <c r="F33" s="922">
        <f>'25'!AA33</f>
        <v>0</v>
      </c>
      <c r="G33" s="924" t="str">
        <f>'25'!AB33</f>
        <v>#DIV/0!</v>
      </c>
      <c r="H33" s="925">
        <f>'25'!$AK$38</f>
        <v>0</v>
      </c>
      <c r="I33" s="924">
        <f>'25'!$AK$39</f>
        <v>0</v>
      </c>
      <c r="J33" s="925">
        <f>'25'!$AQ$40</f>
        <v>2270</v>
      </c>
      <c r="K33" s="924">
        <f>'25'!$AQ$41</f>
        <v>7.57060338</v>
      </c>
      <c r="L33" s="924"/>
      <c r="M33" s="926">
        <f>'25'!$O$19</f>
        <v>3.583333333</v>
      </c>
      <c r="O33" s="927"/>
      <c r="P33" s="97"/>
    </row>
    <row r="34" ht="16.5" customHeight="1">
      <c r="A34" s="920">
        <v>26.0</v>
      </c>
      <c r="B34" s="921">
        <f>'26'!$Z$37</f>
        <v>24</v>
      </c>
      <c r="C34" s="922">
        <f>'26'!Y30</f>
        <v>299743.2</v>
      </c>
      <c r="D34" s="922">
        <f>'26'!AA32</f>
        <v>45007.2</v>
      </c>
      <c r="E34" s="923">
        <f>'26'!$AB$32</f>
        <v>75.08625057</v>
      </c>
      <c r="F34" s="922">
        <f>'26'!AA33</f>
        <v>0</v>
      </c>
      <c r="G34" s="924" t="str">
        <f>'26'!AB33</f>
        <v>#DIV/0!</v>
      </c>
      <c r="H34" s="925">
        <f>'26'!$AK$38</f>
        <v>0</v>
      </c>
      <c r="I34" s="924">
        <f>'26'!$AK$39</f>
        <v>0</v>
      </c>
      <c r="J34" s="925">
        <f>'26'!$AQ$40</f>
        <v>2270</v>
      </c>
      <c r="K34" s="924">
        <f>'26'!$AQ$41</f>
        <v>7.573149282</v>
      </c>
      <c r="L34" s="924"/>
      <c r="M34" s="926">
        <f>'26'!$O$19</f>
        <v>3.6</v>
      </c>
      <c r="O34" s="927"/>
      <c r="P34" s="97"/>
    </row>
    <row r="35" ht="16.5" customHeight="1">
      <c r="A35" s="920">
        <v>27.0</v>
      </c>
      <c r="B35" s="921">
        <f>'27'!$Z$37</f>
        <v>24</v>
      </c>
      <c r="C35" s="922">
        <f>'27'!Y30</f>
        <v>300888</v>
      </c>
      <c r="D35" s="922">
        <f>'27'!AA32</f>
        <v>39634</v>
      </c>
      <c r="E35" s="923">
        <f>'27'!$AB$32</f>
        <v>66.21068685</v>
      </c>
      <c r="F35" s="922">
        <f>'27'!AA33</f>
        <v>0</v>
      </c>
      <c r="G35" s="924" t="str">
        <f>'27'!AB33</f>
        <v>#DIV/0!</v>
      </c>
      <c r="H35" s="925">
        <f>'27'!$AK$38</f>
        <v>0</v>
      </c>
      <c r="I35" s="924">
        <f>'27'!$AK$39</f>
        <v>0</v>
      </c>
      <c r="J35" s="925">
        <f>'27'!$AQ$40</f>
        <v>2270</v>
      </c>
      <c r="K35" s="924">
        <f>'27'!$AQ$41</f>
        <v>7.544335434</v>
      </c>
      <c r="L35" s="924"/>
      <c r="M35" s="926">
        <f>'27'!$O$19</f>
        <v>3.218181818</v>
      </c>
      <c r="O35" s="927"/>
      <c r="P35" s="930"/>
    </row>
    <row r="36" ht="16.5" customHeight="1">
      <c r="A36" s="920">
        <v>28.0</v>
      </c>
      <c r="B36" s="921">
        <f>'28'!$Z$37</f>
        <v>24</v>
      </c>
      <c r="C36" s="922">
        <f>'28'!Y30</f>
        <v>299466</v>
      </c>
      <c r="D36" s="922">
        <f>'28'!AA32</f>
        <v>39634</v>
      </c>
      <c r="E36" s="923">
        <f>'28'!$AB$32</f>
        <v>66.21068685</v>
      </c>
      <c r="F36" s="922">
        <f>'28'!AA33</f>
        <v>0</v>
      </c>
      <c r="G36" s="924" t="str">
        <f>'28'!AB33</f>
        <v>#DIV/0!</v>
      </c>
      <c r="H36" s="925">
        <f>'28'!$AK$38</f>
        <v>0</v>
      </c>
      <c r="I36" s="924">
        <f>'28'!$AK$39</f>
        <v>0</v>
      </c>
      <c r="J36" s="925">
        <f>'28'!$AQ$40</f>
        <v>2270</v>
      </c>
      <c r="K36" s="924">
        <f>'28'!$AQ$41</f>
        <v>7.58015935</v>
      </c>
      <c r="L36" s="924"/>
      <c r="M36" s="926">
        <f>'28'!$O$19</f>
        <v>3</v>
      </c>
      <c r="O36" s="927"/>
      <c r="P36" s="97"/>
    </row>
    <row r="37" ht="16.5" customHeight="1">
      <c r="A37" s="920">
        <v>29.0</v>
      </c>
      <c r="B37" s="921">
        <f>'29'!$Z$37</f>
        <v>24</v>
      </c>
      <c r="C37" s="922">
        <f>'29'!Y30</f>
        <v>299822.4</v>
      </c>
      <c r="D37" s="922">
        <f>'29'!AA32</f>
        <v>39421.2</v>
      </c>
      <c r="E37" s="923">
        <f>'29'!$AB$32</f>
        <v>65.74899117</v>
      </c>
      <c r="F37" s="922">
        <f>'29'!AA33</f>
        <v>0</v>
      </c>
      <c r="G37" s="924" t="str">
        <f>'29'!AB33</f>
        <v>#DIV/0!</v>
      </c>
      <c r="H37" s="925">
        <f>'29'!$AK$38</f>
        <v>0</v>
      </c>
      <c r="I37" s="924">
        <f>'29'!$AK$39</f>
        <v>0</v>
      </c>
      <c r="J37" s="925">
        <f>'29'!$AQ$40</f>
        <v>2402.416667</v>
      </c>
      <c r="K37" s="924">
        <f>'29'!$AQ$41</f>
        <v>8.012799133</v>
      </c>
      <c r="L37" s="924"/>
      <c r="M37" s="926">
        <f>'29'!$O$19</f>
        <v>2.741666667</v>
      </c>
      <c r="O37" s="927"/>
      <c r="P37" s="97"/>
    </row>
    <row r="38" ht="16.5" customHeight="1">
      <c r="A38" s="920">
        <v>30.0</v>
      </c>
      <c r="B38" s="921">
        <f>'30'!$Z$37</f>
        <v>24</v>
      </c>
      <c r="C38" s="922">
        <f>'30'!Y30</f>
        <v>305164.8</v>
      </c>
      <c r="D38" s="922">
        <f>'30'!AA32</f>
        <v>37605.75</v>
      </c>
      <c r="E38" s="923">
        <f>'30'!$AB$32</f>
        <v>61.6744202</v>
      </c>
      <c r="F38" s="922">
        <f>'30'!AA33</f>
        <v>0</v>
      </c>
      <c r="G38" s="924" t="str">
        <f>'30'!AB33</f>
        <v>#DIV/0!</v>
      </c>
      <c r="H38" s="925">
        <f>'30'!$AK$38</f>
        <v>0</v>
      </c>
      <c r="I38" s="924">
        <f>'30'!$AK$39</f>
        <v>0</v>
      </c>
      <c r="J38" s="925">
        <f>'30'!$AQ$40</f>
        <v>2663.466667</v>
      </c>
      <c r="K38" s="924">
        <f>'30'!$AQ$41</f>
        <v>8.727961635</v>
      </c>
      <c r="L38" s="924"/>
      <c r="M38" s="926">
        <f>'30'!$O$19</f>
        <v>3.316666667</v>
      </c>
      <c r="O38" s="927"/>
      <c r="P38" s="97"/>
    </row>
    <row r="39" ht="16.5" customHeight="1">
      <c r="A39" s="920">
        <v>31.0</v>
      </c>
      <c r="B39" s="921">
        <f>'31'!$Z$37</f>
        <v>24</v>
      </c>
      <c r="C39" s="922">
        <f>'31'!Y30</f>
        <v>297500.4</v>
      </c>
      <c r="D39" s="922">
        <f>'31'!AA32</f>
        <v>36229.2</v>
      </c>
      <c r="E39" s="923">
        <f>'31'!$AB$32</f>
        <v>60.89964075</v>
      </c>
      <c r="F39" s="922">
        <f>'31'!AA33</f>
        <v>0</v>
      </c>
      <c r="G39" s="924" t="str">
        <f>'31'!AB33</f>
        <v>#DIV/0!</v>
      </c>
      <c r="H39" s="925">
        <f>'31'!$AK$38</f>
        <v>0</v>
      </c>
      <c r="I39" s="924">
        <f>'31'!$AK$39</f>
        <v>0</v>
      </c>
      <c r="J39" s="925">
        <f>'31'!$AQ$40</f>
        <v>2633.2</v>
      </c>
      <c r="K39" s="924">
        <f>'31'!$AQ$41</f>
        <v>8.851080536</v>
      </c>
      <c r="L39" s="924"/>
      <c r="M39" s="926">
        <f>'31'!$O$19</f>
        <v>3.075</v>
      </c>
      <c r="O39" s="927"/>
      <c r="P39" s="97"/>
    </row>
    <row r="40" ht="15.75" customHeight="1">
      <c r="A40" s="931" t="s">
        <v>129</v>
      </c>
      <c r="B40" s="932">
        <f>SUM('PROD. QUÍM.'!B9:B39)</f>
        <v>744</v>
      </c>
      <c r="C40" s="932">
        <f>SUM('PROD. QUÍM.'!C10:C39)</f>
        <v>8709454.8</v>
      </c>
      <c r="D40" s="932">
        <f>SUM('PROD. QUÍM.'!D9:D39)</f>
        <v>1319544.64</v>
      </c>
      <c r="E40" s="933"/>
      <c r="F40" s="933">
        <f>SUM('PROD. QUÍM.'!F9:F39)</f>
        <v>0</v>
      </c>
      <c r="G40" s="933"/>
      <c r="H40" s="932">
        <f>SUM('PROD. QUÍM.'!H9:H38)</f>
        <v>0</v>
      </c>
      <c r="I40" s="924" t="str">
        <f>'6'!$AF$37</f>
        <v/>
      </c>
      <c r="J40" s="932">
        <f>SUM('PROD. QUÍM.'!J9:J39)</f>
        <v>68929.3305</v>
      </c>
      <c r="K40" s="933"/>
      <c r="L40" s="932"/>
      <c r="M40" s="933"/>
      <c r="N40" s="934"/>
      <c r="O40" s="97"/>
      <c r="P40" s="97"/>
    </row>
    <row r="41" ht="15.75" customHeight="1">
      <c r="A41" s="931" t="s">
        <v>298</v>
      </c>
      <c r="B41" s="932">
        <f>AVERAGE('PROD. QUÍM.'!B10:B38)</f>
        <v>24</v>
      </c>
      <c r="C41" s="932">
        <f>AVERAGE('PROD. QUÍM.'!C10:C38)</f>
        <v>290067.3931</v>
      </c>
      <c r="D41" s="932">
        <f>AVERAGE('PROD. QUÍM.'!D10:D38)</f>
        <v>42941.33517</v>
      </c>
      <c r="E41" s="933">
        <f>AVERAGE('PROD. QUÍM.'!E9:E16)</f>
        <v>82.21392983</v>
      </c>
      <c r="F41" s="933">
        <f>AVERAGE('PROD. QUÍM.'!F9:F38)</f>
        <v>0</v>
      </c>
      <c r="G41" s="933" t="str">
        <f>AVERAGE('PROD. QUÍM.'!G16:G39)</f>
        <v>#DIV/0!</v>
      </c>
      <c r="H41" s="932">
        <f>AVERAGE('PROD. QUÍM.'!H9:H38)</f>
        <v>0</v>
      </c>
      <c r="I41" s="924" t="str">
        <f>'6'!$AF$37</f>
        <v/>
      </c>
      <c r="J41" s="932">
        <f>AVERAGE('PROD. QUÍM.'!J9:J38)</f>
        <v>2209.871017</v>
      </c>
      <c r="K41" s="933">
        <f>AVERAGE('PROD. QUÍM.'!K9:K38)</f>
        <v>7.619113259</v>
      </c>
      <c r="L41" s="932" t="s">
        <v>355</v>
      </c>
      <c r="M41" s="933">
        <f>AVERAGE('PROD. QUÍM.'!M9:M38)</f>
        <v>3.486994949</v>
      </c>
      <c r="O41" s="97"/>
      <c r="P41" s="97"/>
    </row>
    <row r="42" ht="15.75" customHeight="1">
      <c r="A42" s="931" t="s">
        <v>294</v>
      </c>
      <c r="B42" s="932">
        <f>MAX('PROD. QUÍM.'!B9:B38)</f>
        <v>24</v>
      </c>
      <c r="C42" s="932">
        <f>MAX('PROD. QUÍM.'!C9:C38)</f>
        <v>305164.8</v>
      </c>
      <c r="D42" s="932">
        <f>MAX('PROD. QUÍM.'!D9:D38)</f>
        <v>55062</v>
      </c>
      <c r="E42" s="933">
        <f>MAX('PROD. QUÍM.'!E9:E16)</f>
        <v>94.13855076</v>
      </c>
      <c r="F42" s="933">
        <f>MAX('PROD. QUÍM.'!F9:F38)</f>
        <v>0</v>
      </c>
      <c r="G42" s="933" t="str">
        <f>MAX('PROD. QUÍM.'!G16:G39)</f>
        <v>#DIV/0!</v>
      </c>
      <c r="H42" s="932">
        <f>MAX('PROD. QUÍM.'!H9:H38)</f>
        <v>0</v>
      </c>
      <c r="I42" s="924" t="str">
        <f>'6'!$AF$37</f>
        <v/>
      </c>
      <c r="J42" s="932">
        <f>MAX('PROD. QUÍM.'!J9:J38)</f>
        <v>2663.466667</v>
      </c>
      <c r="K42" s="933">
        <f>MAX('PROD. QUÍM.'!K9:K38)</f>
        <v>8.727961635</v>
      </c>
      <c r="L42" s="932" t="s">
        <v>355</v>
      </c>
      <c r="M42" s="933">
        <f>MAX('PROD. QUÍM.'!M9:M38)</f>
        <v>5.6</v>
      </c>
    </row>
    <row r="43" ht="16.5" customHeight="1">
      <c r="A43" s="931" t="s">
        <v>295</v>
      </c>
      <c r="B43" s="932">
        <f>MIN('PROD. QUÍM.'!B9:B38)</f>
        <v>24</v>
      </c>
      <c r="C43" s="932">
        <f>MIN('PROD. QUÍM.'!C9:C38)</f>
        <v>271278</v>
      </c>
      <c r="D43" s="932">
        <f>MIN('PROD. QUÍM.'!D9:D38)</f>
        <v>35803.6</v>
      </c>
      <c r="E43" s="933">
        <f>MIN('PROD. QUÍM.'!E9:E16)</f>
        <v>66.47601613</v>
      </c>
      <c r="F43" s="933">
        <f>MIN('PROD. QUÍM.'!F9:F38)</f>
        <v>0</v>
      </c>
      <c r="G43" s="933" t="str">
        <f>MIN('PROD. QUÍM.'!G16:G39)</f>
        <v>#DIV/0!</v>
      </c>
      <c r="H43" s="932">
        <f>MIN('PROD. QUÍM.'!H9:H38)</f>
        <v>0</v>
      </c>
      <c r="I43" s="924" t="str">
        <f>'6'!$AF$37</f>
        <v/>
      </c>
      <c r="J43" s="932">
        <f>MIN('PROD. QUÍM.'!J9:J38)</f>
        <v>662.0833333</v>
      </c>
      <c r="K43" s="933">
        <f>MIN('PROD. QUÍM.'!K9:K38)</f>
        <v>2.306685527</v>
      </c>
      <c r="L43" s="932" t="s">
        <v>355</v>
      </c>
      <c r="M43" s="933">
        <f>MIN('PROD. QUÍM.'!M9:M38)</f>
        <v>2.741666667</v>
      </c>
    </row>
    <row r="44" ht="16.5" customHeight="1">
      <c r="A44" s="935" t="s">
        <v>356</v>
      </c>
      <c r="B44" s="571"/>
      <c r="C44" s="935" t="s">
        <v>93</v>
      </c>
      <c r="D44" s="570"/>
      <c r="E44" s="571"/>
      <c r="F44" s="935" t="s">
        <v>357</v>
      </c>
      <c r="G44" s="571"/>
      <c r="H44" s="935" t="s">
        <v>347</v>
      </c>
      <c r="I44" s="570"/>
      <c r="J44" s="570"/>
      <c r="K44" s="571"/>
      <c r="L44" s="936" t="s">
        <v>351</v>
      </c>
      <c r="M44" s="937"/>
    </row>
    <row r="45" ht="16.5" customHeight="1">
      <c r="A45" s="938" t="s">
        <v>358</v>
      </c>
      <c r="B45" s="571"/>
      <c r="C45" s="939">
        <v>0.0</v>
      </c>
      <c r="D45" s="570"/>
      <c r="E45" s="571"/>
      <c r="F45" s="939">
        <v>0.0</v>
      </c>
      <c r="G45" s="571"/>
      <c r="H45" s="939" t="str">
        <f>'6'!$AF$37</f>
        <v/>
      </c>
      <c r="I45" s="570"/>
      <c r="J45" s="570"/>
      <c r="K45" s="571"/>
      <c r="L45" s="936"/>
      <c r="M45" s="940"/>
    </row>
    <row r="46" ht="16.5" customHeight="1">
      <c r="A46" s="938" t="s">
        <v>122</v>
      </c>
      <c r="B46" s="571"/>
      <c r="C46" s="939">
        <f>RECEBIMENTO!$C$160</f>
        <v>571700</v>
      </c>
      <c r="D46" s="570"/>
      <c r="E46" s="571"/>
      <c r="F46" s="939">
        <f>RECEBIMENTO!$H$44</f>
        <v>0</v>
      </c>
      <c r="G46" s="571"/>
      <c r="H46" s="939">
        <f>RECEBIMENTO!$L$38</f>
        <v>74630</v>
      </c>
      <c r="I46" s="570"/>
      <c r="J46" s="570"/>
      <c r="K46" s="571"/>
      <c r="L46" s="936"/>
      <c r="M46" s="940"/>
    </row>
    <row r="47" ht="16.5" customHeight="1">
      <c r="A47" s="938" t="s">
        <v>359</v>
      </c>
      <c r="B47" s="571"/>
      <c r="C47" s="939">
        <f>'PROD. QUÍM.'!D40</f>
        <v>1319544.64</v>
      </c>
      <c r="D47" s="570"/>
      <c r="E47" s="571"/>
      <c r="F47" s="939">
        <f>'PROD. QUÍM.'!F40</f>
        <v>0</v>
      </c>
      <c r="G47" s="571"/>
      <c r="H47" s="939">
        <f>'PROD. QUÍM.'!J40</f>
        <v>68929.3305</v>
      </c>
      <c r="I47" s="570"/>
      <c r="J47" s="570"/>
      <c r="K47" s="571"/>
      <c r="L47" s="936"/>
      <c r="M47" s="940"/>
    </row>
    <row r="48" ht="16.5" customHeight="1">
      <c r="A48" s="938" t="s">
        <v>360</v>
      </c>
      <c r="B48" s="571"/>
      <c r="C48" s="941">
        <f>'PROD. QUÍM.'!C45+'PROD. QUÍM.'!C46-'PROD. QUÍM.'!C47</f>
        <v>-747844.64</v>
      </c>
      <c r="D48" s="570"/>
      <c r="E48" s="571"/>
      <c r="F48" s="939">
        <f>'PROD. QUÍM.'!F45+'PROD. QUÍM.'!F46-'PROD. QUÍM.'!F47</f>
        <v>0</v>
      </c>
      <c r="G48" s="571"/>
      <c r="H48" s="939">
        <f>'PROD. QUÍM.'!H45+'PROD. QUÍM.'!H46-'PROD. QUÍM.'!H47</f>
        <v>5700.669498</v>
      </c>
      <c r="I48" s="570"/>
      <c r="J48" s="570"/>
      <c r="K48" s="571"/>
      <c r="L48" s="936"/>
      <c r="M48" s="940"/>
    </row>
    <row r="49" ht="12.75" customHeight="1">
      <c r="A49" s="942" t="s">
        <v>361</v>
      </c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1"/>
    </row>
    <row r="50" ht="49.5" customHeight="1">
      <c r="A50" s="943"/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1"/>
    </row>
    <row r="51" ht="13.5" customHeight="1"/>
    <row r="52" ht="15.75" customHeight="1">
      <c r="C52" s="928"/>
      <c r="K52" s="944" t="s">
        <v>362</v>
      </c>
      <c r="L52" s="53"/>
      <c r="M52" s="522"/>
    </row>
    <row r="53" ht="16.5" customHeight="1">
      <c r="A53" s="945">
        <v>1.0</v>
      </c>
      <c r="C53" s="946" t="s">
        <v>356</v>
      </c>
      <c r="D53" s="947"/>
      <c r="E53" s="948" t="s">
        <v>93</v>
      </c>
      <c r="F53" s="127"/>
      <c r="G53" s="128"/>
      <c r="K53" s="133"/>
      <c r="L53" s="133"/>
      <c r="M53" s="61">
        <v>3.08333333333333</v>
      </c>
    </row>
    <row r="54" ht="16.5" customHeight="1">
      <c r="A54" s="945">
        <v>2.0</v>
      </c>
      <c r="C54" s="949" t="s">
        <v>358</v>
      </c>
      <c r="D54" s="128"/>
      <c r="E54" s="950" t="str">
        <f>#VALUE!</f>
        <v>#VALUE!</v>
      </c>
      <c r="F54" s="284"/>
      <c r="G54" s="621"/>
      <c r="K54" s="133"/>
      <c r="L54" s="133"/>
      <c r="M54" s="61">
        <v>3.05</v>
      </c>
    </row>
    <row r="55" ht="16.5" customHeight="1">
      <c r="A55" s="945">
        <v>3.0</v>
      </c>
      <c r="C55" s="949" t="s">
        <v>122</v>
      </c>
      <c r="D55" s="128"/>
      <c r="E55" s="951">
        <f>RECEBIMENTO!$C$44</f>
        <v>0</v>
      </c>
      <c r="F55" s="79"/>
      <c r="G55" s="627"/>
      <c r="K55" s="133"/>
      <c r="L55" s="133"/>
      <c r="M55" s="61">
        <v>2.99166666666667</v>
      </c>
    </row>
    <row r="56" ht="16.5" customHeight="1">
      <c r="A56" s="945">
        <v>4.0</v>
      </c>
      <c r="C56" s="949" t="s">
        <v>359</v>
      </c>
      <c r="D56" s="128"/>
      <c r="E56" s="951">
        <f>'PROD. QUÍM.'!D40</f>
        <v>1319544.64</v>
      </c>
      <c r="F56" s="79"/>
      <c r="G56" s="627"/>
      <c r="K56" s="133"/>
      <c r="L56" s="133"/>
      <c r="M56" s="61">
        <v>3.0</v>
      </c>
    </row>
    <row r="57" ht="16.5" customHeight="1">
      <c r="A57" s="945">
        <v>5.0</v>
      </c>
      <c r="C57" s="949" t="s">
        <v>360</v>
      </c>
      <c r="D57" s="128"/>
      <c r="E57" s="952" t="str">
        <f>SUM('PROD. QUÍM.'!E54:E55)-'PROD. QUÍM.'!E56</f>
        <v>#VALUE!</v>
      </c>
      <c r="F57" s="251"/>
      <c r="G57" s="612"/>
      <c r="K57" s="133"/>
      <c r="L57" s="133"/>
      <c r="M57" s="61">
        <v>3.13333333333333</v>
      </c>
    </row>
    <row r="58" ht="16.5" customHeight="1">
      <c r="A58" s="945">
        <v>6.0</v>
      </c>
      <c r="C58" s="953" t="s">
        <v>363</v>
      </c>
      <c r="D58" s="128"/>
      <c r="E58" s="954">
        <v>97215.0</v>
      </c>
      <c r="F58" s="127"/>
      <c r="G58" s="128"/>
      <c r="K58" s="133"/>
      <c r="L58" s="133"/>
      <c r="M58" s="61">
        <v>3.025</v>
      </c>
    </row>
    <row r="59" ht="15.75" customHeight="1">
      <c r="A59" s="945">
        <v>7.0</v>
      </c>
      <c r="C59" s="955"/>
      <c r="D59" s="11"/>
      <c r="K59" s="133"/>
      <c r="L59" s="133"/>
      <c r="M59" s="61">
        <v>3.36666666666667</v>
      </c>
    </row>
    <row r="60" ht="15.75" customHeight="1">
      <c r="A60" s="945">
        <v>8.0</v>
      </c>
      <c r="C60" s="928"/>
      <c r="K60" s="133"/>
      <c r="L60" s="133"/>
      <c r="M60" s="61">
        <v>2.94166666666667</v>
      </c>
    </row>
    <row r="61" ht="15.75" customHeight="1">
      <c r="A61" s="945">
        <v>9.0</v>
      </c>
      <c r="C61" s="928"/>
      <c r="K61" s="133"/>
      <c r="L61" s="133"/>
      <c r="M61" s="61">
        <v>3.34166666666667</v>
      </c>
    </row>
    <row r="62" ht="15.75" customHeight="1">
      <c r="A62" s="945">
        <v>10.0</v>
      </c>
      <c r="C62" s="928"/>
      <c r="K62" s="133"/>
      <c r="L62" s="133"/>
      <c r="M62" s="61">
        <v>3.31666666666667</v>
      </c>
    </row>
    <row r="63" ht="15.75" customHeight="1">
      <c r="A63" s="945">
        <v>11.0</v>
      </c>
      <c r="C63" s="928"/>
      <c r="K63" s="133"/>
      <c r="L63" s="133"/>
      <c r="M63" s="61">
        <v>3.1</v>
      </c>
    </row>
    <row r="64" ht="15.75" customHeight="1">
      <c r="A64" s="945">
        <v>12.0</v>
      </c>
      <c r="C64" s="928"/>
      <c r="K64" s="133"/>
      <c r="L64" s="133"/>
      <c r="M64" s="61">
        <v>3.25833333333333</v>
      </c>
    </row>
    <row r="65" ht="15.75" customHeight="1">
      <c r="A65" s="945">
        <v>13.0</v>
      </c>
      <c r="C65" s="928"/>
      <c r="K65" s="133"/>
      <c r="L65" s="133"/>
      <c r="M65" s="61">
        <v>3.01666666666667</v>
      </c>
    </row>
    <row r="66" ht="15.75" customHeight="1">
      <c r="A66" s="945">
        <v>14.0</v>
      </c>
      <c r="C66" s="928"/>
      <c r="K66" s="133"/>
      <c r="L66" s="133"/>
      <c r="M66" s="61">
        <v>3.025</v>
      </c>
    </row>
    <row r="67" ht="15.75" customHeight="1">
      <c r="A67" s="945">
        <v>15.0</v>
      </c>
      <c r="C67" s="928"/>
      <c r="K67" s="133"/>
      <c r="L67" s="133"/>
      <c r="M67" s="61">
        <v>3.15833333333333</v>
      </c>
    </row>
    <row r="68" ht="15.75" customHeight="1">
      <c r="A68" s="945">
        <v>16.0</v>
      </c>
      <c r="C68" s="928"/>
      <c r="K68" s="133"/>
      <c r="L68" s="133"/>
      <c r="M68" s="61"/>
    </row>
    <row r="69" ht="15.75" customHeight="1">
      <c r="A69" s="945">
        <v>17.0</v>
      </c>
      <c r="C69" s="928"/>
      <c r="K69" s="133"/>
      <c r="L69" s="133"/>
      <c r="M69" s="61"/>
    </row>
    <row r="70" ht="15.75" customHeight="1">
      <c r="A70" s="945">
        <v>18.0</v>
      </c>
      <c r="C70" s="928"/>
      <c r="K70" s="133"/>
      <c r="L70" s="133"/>
      <c r="M70" s="61"/>
    </row>
    <row r="71" ht="15.75" customHeight="1">
      <c r="A71" s="945">
        <v>19.0</v>
      </c>
      <c r="C71" s="928"/>
      <c r="K71" s="133"/>
      <c r="L71" s="133"/>
      <c r="M71" s="61"/>
    </row>
    <row r="72" ht="15.75" customHeight="1">
      <c r="A72" s="945">
        <v>20.0</v>
      </c>
      <c r="C72" s="928"/>
      <c r="K72" s="133"/>
      <c r="L72" s="133"/>
      <c r="M72" s="61"/>
    </row>
    <row r="73" ht="15.75" customHeight="1">
      <c r="A73" s="945">
        <v>21.0</v>
      </c>
      <c r="C73" s="928"/>
      <c r="K73" s="133"/>
      <c r="L73" s="133"/>
      <c r="M73" s="61"/>
    </row>
    <row r="74" ht="15.75" customHeight="1">
      <c r="A74" s="945">
        <v>22.0</v>
      </c>
      <c r="C74" s="928"/>
      <c r="K74" s="133"/>
      <c r="L74" s="133"/>
      <c r="M74" s="61"/>
    </row>
    <row r="75" ht="15.75" customHeight="1">
      <c r="A75" s="945">
        <v>23.0</v>
      </c>
      <c r="C75" s="928"/>
      <c r="K75" s="133"/>
      <c r="L75" s="133"/>
      <c r="M75" s="61"/>
    </row>
    <row r="76" ht="15.75" customHeight="1">
      <c r="A76" s="945">
        <v>24.0</v>
      </c>
      <c r="C76" s="928"/>
      <c r="K76" s="133"/>
      <c r="L76" s="133"/>
      <c r="M76" s="61"/>
    </row>
    <row r="77" ht="15.75" customHeight="1">
      <c r="A77" s="945">
        <v>25.0</v>
      </c>
      <c r="C77" s="928"/>
      <c r="K77" s="133"/>
      <c r="L77" s="133"/>
      <c r="M77" s="61"/>
    </row>
    <row r="78" ht="15.75" customHeight="1">
      <c r="A78" s="945">
        <v>26.0</v>
      </c>
      <c r="C78" s="928"/>
      <c r="K78" s="133"/>
      <c r="L78" s="133"/>
      <c r="M78" s="61"/>
    </row>
    <row r="79" ht="15.75" customHeight="1">
      <c r="A79" s="945">
        <v>27.0</v>
      </c>
      <c r="C79" s="928"/>
      <c r="K79" s="133"/>
      <c r="L79" s="133"/>
      <c r="M79" s="61"/>
    </row>
    <row r="80" ht="15.75" customHeight="1">
      <c r="A80" s="945">
        <v>28.0</v>
      </c>
      <c r="C80" s="928"/>
      <c r="K80" s="133"/>
      <c r="L80" s="133"/>
      <c r="M80" s="61"/>
    </row>
    <row r="81" ht="15.75" customHeight="1">
      <c r="A81" s="945">
        <v>29.0</v>
      </c>
      <c r="C81" s="928"/>
      <c r="K81" s="133"/>
      <c r="L81" s="133"/>
      <c r="M81" s="61"/>
    </row>
    <row r="82" ht="15.75" customHeight="1">
      <c r="A82" s="945">
        <v>30.0</v>
      </c>
      <c r="C82" s="928"/>
      <c r="K82" s="133"/>
      <c r="L82" s="133"/>
      <c r="M82" s="61"/>
    </row>
    <row r="83" ht="16.5" customHeight="1">
      <c r="A83" s="945">
        <v>31.0</v>
      </c>
      <c r="C83" s="928"/>
      <c r="K83" s="133"/>
      <c r="L83" s="133"/>
      <c r="M83" s="61"/>
    </row>
    <row r="84" ht="15.0" customHeight="1">
      <c r="C84" s="928"/>
      <c r="K84" s="956" t="s">
        <v>306</v>
      </c>
      <c r="L84" s="957" t="s">
        <v>298</v>
      </c>
      <c r="M84" s="958" t="s">
        <v>295</v>
      </c>
    </row>
    <row r="85" ht="15.0" customHeight="1">
      <c r="C85" s="928"/>
      <c r="K85" s="61">
        <f>MAX('PROD. QUÍM.'!M53:M83)</f>
        <v>3.366666667</v>
      </c>
      <c r="L85" s="61">
        <f>AVERAGE('PROD. QUÍM.'!M52:M83)</f>
        <v>3.120555556</v>
      </c>
      <c r="M85" s="61">
        <f>MIN('PROD. QUÍM.'!M53:M83)</f>
        <v>2.941666667</v>
      </c>
    </row>
    <row r="86" ht="15.0" customHeight="1">
      <c r="C86" s="928"/>
      <c r="K86" s="133"/>
      <c r="L86" s="61"/>
      <c r="M86" s="61"/>
    </row>
    <row r="87" ht="15.0" customHeight="1">
      <c r="C87" s="928"/>
      <c r="K87" s="133"/>
      <c r="L87" s="959" t="s">
        <v>246</v>
      </c>
      <c r="M87" s="61">
        <f>COUNTA('PROD. QUÍM.'!M53:M83)*12</f>
        <v>180</v>
      </c>
    </row>
    <row r="88" ht="15.0" customHeight="1">
      <c r="C88" s="928"/>
    </row>
    <row r="89" ht="15.0" customHeight="1">
      <c r="C89" s="928"/>
      <c r="M89" s="61"/>
    </row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9"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A44:B44"/>
    <mergeCell ref="C44:E44"/>
    <mergeCell ref="F44:G44"/>
    <mergeCell ref="H44:K44"/>
    <mergeCell ref="A45:B45"/>
    <mergeCell ref="H45:K45"/>
    <mergeCell ref="C45:E45"/>
    <mergeCell ref="F45:G45"/>
    <mergeCell ref="A46:B46"/>
    <mergeCell ref="C46:E46"/>
    <mergeCell ref="F46:G46"/>
    <mergeCell ref="H46:K46"/>
    <mergeCell ref="A47:B47"/>
    <mergeCell ref="H47:K47"/>
    <mergeCell ref="C47:E47"/>
    <mergeCell ref="F47:G47"/>
    <mergeCell ref="A48:B48"/>
    <mergeCell ref="C48:E48"/>
    <mergeCell ref="F48:G48"/>
    <mergeCell ref="H48:K48"/>
    <mergeCell ref="A49:M49"/>
    <mergeCell ref="C56:D56"/>
    <mergeCell ref="E56:G56"/>
    <mergeCell ref="C57:D57"/>
    <mergeCell ref="E57:G57"/>
    <mergeCell ref="C58:D58"/>
    <mergeCell ref="E58:G58"/>
    <mergeCell ref="C59:D59"/>
    <mergeCell ref="A50:M50"/>
    <mergeCell ref="K52:M52"/>
    <mergeCell ref="E53:G53"/>
    <mergeCell ref="C54:D54"/>
    <mergeCell ref="E54:G54"/>
    <mergeCell ref="C55:D55"/>
    <mergeCell ref="E55:G55"/>
  </mergeCells>
  <printOptions horizontalCentered="1" verticalCentered="1"/>
  <pageMargins bottom="0.39375" footer="0.0" header="0.0" left="0.196527777777778" right="0.196527777777778" top="0.393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57"/>
    <col customWidth="1" min="11" max="13" width="8.71"/>
    <col customWidth="1" min="14" max="48" width="8.57"/>
    <col customWidth="1" min="49" max="49" width="8.14"/>
    <col customWidth="1" min="50" max="56" width="8.57"/>
    <col customWidth="1" min="57" max="57" width="8.14"/>
    <col customWidth="1" min="58" max="60" width="8.57"/>
    <col customWidth="1" min="61" max="61" width="8.14"/>
  </cols>
  <sheetData>
    <row r="1" ht="34.5" customHeight="1">
      <c r="A1" s="960"/>
      <c r="B1" s="127"/>
      <c r="C1" s="960" t="s">
        <v>364</v>
      </c>
      <c r="D1" s="127"/>
      <c r="E1" s="127"/>
      <c r="F1" s="127"/>
      <c r="G1" s="127"/>
      <c r="H1" s="128"/>
      <c r="I1" s="961"/>
      <c r="J1" s="961"/>
      <c r="K1" s="961"/>
      <c r="L1" s="961"/>
      <c r="M1" s="961"/>
      <c r="N1" s="961"/>
      <c r="O1" s="961"/>
      <c r="P1" s="961"/>
      <c r="Q1" s="961"/>
      <c r="R1" s="961"/>
      <c r="S1" s="961"/>
      <c r="T1" s="961"/>
      <c r="U1" s="961"/>
      <c r="V1" s="961" t="s">
        <v>365</v>
      </c>
      <c r="W1" s="961"/>
      <c r="X1" s="961"/>
      <c r="Y1" s="961"/>
      <c r="Z1" s="961"/>
      <c r="AA1" s="961"/>
      <c r="AB1" s="961"/>
      <c r="AC1" s="961"/>
      <c r="AD1" s="961"/>
      <c r="AE1" s="961"/>
      <c r="AF1" s="961"/>
      <c r="AG1" s="961"/>
      <c r="AH1" s="961"/>
      <c r="AI1" s="961"/>
      <c r="AJ1" s="961"/>
      <c r="AK1" s="961"/>
      <c r="AL1" s="961"/>
      <c r="AM1" s="961"/>
      <c r="AN1" s="961"/>
      <c r="AO1" s="961"/>
      <c r="AP1" s="961"/>
      <c r="AQ1" s="961"/>
      <c r="AR1" s="961"/>
      <c r="AS1" s="961"/>
      <c r="AT1" s="961"/>
      <c r="AU1" s="961"/>
      <c r="AV1" s="961"/>
      <c r="AW1" s="961"/>
      <c r="AX1" s="961"/>
      <c r="AY1" s="962" t="s">
        <v>366</v>
      </c>
      <c r="AZ1" s="80"/>
      <c r="BA1" s="963">
        <f>'PROD. QUÍM.'!M3</f>
        <v>43922</v>
      </c>
      <c r="BB1" s="79"/>
      <c r="BC1" s="80"/>
      <c r="BD1" s="964"/>
      <c r="BE1" s="964"/>
      <c r="BF1" s="964"/>
      <c r="BG1" s="964"/>
      <c r="BH1" s="964"/>
      <c r="BI1" s="965"/>
    </row>
    <row r="2" ht="27.0" customHeight="1">
      <c r="A2" s="966"/>
      <c r="B2" s="967" t="s">
        <v>367</v>
      </c>
      <c r="C2" s="127"/>
      <c r="D2" s="127"/>
      <c r="E2" s="127"/>
      <c r="F2" s="127"/>
      <c r="G2" s="127"/>
      <c r="H2" s="128"/>
      <c r="I2" s="968" t="s">
        <v>368</v>
      </c>
      <c r="J2" s="284"/>
      <c r="K2" s="284"/>
      <c r="L2" s="621"/>
      <c r="M2" s="969" t="s">
        <v>369</v>
      </c>
      <c r="N2" s="621"/>
      <c r="O2" s="970" t="s">
        <v>370</v>
      </c>
      <c r="P2" s="285"/>
      <c r="Q2" s="971" t="s">
        <v>371</v>
      </c>
      <c r="R2" s="284"/>
      <c r="S2" s="621"/>
      <c r="T2" s="972" t="s">
        <v>372</v>
      </c>
      <c r="U2" s="284"/>
      <c r="V2" s="284"/>
      <c r="W2" s="284"/>
      <c r="X2" s="284"/>
      <c r="Y2" s="284"/>
      <c r="Z2" s="284"/>
      <c r="AA2" s="284"/>
      <c r="AB2" s="621"/>
      <c r="AC2" s="972" t="s">
        <v>249</v>
      </c>
      <c r="AD2" s="284"/>
      <c r="AE2" s="284"/>
      <c r="AF2" s="284"/>
      <c r="AG2" s="284"/>
      <c r="AH2" s="284"/>
      <c r="AI2" s="284"/>
      <c r="AJ2" s="284"/>
      <c r="AK2" s="284"/>
      <c r="AL2" s="284"/>
      <c r="AM2" s="284"/>
      <c r="AN2" s="621"/>
      <c r="AO2" s="973" t="s">
        <v>222</v>
      </c>
      <c r="AP2" s="284"/>
      <c r="AQ2" s="284"/>
      <c r="AR2" s="284"/>
      <c r="AS2" s="284"/>
      <c r="AT2" s="284"/>
      <c r="AU2" s="972" t="s">
        <v>373</v>
      </c>
      <c r="AV2" s="284"/>
      <c r="AW2" s="284"/>
      <c r="AX2" s="284"/>
      <c r="AY2" s="284"/>
      <c r="AZ2" s="284"/>
      <c r="BA2" s="284"/>
      <c r="BB2" s="284"/>
      <c r="BC2" s="621"/>
      <c r="BD2" s="974" t="s">
        <v>374</v>
      </c>
      <c r="BE2" s="284"/>
      <c r="BF2" s="621"/>
      <c r="BG2" s="975" t="s">
        <v>11</v>
      </c>
      <c r="BH2" s="11"/>
      <c r="BI2" s="12"/>
    </row>
    <row r="3" ht="33.75" customHeight="1">
      <c r="A3" s="976" t="s">
        <v>375</v>
      </c>
      <c r="B3" s="977" t="s">
        <v>376</v>
      </c>
      <c r="C3" s="978" t="s">
        <v>377</v>
      </c>
      <c r="D3" s="979" t="s">
        <v>378</v>
      </c>
      <c r="E3" s="980" t="s">
        <v>379</v>
      </c>
      <c r="F3" s="980" t="s">
        <v>380</v>
      </c>
      <c r="G3" s="981" t="s">
        <v>381</v>
      </c>
      <c r="H3" s="982" t="s">
        <v>382</v>
      </c>
      <c r="I3" s="983" t="s">
        <v>376</v>
      </c>
      <c r="J3" s="984" t="s">
        <v>379</v>
      </c>
      <c r="K3" s="984" t="s">
        <v>383</v>
      </c>
      <c r="L3" s="985" t="s">
        <v>384</v>
      </c>
      <c r="M3" s="986" t="s">
        <v>385</v>
      </c>
      <c r="N3" s="987" t="s">
        <v>386</v>
      </c>
      <c r="O3" s="988" t="s">
        <v>376</v>
      </c>
      <c r="P3" s="989" t="s">
        <v>387</v>
      </c>
      <c r="Q3" s="990" t="s">
        <v>376</v>
      </c>
      <c r="R3" s="991" t="s">
        <v>387</v>
      </c>
      <c r="S3" s="992" t="s">
        <v>388</v>
      </c>
      <c r="T3" s="993" t="s">
        <v>223</v>
      </c>
      <c r="U3" s="79"/>
      <c r="V3" s="80"/>
      <c r="W3" s="994" t="s">
        <v>389</v>
      </c>
      <c r="X3" s="79"/>
      <c r="Y3" s="80"/>
      <c r="Z3" s="994" t="s">
        <v>225</v>
      </c>
      <c r="AA3" s="79"/>
      <c r="AB3" s="627"/>
      <c r="AC3" s="993" t="s">
        <v>223</v>
      </c>
      <c r="AD3" s="79"/>
      <c r="AE3" s="80"/>
      <c r="AF3" s="994" t="s">
        <v>389</v>
      </c>
      <c r="AG3" s="79"/>
      <c r="AH3" s="80"/>
      <c r="AI3" s="994" t="s">
        <v>225</v>
      </c>
      <c r="AJ3" s="79"/>
      <c r="AK3" s="627"/>
      <c r="AL3" s="994" t="s">
        <v>226</v>
      </c>
      <c r="AM3" s="79"/>
      <c r="AN3" s="627"/>
      <c r="AO3" s="995" t="s">
        <v>223</v>
      </c>
      <c r="AP3" s="79"/>
      <c r="AQ3" s="80"/>
      <c r="AR3" s="994" t="s">
        <v>225</v>
      </c>
      <c r="AS3" s="79"/>
      <c r="AT3" s="79"/>
      <c r="AU3" s="993" t="s">
        <v>223</v>
      </c>
      <c r="AV3" s="79"/>
      <c r="AW3" s="80"/>
      <c r="AX3" s="994" t="s">
        <v>224</v>
      </c>
      <c r="AY3" s="79"/>
      <c r="AZ3" s="80"/>
      <c r="BA3" s="994" t="s">
        <v>225</v>
      </c>
      <c r="BB3" s="79"/>
      <c r="BC3" s="627"/>
      <c r="BD3" s="996" t="s">
        <v>225</v>
      </c>
      <c r="BE3" s="35"/>
      <c r="BF3" s="36"/>
      <c r="BG3" s="997"/>
      <c r="BH3" s="53"/>
      <c r="BI3" s="205"/>
    </row>
    <row r="4" ht="50.25" customHeight="1">
      <c r="A4" s="43"/>
      <c r="B4" s="998"/>
      <c r="C4" s="44"/>
      <c r="D4" s="44"/>
      <c r="E4" s="44"/>
      <c r="F4" s="44"/>
      <c r="G4" s="44"/>
      <c r="H4" s="999"/>
      <c r="I4" s="1000"/>
      <c r="J4" s="44"/>
      <c r="K4" s="44"/>
      <c r="L4" s="999"/>
      <c r="M4" s="999"/>
      <c r="N4" s="999"/>
      <c r="O4" s="45"/>
      <c r="P4" s="44"/>
      <c r="Q4" s="1001"/>
      <c r="R4" s="545"/>
      <c r="S4" s="733"/>
      <c r="T4" s="1002" t="s">
        <v>390</v>
      </c>
      <c r="U4" s="991" t="s">
        <v>391</v>
      </c>
      <c r="V4" s="991" t="s">
        <v>392</v>
      </c>
      <c r="W4" s="991" t="s">
        <v>390</v>
      </c>
      <c r="X4" s="991" t="s">
        <v>391</v>
      </c>
      <c r="Y4" s="991" t="s">
        <v>392</v>
      </c>
      <c r="Z4" s="991" t="s">
        <v>390</v>
      </c>
      <c r="AA4" s="991" t="s">
        <v>391</v>
      </c>
      <c r="AB4" s="1003" t="s">
        <v>392</v>
      </c>
      <c r="AC4" s="1002" t="s">
        <v>390</v>
      </c>
      <c r="AD4" s="991" t="s">
        <v>391</v>
      </c>
      <c r="AE4" s="991" t="s">
        <v>392</v>
      </c>
      <c r="AF4" s="991" t="s">
        <v>390</v>
      </c>
      <c r="AG4" s="991" t="s">
        <v>391</v>
      </c>
      <c r="AH4" s="991" t="s">
        <v>392</v>
      </c>
      <c r="AI4" s="991" t="s">
        <v>390</v>
      </c>
      <c r="AJ4" s="991" t="s">
        <v>391</v>
      </c>
      <c r="AK4" s="991" t="s">
        <v>392</v>
      </c>
      <c r="AL4" s="991" t="s">
        <v>390</v>
      </c>
      <c r="AM4" s="991" t="s">
        <v>391</v>
      </c>
      <c r="AN4" s="1003" t="s">
        <v>392</v>
      </c>
      <c r="AO4" s="990" t="s">
        <v>390</v>
      </c>
      <c r="AP4" s="991" t="s">
        <v>391</v>
      </c>
      <c r="AQ4" s="991" t="s">
        <v>392</v>
      </c>
      <c r="AR4" s="991" t="s">
        <v>390</v>
      </c>
      <c r="AS4" s="991" t="s">
        <v>391</v>
      </c>
      <c r="AT4" s="1004" t="s">
        <v>392</v>
      </c>
      <c r="AU4" s="1002" t="s">
        <v>390</v>
      </c>
      <c r="AV4" s="991" t="s">
        <v>391</v>
      </c>
      <c r="AW4" s="991" t="s">
        <v>392</v>
      </c>
      <c r="AX4" s="991" t="s">
        <v>390</v>
      </c>
      <c r="AY4" s="991" t="s">
        <v>391</v>
      </c>
      <c r="AZ4" s="991" t="s">
        <v>392</v>
      </c>
      <c r="BA4" s="1005" t="s">
        <v>390</v>
      </c>
      <c r="BB4" s="1005" t="s">
        <v>391</v>
      </c>
      <c r="BC4" s="1006" t="s">
        <v>392</v>
      </c>
      <c r="BD4" s="1007" t="s">
        <v>390</v>
      </c>
      <c r="BE4" s="1008" t="s">
        <v>230</v>
      </c>
      <c r="BF4" s="1009" t="s">
        <v>229</v>
      </c>
      <c r="BG4" s="1010" t="s">
        <v>390</v>
      </c>
      <c r="BH4" s="1011" t="s">
        <v>230</v>
      </c>
      <c r="BI4" s="1012" t="s">
        <v>393</v>
      </c>
    </row>
    <row r="5" ht="15.75" customHeight="1">
      <c r="A5" s="1013" t="s">
        <v>394</v>
      </c>
      <c r="B5" s="1014">
        <f>'Parte3 '!V39</f>
        <v>372</v>
      </c>
      <c r="C5" s="1015">
        <f>'Parte3 '!V40</f>
        <v>364</v>
      </c>
      <c r="D5" s="1015">
        <f>'Parte3 '!W40</f>
        <v>364</v>
      </c>
      <c r="E5" s="1016">
        <f>'Parte3 '!X40</f>
        <v>364</v>
      </c>
      <c r="F5" s="1017">
        <f>'Parte3 '!Y40</f>
        <v>363</v>
      </c>
      <c r="G5" s="1018">
        <f>'Parte3 '!AC40</f>
        <v>364</v>
      </c>
      <c r="H5" s="1019">
        <f>'Parte3 '!AD40</f>
        <v>364</v>
      </c>
      <c r="I5" s="1020">
        <f>'Parte3 '!Z39</f>
        <v>372</v>
      </c>
      <c r="J5" s="1021">
        <f>'Parte3 '!Z40</f>
        <v>363</v>
      </c>
      <c r="K5" s="1022">
        <f>'Parte3 '!AA40</f>
        <v>175</v>
      </c>
      <c r="L5" s="1023">
        <f>'Parte3 '!AB40</f>
        <v>164</v>
      </c>
      <c r="M5" s="1024">
        <f>'Parte3 '!AE39</f>
        <v>372</v>
      </c>
      <c r="N5" s="1024">
        <f>'Parte3 '!AF40</f>
        <v>364</v>
      </c>
      <c r="O5" s="1025">
        <f>'Parte3 '!AG39</f>
        <v>8</v>
      </c>
      <c r="P5" s="1026">
        <f>'Parte3 '!AG40</f>
        <v>16</v>
      </c>
      <c r="Q5" s="1027"/>
      <c r="R5" s="1028"/>
      <c r="S5" s="1029"/>
      <c r="T5" s="1030">
        <f>'Parte 1'!B39</f>
        <v>325</v>
      </c>
      <c r="U5" s="1030">
        <f>'Parte 1'!C39</f>
        <v>60</v>
      </c>
      <c r="V5" s="1030">
        <f>'Parte 1'!D39</f>
        <v>165.0236111</v>
      </c>
      <c r="W5" s="1031"/>
      <c r="X5" s="1031"/>
      <c r="Y5" s="1032"/>
      <c r="Z5" s="1033">
        <f>'Parte 1'!H39</f>
        <v>13</v>
      </c>
      <c r="AA5" s="1033">
        <f>'Parte 1'!I39</f>
        <v>2</v>
      </c>
      <c r="AB5" s="1033">
        <f>'Parte 1'!J39</f>
        <v>5.905833333</v>
      </c>
      <c r="AC5" s="1033">
        <f>'Parte 1'!K39</f>
        <v>264</v>
      </c>
      <c r="AD5" s="1033">
        <f>'Parte 1'!L39</f>
        <v>5</v>
      </c>
      <c r="AE5" s="1033">
        <f>'Parte 1'!M39</f>
        <v>49.57181818</v>
      </c>
      <c r="AF5" s="1034"/>
      <c r="AG5" s="1034"/>
      <c r="AH5" s="1035"/>
      <c r="AI5" s="1033">
        <f>'Parte 1'!Q39</f>
        <v>10</v>
      </c>
      <c r="AJ5" s="1033">
        <f>'Parte 1'!R39</f>
        <v>0.3</v>
      </c>
      <c r="AK5" s="1033">
        <f>'Parte 1'!S39</f>
        <v>0.6032979798</v>
      </c>
      <c r="AL5" s="1033">
        <f>'Parte 1'!T39</f>
        <v>1.5</v>
      </c>
      <c r="AM5" s="1033">
        <f>'Parte 1'!U39</f>
        <v>0.4</v>
      </c>
      <c r="AN5" s="1033">
        <f>'Parte 1'!V39</f>
        <v>0.6413131313</v>
      </c>
      <c r="AO5" s="1033">
        <f>'Parte 1'!W39</f>
        <v>7.2</v>
      </c>
      <c r="AP5" s="1033">
        <f>'Parte 1'!X39</f>
        <v>6</v>
      </c>
      <c r="AQ5" s="1033">
        <f>'Parte 1'!Y39</f>
        <v>6.890858586</v>
      </c>
      <c r="AR5" s="1033">
        <f>'Parte 1'!AC39</f>
        <v>6.52</v>
      </c>
      <c r="AS5" s="1033">
        <f>'Parte 1'!AD39</f>
        <v>6</v>
      </c>
      <c r="AT5" s="1033">
        <f>'Parte 1'!AE39</f>
        <v>6.152166667</v>
      </c>
      <c r="AU5" s="1036">
        <f>'Parte3 '!B36</f>
        <v>60.2</v>
      </c>
      <c r="AV5" s="1036">
        <f>'Parte3 '!B39</f>
        <v>54.2</v>
      </c>
      <c r="AW5" s="1036">
        <f>'Parte3 '!B40</f>
        <v>60.17666667</v>
      </c>
      <c r="AX5" s="1036">
        <f>'Parte3 '!C38</f>
        <v>54.2</v>
      </c>
      <c r="AY5" s="1036">
        <f>'Parte3 '!C39</f>
        <v>22.1</v>
      </c>
      <c r="AZ5" s="1036">
        <f>'Parte3 '!C40</f>
        <v>33.47666667</v>
      </c>
      <c r="BA5" s="1037">
        <f>'Parte3 '!D38</f>
        <v>36.1</v>
      </c>
      <c r="BB5" s="1037">
        <f>'Parte3 '!D39</f>
        <v>18.1</v>
      </c>
      <c r="BC5" s="1038">
        <f>'Parte3 '!D40</f>
        <v>25.87</v>
      </c>
      <c r="BD5" s="1039">
        <f>MAX('Parte3 '!AH7:AH37)</f>
        <v>0.15</v>
      </c>
      <c r="BE5" s="1040">
        <f>MIN('Parte3 '!AH7:AH37)</f>
        <v>0.1</v>
      </c>
      <c r="BF5" s="1040">
        <f>AVERAGE('Parte3 '!AH7:AH37)</f>
        <v>0.1346153846</v>
      </c>
      <c r="BG5" s="1041">
        <f>MAX('PROD. QUÍM.'!M9:M37)</f>
        <v>5.6</v>
      </c>
      <c r="BH5" s="1042">
        <f>MIN('PROD. QUÍM.'!M9:M37)</f>
        <v>2.741666667</v>
      </c>
      <c r="BI5" s="1043">
        <f>AVERAGE('PROD. QUÍM.'!M9:M37)</f>
        <v>3.492868339</v>
      </c>
    </row>
    <row r="6" ht="15.75" customHeight="1">
      <c r="A6" s="1044" t="s">
        <v>129</v>
      </c>
      <c r="B6" s="1045">
        <f>'Controle qualidade GQL '!B5</f>
        <v>372</v>
      </c>
      <c r="C6" s="1046">
        <f>'Controle qualidade GQL '!C5</f>
        <v>364</v>
      </c>
      <c r="D6" s="1046">
        <f>'Controle qualidade GQL '!D5</f>
        <v>364</v>
      </c>
      <c r="E6" s="1047">
        <f>'Controle qualidade GQL '!E5</f>
        <v>364</v>
      </c>
      <c r="F6" s="1047">
        <f>'Controle qualidade GQL '!F5</f>
        <v>363</v>
      </c>
      <c r="G6" s="1048">
        <f>'Controle qualidade GQL '!G5</f>
        <v>364</v>
      </c>
      <c r="H6" s="1048">
        <f>'Controle qualidade GQL '!H5</f>
        <v>364</v>
      </c>
      <c r="I6" s="1049">
        <f>'Controle qualidade GQL '!I5</f>
        <v>372</v>
      </c>
      <c r="J6" s="1049">
        <f>'Controle qualidade GQL '!J5</f>
        <v>363</v>
      </c>
      <c r="K6" s="1049">
        <f>'Controle qualidade GQL '!K5</f>
        <v>175</v>
      </c>
      <c r="L6" s="1050">
        <f>'Controle qualidade GQL '!L5</f>
        <v>164</v>
      </c>
      <c r="M6" s="1051">
        <f t="shared" ref="M6:N6" si="1">M5</f>
        <v>372</v>
      </c>
      <c r="N6" s="1051">
        <f t="shared" si="1"/>
        <v>364</v>
      </c>
      <c r="O6" s="1025">
        <f>'Controle qualidade GQL '!O5</f>
        <v>8</v>
      </c>
      <c r="P6" s="1052">
        <f>'Controle qualidade GQL '!P5</f>
        <v>16</v>
      </c>
      <c r="Q6" s="1053"/>
      <c r="R6" s="1054"/>
      <c r="S6" s="1055"/>
      <c r="T6" s="1056"/>
      <c r="U6" s="1057"/>
      <c r="V6" s="1057"/>
      <c r="W6" s="1058"/>
      <c r="X6" s="1058"/>
      <c r="Y6" s="1058"/>
      <c r="Z6" s="1058"/>
      <c r="AA6" s="1058"/>
      <c r="AB6" s="1059"/>
      <c r="AC6" s="1060"/>
      <c r="AD6" s="1058"/>
      <c r="AE6" s="1058"/>
      <c r="AF6" s="1058"/>
      <c r="AG6" s="1058"/>
      <c r="AH6" s="1058"/>
      <c r="AI6" s="1058"/>
      <c r="AJ6" s="1058"/>
      <c r="AK6" s="1058"/>
      <c r="AL6" s="1058"/>
      <c r="AM6" s="1058"/>
      <c r="AN6" s="1059"/>
      <c r="AO6" s="1060"/>
      <c r="AP6" s="1058"/>
      <c r="AQ6" s="1058"/>
      <c r="AR6" s="1058"/>
      <c r="AS6" s="1058"/>
      <c r="AT6" s="1059"/>
      <c r="AU6" s="1060"/>
      <c r="AV6" s="1058"/>
      <c r="AW6" s="1058"/>
      <c r="AX6" s="1058"/>
      <c r="AY6" s="1058"/>
      <c r="AZ6" s="1058"/>
      <c r="BA6" s="1058"/>
      <c r="BB6" s="1058"/>
      <c r="BC6" s="1059"/>
      <c r="BD6" s="1060"/>
      <c r="BE6" s="1058"/>
      <c r="BF6" s="1059"/>
      <c r="BG6" s="1060"/>
      <c r="BH6" s="1058"/>
      <c r="BI6" s="1059"/>
    </row>
    <row r="7" ht="15.0" customHeight="1">
      <c r="A7" s="1061" t="s">
        <v>395</v>
      </c>
      <c r="B7" s="1062"/>
      <c r="C7" s="1062"/>
      <c r="D7" s="1062"/>
      <c r="E7" s="1062"/>
      <c r="F7" s="1062"/>
      <c r="G7" s="1063"/>
      <c r="H7" s="1063"/>
      <c r="I7" s="1063"/>
      <c r="J7" s="1063"/>
      <c r="K7" s="1063"/>
      <c r="L7" s="1063"/>
      <c r="M7" s="1063"/>
      <c r="N7" s="1063"/>
      <c r="O7" s="1063"/>
      <c r="P7" s="1063"/>
      <c r="Q7" s="1063"/>
      <c r="R7" s="1063"/>
      <c r="S7" s="1062"/>
      <c r="T7" s="1062"/>
      <c r="U7" s="1062"/>
      <c r="V7" s="1062"/>
      <c r="W7" s="1062"/>
      <c r="X7" s="1062"/>
      <c r="Y7" s="97"/>
      <c r="Z7" s="97"/>
      <c r="AA7" s="97"/>
      <c r="AB7" s="97"/>
      <c r="AC7" s="97"/>
      <c r="AD7" s="1062"/>
      <c r="AE7" s="1062"/>
      <c r="AF7" s="1062"/>
      <c r="AG7" s="1062"/>
      <c r="AH7" s="1062"/>
      <c r="AI7" s="1062"/>
      <c r="AJ7" s="1062"/>
      <c r="AK7" s="1062"/>
      <c r="AL7" s="1062"/>
      <c r="AM7" s="1062"/>
      <c r="AN7" s="1062"/>
      <c r="AO7" s="1062"/>
      <c r="AP7" s="1062"/>
      <c r="AQ7" s="1062"/>
      <c r="AR7" s="1062"/>
      <c r="AS7" s="1062"/>
      <c r="AT7" s="1062"/>
      <c r="AU7" s="1062"/>
      <c r="AV7" s="1062"/>
      <c r="AW7" s="1062"/>
      <c r="AX7" s="1062"/>
      <c r="AY7" s="1062"/>
      <c r="AZ7" s="1062"/>
      <c r="BA7" s="1062"/>
      <c r="BB7" s="1062"/>
      <c r="BC7" s="1062"/>
      <c r="BD7" s="1062"/>
      <c r="BE7" s="1062"/>
      <c r="BF7" s="1062"/>
      <c r="BG7" s="1062"/>
      <c r="BH7" s="1062"/>
      <c r="BI7" s="1064"/>
    </row>
    <row r="8" ht="15.0" customHeight="1">
      <c r="A8" s="1061" t="s">
        <v>396</v>
      </c>
      <c r="B8" s="1062"/>
      <c r="C8" s="1062"/>
      <c r="D8" s="1062"/>
      <c r="E8" s="1062"/>
      <c r="F8" s="1062"/>
      <c r="G8" s="1062"/>
      <c r="H8" s="1062"/>
      <c r="I8" s="1062"/>
      <c r="J8" s="1062"/>
      <c r="K8" s="1062"/>
      <c r="L8" s="1062"/>
      <c r="M8" s="1062"/>
      <c r="N8" s="1062"/>
      <c r="O8" s="1062"/>
      <c r="P8" s="1062"/>
      <c r="Q8" s="1062"/>
      <c r="R8" s="1062"/>
      <c r="S8" s="1062"/>
      <c r="T8" s="1062"/>
      <c r="U8" s="1062"/>
      <c r="V8" s="1062"/>
      <c r="W8" s="1062"/>
      <c r="X8" s="1062"/>
      <c r="Y8" s="97"/>
      <c r="Z8" s="97"/>
      <c r="AA8" s="97"/>
      <c r="AB8" s="97"/>
      <c r="AC8" s="97"/>
      <c r="AD8" s="1062"/>
      <c r="AE8" s="1062"/>
      <c r="AF8" s="1062"/>
      <c r="AG8" s="1062"/>
      <c r="AH8" s="1062"/>
      <c r="AI8" s="1062"/>
      <c r="AJ8" s="1062"/>
      <c r="AK8" s="1062"/>
      <c r="AL8" s="1062"/>
      <c r="AM8" s="1062"/>
      <c r="AN8" s="1062"/>
      <c r="AO8" s="1062"/>
      <c r="AP8" s="1062"/>
      <c r="AQ8" s="1062"/>
      <c r="AR8" s="1062"/>
      <c r="AS8" s="1062"/>
      <c r="AT8" s="1062"/>
      <c r="AU8" s="1062"/>
      <c r="AV8" s="1062"/>
      <c r="AW8" s="1062"/>
      <c r="AX8" s="1062"/>
      <c r="AY8" s="1062"/>
      <c r="AZ8" s="1062"/>
      <c r="BA8" s="1062"/>
      <c r="BB8" s="1062"/>
      <c r="BC8" s="1062"/>
      <c r="BD8" s="1062"/>
      <c r="BE8" s="1062"/>
      <c r="BF8" s="1062"/>
      <c r="BG8" s="1062"/>
      <c r="BH8" s="1062"/>
      <c r="BI8" s="1064"/>
    </row>
    <row r="9" ht="15.0" customHeight="1">
      <c r="A9" s="1065" t="s">
        <v>397</v>
      </c>
      <c r="B9" s="1062"/>
      <c r="C9" s="1062"/>
      <c r="D9" s="1062"/>
      <c r="E9" s="1062"/>
      <c r="F9" s="1062"/>
      <c r="G9" s="1062"/>
      <c r="H9" s="1062"/>
      <c r="I9" s="1062"/>
      <c r="J9" s="1062"/>
      <c r="K9" s="1062"/>
      <c r="L9" s="1062"/>
      <c r="M9" s="1062"/>
      <c r="N9" s="1062"/>
      <c r="O9" s="1062"/>
      <c r="P9" s="1062"/>
      <c r="Q9" s="1062"/>
      <c r="R9" s="1062"/>
      <c r="S9" s="1062"/>
      <c r="T9" s="1062"/>
      <c r="U9" s="1062"/>
      <c r="V9" s="1062"/>
      <c r="W9" s="1062"/>
      <c r="X9" s="1062"/>
      <c r="Y9" s="97"/>
      <c r="Z9" s="97"/>
      <c r="AA9" s="97"/>
      <c r="AB9" s="97"/>
      <c r="AC9" s="97"/>
      <c r="AD9" s="1062"/>
      <c r="AE9" s="1062"/>
      <c r="AF9" s="1062"/>
      <c r="AG9" s="1062"/>
      <c r="AH9" s="1062"/>
      <c r="AI9" s="1062"/>
      <c r="AJ9" s="1062"/>
      <c r="AK9" s="1062"/>
      <c r="AL9" s="1062"/>
      <c r="AM9" s="1062"/>
      <c r="AN9" s="1062"/>
      <c r="AO9" s="1062"/>
      <c r="AP9" s="1062"/>
      <c r="AQ9" s="1062"/>
      <c r="AR9" s="1062"/>
      <c r="AS9" s="1062"/>
      <c r="AT9" s="1062"/>
      <c r="AU9" s="1062"/>
      <c r="AV9" s="1062"/>
      <c r="AW9" s="1062"/>
      <c r="AX9" s="1062"/>
      <c r="AY9" s="1062"/>
      <c r="AZ9" s="1062"/>
      <c r="BA9" s="1066"/>
      <c r="BB9" s="1062"/>
      <c r="BC9" s="1067"/>
      <c r="BD9" s="1067"/>
      <c r="BE9" s="1067"/>
      <c r="BF9" s="1062"/>
      <c r="BG9" s="1067"/>
      <c r="BH9" s="1067"/>
      <c r="BI9" s="1064"/>
    </row>
    <row r="10" ht="15.0" customHeight="1">
      <c r="A10" s="1061"/>
      <c r="B10" s="1062"/>
      <c r="C10" s="1062"/>
      <c r="D10" s="1062"/>
      <c r="E10" s="1062"/>
      <c r="F10" s="1062"/>
      <c r="G10" s="1062"/>
      <c r="H10" s="1062"/>
      <c r="I10" s="1062"/>
      <c r="J10" s="1062"/>
      <c r="K10" s="1062"/>
      <c r="L10" s="1062"/>
      <c r="M10" s="1062"/>
      <c r="N10" s="1062"/>
      <c r="O10" s="1062"/>
      <c r="P10" s="1062"/>
      <c r="Q10" s="1062"/>
      <c r="R10" s="1062"/>
      <c r="S10" s="1062"/>
      <c r="T10" s="1062"/>
      <c r="U10" s="1062"/>
      <c r="V10" s="1062"/>
      <c r="W10" s="1062"/>
      <c r="X10" s="1062"/>
      <c r="Y10" s="97"/>
      <c r="Z10" s="97"/>
      <c r="AA10" s="97"/>
      <c r="AB10" s="97"/>
      <c r="AC10" s="97"/>
      <c r="AD10" s="1062"/>
      <c r="AE10" s="1062"/>
      <c r="AF10" s="1062"/>
      <c r="AG10" s="1062"/>
      <c r="AH10" s="1062"/>
      <c r="AI10" s="1062"/>
      <c r="AJ10" s="1062"/>
      <c r="AK10" s="1062"/>
      <c r="AL10" s="1062"/>
      <c r="AM10" s="1062"/>
      <c r="AN10" s="1062"/>
      <c r="AO10" s="1062"/>
      <c r="AP10" s="1062"/>
      <c r="AQ10" s="1062"/>
      <c r="AR10" s="1062"/>
      <c r="AS10" s="1062"/>
      <c r="AT10" s="1062"/>
      <c r="AU10" s="1062"/>
      <c r="AV10" s="1062"/>
      <c r="AW10" s="1062"/>
      <c r="AX10" s="1062"/>
      <c r="AY10" s="1062"/>
      <c r="AZ10" s="1062"/>
      <c r="BA10" s="1062"/>
      <c r="BB10" s="1062"/>
      <c r="BC10" s="1062"/>
      <c r="BD10" s="1062"/>
      <c r="BE10" s="1062"/>
      <c r="BF10" s="1062"/>
      <c r="BG10" s="1062"/>
      <c r="BH10" s="1062"/>
      <c r="BI10" s="1064"/>
    </row>
    <row r="11" ht="15.0" customHeight="1">
      <c r="A11" s="1068" t="s">
        <v>398</v>
      </c>
      <c r="B11" s="1062"/>
      <c r="C11" s="1062"/>
      <c r="D11" s="1062"/>
      <c r="E11" s="1062"/>
      <c r="F11" s="1062"/>
      <c r="G11" s="1062"/>
      <c r="H11" s="1062"/>
      <c r="I11" s="1062"/>
      <c r="J11" s="1062"/>
      <c r="K11" s="1062"/>
      <c r="L11" s="1062"/>
      <c r="M11" s="1062"/>
      <c r="N11" s="1062"/>
      <c r="O11" s="1062"/>
      <c r="P11" s="1062"/>
      <c r="Q11" s="1062"/>
      <c r="R11" s="1062"/>
      <c r="S11" s="1062"/>
      <c r="T11" s="1062"/>
      <c r="U11" s="1062"/>
      <c r="V11" s="1062"/>
      <c r="W11" s="1062"/>
      <c r="X11" s="1062"/>
      <c r="Y11" s="97"/>
      <c r="Z11" s="97"/>
      <c r="AA11" s="97"/>
      <c r="AB11" s="97"/>
      <c r="AC11" s="97"/>
      <c r="AD11" s="1062"/>
      <c r="AE11" s="1062"/>
      <c r="AF11" s="1062"/>
      <c r="AG11" s="1062"/>
      <c r="AH11" s="1062"/>
      <c r="AI11" s="1062"/>
      <c r="AJ11" s="1062"/>
      <c r="AK11" s="1062"/>
      <c r="AL11" s="1062"/>
      <c r="AM11" s="1062"/>
      <c r="AN11" s="1062"/>
      <c r="AO11" s="1062"/>
      <c r="AP11" s="1062"/>
      <c r="AQ11" s="1062"/>
      <c r="AR11" s="1062"/>
      <c r="AS11" s="1062"/>
      <c r="AT11" s="1062"/>
      <c r="AU11" s="1062"/>
      <c r="AV11" s="1062"/>
      <c r="AW11" s="1062"/>
      <c r="AX11" s="1062"/>
      <c r="AY11" s="1062"/>
      <c r="AZ11" s="1062"/>
      <c r="BA11" s="1062"/>
      <c r="BB11" s="1062"/>
      <c r="BC11" s="1062"/>
      <c r="BD11" s="1062"/>
      <c r="BE11" s="1062"/>
      <c r="BF11" s="1062"/>
      <c r="BG11" s="1062"/>
      <c r="BH11" s="1062"/>
      <c r="BI11" s="1064"/>
    </row>
    <row r="12" ht="15.0" customHeight="1">
      <c r="A12" s="1068" t="s">
        <v>399</v>
      </c>
      <c r="B12" s="1062"/>
      <c r="C12" s="1062"/>
      <c r="D12" s="1062"/>
      <c r="E12" s="1062"/>
      <c r="F12" s="1062"/>
      <c r="G12" s="1062"/>
      <c r="H12" s="1062"/>
      <c r="I12" s="1062"/>
      <c r="J12" s="1062"/>
      <c r="K12" s="1062"/>
      <c r="L12" s="1062"/>
      <c r="M12" s="1062"/>
      <c r="N12" s="1062"/>
      <c r="O12" s="1062"/>
      <c r="P12" s="1062"/>
      <c r="Q12" s="1062"/>
      <c r="R12" s="1062"/>
      <c r="S12" s="1062"/>
      <c r="T12" s="1069"/>
      <c r="U12" s="1069"/>
      <c r="V12" s="1070"/>
      <c r="W12" s="1070"/>
      <c r="X12" s="1071"/>
      <c r="Y12" s="97"/>
      <c r="Z12" s="97"/>
      <c r="AA12" s="97"/>
      <c r="AB12" s="97"/>
      <c r="AC12" s="97"/>
      <c r="AD12" s="1062"/>
      <c r="AE12" s="1062"/>
      <c r="AF12" s="1062"/>
      <c r="AG12" s="1062"/>
      <c r="AH12" s="1062"/>
      <c r="AI12" s="1062"/>
      <c r="AJ12" s="1062"/>
      <c r="AK12" s="1062"/>
      <c r="AL12" s="1062"/>
      <c r="AM12" s="1062"/>
      <c r="AN12" s="1062"/>
      <c r="AO12" s="1062"/>
      <c r="AP12" s="1062"/>
      <c r="AQ12" s="1062"/>
      <c r="AR12" s="1062"/>
      <c r="AS12" s="1062"/>
      <c r="AT12" s="1062"/>
      <c r="AU12" s="1062"/>
      <c r="AV12" s="1062"/>
      <c r="AW12" s="1062"/>
      <c r="AX12" s="1062"/>
      <c r="AY12" s="1062"/>
      <c r="AZ12" s="1062"/>
      <c r="BA12" s="1062"/>
      <c r="BB12" s="1062"/>
      <c r="BC12" s="1062"/>
      <c r="BD12" s="1062"/>
      <c r="BE12" s="1062"/>
      <c r="BF12" s="1062"/>
      <c r="BG12" s="1062"/>
      <c r="BH12" s="1062"/>
      <c r="BI12" s="1064"/>
    </row>
    <row r="13" ht="15.0" customHeight="1">
      <c r="A13" s="1072"/>
      <c r="B13" s="1073"/>
      <c r="C13" s="1073"/>
      <c r="D13" s="1073"/>
      <c r="E13" s="1073"/>
      <c r="F13" s="1073"/>
      <c r="G13" s="1073"/>
      <c r="H13" s="1073"/>
      <c r="I13" s="1073"/>
      <c r="J13" s="1073"/>
      <c r="K13" s="1073"/>
      <c r="L13" s="1073"/>
      <c r="M13" s="1073"/>
      <c r="N13" s="1073"/>
      <c r="O13" s="1073"/>
      <c r="P13" s="1073"/>
      <c r="Q13" s="1073"/>
      <c r="R13" s="1073"/>
      <c r="S13" s="1073"/>
      <c r="T13" s="1074"/>
      <c r="U13" s="1074"/>
      <c r="V13" s="1075"/>
      <c r="W13" s="1075"/>
      <c r="X13" s="1073"/>
      <c r="Y13" s="1076"/>
      <c r="Z13" s="1076"/>
      <c r="AA13" s="1076"/>
      <c r="AB13" s="1076"/>
      <c r="AC13" s="1076"/>
      <c r="AD13" s="1073"/>
      <c r="AE13" s="1073"/>
      <c r="AF13" s="1073"/>
      <c r="AG13" s="1073"/>
      <c r="AH13" s="1073"/>
      <c r="AI13" s="1073"/>
      <c r="AJ13" s="1073"/>
      <c r="AK13" s="1073"/>
      <c r="AL13" s="1073"/>
      <c r="AM13" s="1073"/>
      <c r="AN13" s="1073"/>
      <c r="AO13" s="1073"/>
      <c r="AP13" s="1073"/>
      <c r="AQ13" s="1073"/>
      <c r="AR13" s="1073"/>
      <c r="AS13" s="1073"/>
      <c r="AT13" s="1073"/>
      <c r="AU13" s="1073"/>
      <c r="AV13" s="1073"/>
      <c r="AW13" s="1073"/>
      <c r="AX13" s="1073"/>
      <c r="AY13" s="1073"/>
      <c r="AZ13" s="1073"/>
      <c r="BA13" s="1073"/>
      <c r="BB13" s="1073"/>
      <c r="BC13" s="1073"/>
      <c r="BD13" s="1073"/>
      <c r="BE13" s="1073"/>
      <c r="BF13" s="1073"/>
      <c r="BG13" s="1073"/>
      <c r="BH13" s="1073"/>
      <c r="BI13" s="1077"/>
    </row>
    <row r="14" ht="15.75" customHeight="1">
      <c r="A14" s="1078" t="s">
        <v>400</v>
      </c>
      <c r="B14" s="1062"/>
      <c r="C14" s="1062"/>
      <c r="D14" s="1062"/>
      <c r="E14" s="1062"/>
      <c r="F14" s="1062"/>
      <c r="G14" s="1062"/>
      <c r="H14" s="1062"/>
      <c r="I14" s="1062"/>
      <c r="J14" s="1062"/>
      <c r="K14" s="1062"/>
      <c r="L14" s="1062"/>
      <c r="M14" s="1062"/>
      <c r="N14" s="1062"/>
      <c r="O14" s="1062"/>
      <c r="P14" s="1062"/>
      <c r="Q14" s="1062"/>
      <c r="R14" s="1062"/>
      <c r="S14" s="1062"/>
      <c r="T14" s="1069"/>
      <c r="U14" s="1069"/>
      <c r="V14" s="1070"/>
      <c r="W14" s="1070"/>
      <c r="X14" s="1062"/>
      <c r="Y14" s="97"/>
      <c r="Z14" s="97"/>
      <c r="AA14" s="97"/>
      <c r="AB14" s="97"/>
      <c r="AC14" s="97"/>
      <c r="AD14" s="1062"/>
      <c r="AE14" s="1062"/>
      <c r="AF14" s="1062"/>
      <c r="AG14" s="1062"/>
      <c r="AH14" s="1062"/>
      <c r="AI14" s="1062"/>
      <c r="AJ14" s="1062"/>
      <c r="AK14" s="1062"/>
      <c r="AL14" s="1062"/>
      <c r="AM14" s="1062"/>
      <c r="AN14" s="1062"/>
      <c r="AO14" s="1062"/>
      <c r="AP14" s="1062"/>
      <c r="AQ14" s="1062"/>
      <c r="AR14" s="1062"/>
      <c r="AS14" s="1062"/>
      <c r="AT14" s="1062"/>
      <c r="AU14" s="1062"/>
      <c r="AV14" s="1062"/>
      <c r="AW14" s="1062"/>
      <c r="AX14" s="1062"/>
      <c r="AY14" s="1062"/>
      <c r="AZ14" s="1062"/>
      <c r="BA14" s="1062"/>
      <c r="BB14" s="1062"/>
      <c r="BC14" s="1062"/>
      <c r="BD14" s="1062"/>
      <c r="BE14" s="1062"/>
      <c r="BF14" s="1062"/>
      <c r="BG14" s="1062"/>
      <c r="BH14" s="1062"/>
      <c r="BI14" s="1062"/>
    </row>
    <row r="15" ht="15.0" customHeight="1">
      <c r="A15" s="1079"/>
      <c r="T15" s="1062"/>
      <c r="U15" s="1062"/>
      <c r="V15" s="1062"/>
      <c r="W15" s="1062"/>
      <c r="X15" s="1062"/>
      <c r="AD15" s="1062"/>
      <c r="AE15" s="1062"/>
      <c r="AF15" s="1062"/>
      <c r="AG15" s="1062"/>
      <c r="AH15" s="1062"/>
      <c r="AI15" s="1062"/>
      <c r="AJ15" s="1062"/>
      <c r="AK15" s="1062"/>
      <c r="AL15" s="1062"/>
      <c r="AM15" s="1062"/>
      <c r="AN15" s="1062"/>
      <c r="AO15" s="1062"/>
      <c r="AP15" s="1062"/>
      <c r="AQ15" s="1062"/>
      <c r="AR15" s="1062"/>
      <c r="AS15" s="1062"/>
      <c r="AT15" s="1062"/>
      <c r="AU15" s="1062"/>
      <c r="AV15" s="1062"/>
      <c r="AW15" s="1062"/>
      <c r="AX15" s="1062"/>
      <c r="AY15" s="1062"/>
      <c r="AZ15" s="1062"/>
      <c r="BA15" s="1062"/>
      <c r="BB15" s="1062"/>
      <c r="BC15" s="1062"/>
      <c r="BD15" s="1062"/>
      <c r="BE15" s="1062"/>
      <c r="BF15" s="1062"/>
      <c r="BG15" s="1062"/>
      <c r="BH15" s="1062"/>
      <c r="BI15" s="1062"/>
    </row>
    <row r="16" ht="15.0" customHeight="1">
      <c r="A16" s="1080"/>
      <c r="M16" s="1080"/>
      <c r="N16" s="1080"/>
      <c r="O16" s="1081"/>
      <c r="P16" s="1082"/>
      <c r="Q16" s="1081"/>
      <c r="R16" s="1082"/>
      <c r="S16" s="1082"/>
      <c r="T16" s="1062"/>
      <c r="U16" s="1083"/>
      <c r="V16" s="684"/>
      <c r="W16" s="684"/>
      <c r="X16" s="684"/>
      <c r="Y16" s="684"/>
      <c r="Z16" s="684"/>
      <c r="AA16" s="684"/>
      <c r="AB16" s="684"/>
      <c r="AC16" s="833"/>
      <c r="AD16" s="1062"/>
      <c r="AE16" s="1062"/>
      <c r="AF16" s="1062"/>
      <c r="AG16" s="1062"/>
      <c r="AH16" s="1062"/>
      <c r="AI16" s="1062"/>
      <c r="AJ16" s="1062"/>
      <c r="AK16" s="1062"/>
      <c r="AL16" s="1062"/>
      <c r="AM16" s="1062"/>
      <c r="AN16" s="1062"/>
      <c r="AO16" s="1062"/>
      <c r="AP16" s="1062"/>
      <c r="AQ16" s="1062"/>
      <c r="AR16" s="1062"/>
      <c r="AS16" s="1062"/>
      <c r="AT16" s="1062"/>
      <c r="AU16" s="1062"/>
      <c r="AV16" s="1062"/>
      <c r="AW16" s="1062"/>
      <c r="AX16" s="1062"/>
      <c r="AY16" s="1062"/>
      <c r="AZ16" s="1062"/>
      <c r="BA16" s="1062"/>
      <c r="BB16" s="1062"/>
      <c r="BC16" s="1062"/>
      <c r="BD16" s="1062"/>
      <c r="BE16" s="1062"/>
      <c r="BF16" s="1062"/>
      <c r="BG16" s="1062"/>
      <c r="BH16" s="1062"/>
      <c r="BI16" s="1062"/>
    </row>
    <row r="17" ht="15.0" customHeight="1">
      <c r="A17" s="1084"/>
      <c r="B17" s="838"/>
      <c r="C17" s="838"/>
      <c r="D17" s="838"/>
      <c r="E17" s="838"/>
      <c r="F17" s="838"/>
      <c r="G17" s="689"/>
      <c r="H17" s="689"/>
      <c r="I17" s="689"/>
      <c r="J17" s="689"/>
      <c r="K17" s="689"/>
      <c r="L17" s="689"/>
      <c r="M17" s="689"/>
      <c r="N17" s="689"/>
      <c r="O17" s="689"/>
      <c r="P17" s="1062"/>
      <c r="Q17" s="689"/>
      <c r="R17" s="1062"/>
      <c r="S17" s="1062"/>
      <c r="T17" s="1062"/>
      <c r="U17" s="1083"/>
      <c r="V17" s="684"/>
      <c r="W17" s="684"/>
      <c r="X17" s="684"/>
      <c r="Y17" s="684"/>
      <c r="Z17" s="684"/>
      <c r="AA17" s="684"/>
      <c r="AB17" s="684"/>
      <c r="AC17" s="833"/>
      <c r="AD17" s="1062"/>
      <c r="AE17" s="1062"/>
      <c r="AF17" s="1062"/>
      <c r="AG17" s="1062"/>
      <c r="AH17" s="1062"/>
      <c r="AI17" s="1062"/>
      <c r="AJ17" s="1062"/>
      <c r="AK17" s="1062"/>
      <c r="AL17" s="1062"/>
      <c r="AM17" s="1062"/>
      <c r="AN17" s="1062"/>
      <c r="AO17" s="1062"/>
      <c r="AP17" s="1062"/>
      <c r="AQ17" s="1062"/>
      <c r="AR17" s="1062"/>
      <c r="AS17" s="1062"/>
      <c r="AT17" s="1062"/>
      <c r="AU17" s="1062"/>
      <c r="AV17" s="1062"/>
      <c r="AW17" s="1062"/>
      <c r="AX17" s="1062"/>
      <c r="AY17" s="1062"/>
      <c r="AZ17" s="1062"/>
      <c r="BA17" s="1062"/>
      <c r="BB17" s="1062"/>
      <c r="BC17" s="1062"/>
      <c r="BD17" s="1062"/>
      <c r="BE17" s="1062"/>
      <c r="BF17" s="1062"/>
      <c r="BG17" s="1062"/>
      <c r="BH17" s="1062"/>
      <c r="BI17" s="1062"/>
    </row>
    <row r="18" ht="15.0" customHeight="1">
      <c r="A18" s="1084"/>
      <c r="B18" s="838"/>
      <c r="C18" s="838"/>
      <c r="D18" s="838"/>
      <c r="E18" s="838"/>
      <c r="F18" s="838"/>
      <c r="G18" s="689"/>
      <c r="H18" s="689"/>
      <c r="I18" s="689"/>
      <c r="J18" s="689"/>
      <c r="K18" s="689"/>
      <c r="L18" s="689"/>
      <c r="M18" s="689"/>
      <c r="N18" s="689"/>
      <c r="O18" s="689"/>
      <c r="P18" s="1062"/>
      <c r="Q18" s="689"/>
      <c r="R18" s="1062"/>
      <c r="S18" s="1062"/>
      <c r="T18" s="1062"/>
      <c r="U18" s="1085"/>
      <c r="V18" s="1085"/>
      <c r="W18" s="1085"/>
      <c r="X18" s="1085"/>
      <c r="Y18" s="1085"/>
      <c r="Z18" s="1085"/>
      <c r="AA18" s="1085"/>
      <c r="AB18" s="1085"/>
      <c r="AC18" s="1085"/>
      <c r="AD18" s="1062"/>
      <c r="AE18" s="1062"/>
      <c r="AF18" s="1062"/>
      <c r="AG18" s="1062"/>
      <c r="AH18" s="1062"/>
      <c r="AI18" s="1062"/>
      <c r="AJ18" s="1062"/>
      <c r="AK18" s="1062"/>
      <c r="AL18" s="1062"/>
      <c r="AM18" s="1062"/>
      <c r="AN18" s="1062"/>
      <c r="AO18" s="1062"/>
      <c r="AP18" s="1062"/>
      <c r="AQ18" s="1062"/>
      <c r="AR18" s="1062"/>
      <c r="AS18" s="1062"/>
      <c r="AT18" s="1062"/>
      <c r="AU18" s="1062"/>
      <c r="AV18" s="1062"/>
      <c r="AW18" s="1062"/>
      <c r="AX18" s="1062"/>
      <c r="AY18" s="1062"/>
      <c r="AZ18" s="1062"/>
      <c r="BA18" s="1062"/>
      <c r="BB18" s="1062"/>
      <c r="BC18" s="1062"/>
      <c r="BD18" s="1062"/>
      <c r="BE18" s="1062"/>
      <c r="BF18" s="1062"/>
      <c r="BG18" s="1062"/>
      <c r="BH18" s="1062"/>
      <c r="BI18" s="1062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1">
    <mergeCell ref="N3:N4"/>
    <mergeCell ref="O3:O4"/>
    <mergeCell ref="P3:P4"/>
    <mergeCell ref="Q3:Q4"/>
    <mergeCell ref="R3:R4"/>
    <mergeCell ref="S3:S4"/>
    <mergeCell ref="A15:S15"/>
    <mergeCell ref="A16:L16"/>
    <mergeCell ref="U16:AC16"/>
    <mergeCell ref="U17:AC17"/>
    <mergeCell ref="O2:P2"/>
    <mergeCell ref="Q2:S2"/>
    <mergeCell ref="A3:A4"/>
    <mergeCell ref="B3:B4"/>
    <mergeCell ref="C3:C4"/>
    <mergeCell ref="D3:D4"/>
    <mergeCell ref="E3:E4"/>
    <mergeCell ref="AX3:AZ3"/>
    <mergeCell ref="BA3:BC3"/>
    <mergeCell ref="AO2:AT2"/>
    <mergeCell ref="AU2:BC2"/>
    <mergeCell ref="BD2:BF2"/>
    <mergeCell ref="BG2:BI3"/>
    <mergeCell ref="AO3:AQ3"/>
    <mergeCell ref="AR3:AT3"/>
    <mergeCell ref="AU3:AW3"/>
    <mergeCell ref="BD3:BF3"/>
    <mergeCell ref="T2:AB2"/>
    <mergeCell ref="AC2:AN2"/>
    <mergeCell ref="A1:B1"/>
    <mergeCell ref="C1:H1"/>
    <mergeCell ref="AY1:AZ1"/>
    <mergeCell ref="BA1:BC1"/>
    <mergeCell ref="B2:H2"/>
    <mergeCell ref="I2:L2"/>
    <mergeCell ref="M2:N2"/>
    <mergeCell ref="F3:F4"/>
    <mergeCell ref="G3:G4"/>
    <mergeCell ref="H3:H4"/>
    <mergeCell ref="I3:I4"/>
    <mergeCell ref="J3:J4"/>
    <mergeCell ref="K3:K4"/>
    <mergeCell ref="AI3:AK3"/>
    <mergeCell ref="AL3:AN3"/>
    <mergeCell ref="L3:L4"/>
    <mergeCell ref="M3:M4"/>
    <mergeCell ref="T3:V3"/>
    <mergeCell ref="W3:Y3"/>
    <mergeCell ref="Z3:AB3"/>
    <mergeCell ref="AC3:AE3"/>
    <mergeCell ref="AF3:AH3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6" width="8.86"/>
  </cols>
  <sheetData>
    <row r="1" ht="20.25" customHeight="1">
      <c r="A1" s="1086"/>
      <c r="B1" s="1087" t="s">
        <v>401</v>
      </c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621"/>
    </row>
    <row r="2" ht="15.0" customHeight="1">
      <c r="A2" s="1088" t="s">
        <v>402</v>
      </c>
      <c r="B2" s="1089"/>
      <c r="C2" s="1089"/>
      <c r="D2" s="1089"/>
      <c r="E2" s="1089"/>
      <c r="F2" s="1089"/>
      <c r="G2" s="1089"/>
      <c r="H2" s="1089"/>
      <c r="I2" s="1089"/>
      <c r="J2" s="1090"/>
      <c r="K2" s="1090"/>
      <c r="L2" s="1089" t="s">
        <v>403</v>
      </c>
      <c r="M2" s="1091" t="s">
        <v>404</v>
      </c>
      <c r="N2" s="1092"/>
      <c r="O2" s="1093"/>
    </row>
    <row r="3" ht="15.0" customHeight="1">
      <c r="A3" s="1094"/>
      <c r="B3" s="1095" t="s">
        <v>405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8"/>
    </row>
    <row r="4" ht="15.0" customHeight="1">
      <c r="A4" s="1096"/>
      <c r="B4" s="1097" t="s">
        <v>88</v>
      </c>
      <c r="C4" s="284"/>
      <c r="D4" s="284"/>
      <c r="E4" s="621"/>
      <c r="F4" s="1098" t="s">
        <v>87</v>
      </c>
      <c r="G4" s="284"/>
      <c r="H4" s="284"/>
      <c r="I4" s="284"/>
      <c r="J4" s="1097" t="s">
        <v>406</v>
      </c>
      <c r="K4" s="621"/>
      <c r="L4" s="1098" t="s">
        <v>407</v>
      </c>
      <c r="M4" s="284"/>
      <c r="N4" s="284"/>
      <c r="O4" s="621"/>
    </row>
    <row r="5" ht="33.75" customHeight="1">
      <c r="A5" s="1099" t="s">
        <v>341</v>
      </c>
      <c r="B5" s="1100" t="s">
        <v>408</v>
      </c>
      <c r="C5" s="1101" t="s">
        <v>409</v>
      </c>
      <c r="D5" s="1101" t="s">
        <v>410</v>
      </c>
      <c r="E5" s="1102" t="s">
        <v>411</v>
      </c>
      <c r="F5" s="1103" t="s">
        <v>408</v>
      </c>
      <c r="G5" s="1101" t="s">
        <v>412</v>
      </c>
      <c r="H5" s="1101" t="s">
        <v>410</v>
      </c>
      <c r="I5" s="1104" t="s">
        <v>411</v>
      </c>
      <c r="J5" s="1105" t="s">
        <v>408</v>
      </c>
      <c r="K5" s="1106" t="s">
        <v>413</v>
      </c>
      <c r="L5" s="1103" t="s">
        <v>408</v>
      </c>
      <c r="M5" s="1101" t="s">
        <v>414</v>
      </c>
      <c r="N5" s="1101" t="s">
        <v>410</v>
      </c>
      <c r="O5" s="1102" t="s">
        <v>295</v>
      </c>
    </row>
    <row r="6" ht="15.75" customHeight="1">
      <c r="A6" s="1107" t="s">
        <v>394</v>
      </c>
      <c r="B6" s="1108">
        <f>'Controle qualidade GQL '!E5</f>
        <v>364</v>
      </c>
      <c r="C6" s="1109">
        <f>'Controle qualidade GQL '!E5-'Controle qualidade GQL '!F5</f>
        <v>1</v>
      </c>
      <c r="D6" s="1110">
        <f>'Controle qualidade GQL '!AK5</f>
        <v>0.6032979798</v>
      </c>
      <c r="E6" s="1111">
        <f>'Controle qualidade GQL '!AI5</f>
        <v>10</v>
      </c>
      <c r="F6" s="1112">
        <f>'Controle qualidade GQL '!C5</f>
        <v>364</v>
      </c>
      <c r="G6" s="1113">
        <f>'Controle qualidade GQL '!C5-'Controle qualidade GQL '!D5</f>
        <v>0</v>
      </c>
      <c r="H6" s="1110">
        <f>'Controle qualidade GQL '!AB5</f>
        <v>5.905833333</v>
      </c>
      <c r="I6" s="1111">
        <f>'Controle qualidade GQL '!Z5</f>
        <v>13</v>
      </c>
      <c r="J6" s="1114" t="s">
        <v>415</v>
      </c>
      <c r="K6" s="1115" t="s">
        <v>415</v>
      </c>
      <c r="L6" s="1108">
        <f>'Controle qualidade GQL '!G5</f>
        <v>364</v>
      </c>
      <c r="M6" s="1113">
        <f>'Controle qualidade GQL '!G5-'Controle qualidade GQL '!H5</f>
        <v>0</v>
      </c>
      <c r="N6" s="1116">
        <f>'Controle qualidade GQL '!BI5</f>
        <v>3.492868339</v>
      </c>
      <c r="O6" s="1117">
        <f>'Controle qualidade GQL '!BH5</f>
        <v>2.741666667</v>
      </c>
    </row>
    <row r="7" ht="15.75" hidden="1" customHeight="1">
      <c r="A7" s="1118" t="s">
        <v>416</v>
      </c>
      <c r="B7" s="1119"/>
      <c r="C7" s="1120"/>
      <c r="D7" s="1121"/>
      <c r="E7" s="1122"/>
      <c r="F7" s="1123"/>
      <c r="G7" s="1124"/>
      <c r="H7" s="1121"/>
      <c r="I7" s="1122"/>
      <c r="J7" s="1125" t="s">
        <v>415</v>
      </c>
      <c r="K7" s="1126" t="s">
        <v>415</v>
      </c>
      <c r="L7" s="1119"/>
      <c r="M7" s="1124"/>
      <c r="N7" s="1127"/>
      <c r="O7" s="1128"/>
    </row>
    <row r="8" ht="15.75" hidden="1" customHeight="1">
      <c r="A8" s="1118" t="s">
        <v>417</v>
      </c>
      <c r="B8" s="1119"/>
      <c r="C8" s="1120"/>
      <c r="D8" s="1121"/>
      <c r="E8" s="1122"/>
      <c r="F8" s="1123"/>
      <c r="G8" s="1124"/>
      <c r="H8" s="1121"/>
      <c r="I8" s="1122"/>
      <c r="J8" s="1114" t="s">
        <v>415</v>
      </c>
      <c r="K8" s="1115" t="s">
        <v>415</v>
      </c>
      <c r="L8" s="1119"/>
      <c r="M8" s="1124"/>
      <c r="N8" s="1127"/>
      <c r="O8" s="1128"/>
    </row>
    <row r="9" ht="15.75" hidden="1" customHeight="1">
      <c r="A9" s="1118" t="s">
        <v>418</v>
      </c>
      <c r="B9" s="1119"/>
      <c r="C9" s="1120"/>
      <c r="D9" s="1121"/>
      <c r="E9" s="1122"/>
      <c r="F9" s="1123"/>
      <c r="G9" s="1124"/>
      <c r="H9" s="1121"/>
      <c r="I9" s="1122"/>
      <c r="J9" s="1129" t="s">
        <v>415</v>
      </c>
      <c r="K9" s="1130" t="s">
        <v>415</v>
      </c>
      <c r="L9" s="1119"/>
      <c r="M9" s="1124"/>
      <c r="N9" s="1127"/>
      <c r="O9" s="1128"/>
    </row>
    <row r="10" ht="15.75" hidden="1" customHeight="1">
      <c r="A10" s="1118" t="s">
        <v>419</v>
      </c>
      <c r="B10" s="1131"/>
      <c r="C10" s="1132"/>
      <c r="D10" s="1133"/>
      <c r="E10" s="1134"/>
      <c r="F10" s="1135"/>
      <c r="G10" s="1132"/>
      <c r="H10" s="1133"/>
      <c r="I10" s="1136"/>
      <c r="J10" s="1129" t="s">
        <v>415</v>
      </c>
      <c r="K10" s="1130" t="s">
        <v>415</v>
      </c>
      <c r="L10" s="1135"/>
      <c r="M10" s="1132"/>
      <c r="N10" s="1137"/>
      <c r="O10" s="1138"/>
    </row>
    <row r="11" ht="15.75" hidden="1" customHeight="1">
      <c r="A11" s="1118" t="s">
        <v>420</v>
      </c>
      <c r="B11" s="1131"/>
      <c r="C11" s="1132"/>
      <c r="D11" s="1133"/>
      <c r="E11" s="1139"/>
      <c r="F11" s="1140"/>
      <c r="G11" s="1141"/>
      <c r="H11" s="1142"/>
      <c r="I11" s="1143"/>
      <c r="J11" s="1129" t="s">
        <v>415</v>
      </c>
      <c r="K11" s="1130" t="s">
        <v>415</v>
      </c>
      <c r="L11" s="1140"/>
      <c r="M11" s="1141"/>
      <c r="N11" s="1144"/>
      <c r="O11" s="1145"/>
    </row>
    <row r="12" ht="15.0" hidden="1" customHeight="1">
      <c r="A12" s="1146" t="s">
        <v>421</v>
      </c>
      <c r="B12" s="1147">
        <v>0.0</v>
      </c>
      <c r="C12" s="1148">
        <v>0.0</v>
      </c>
      <c r="D12" s="1149">
        <v>0.0</v>
      </c>
      <c r="E12" s="1150">
        <v>0.0</v>
      </c>
      <c r="F12" s="1151">
        <v>0.0</v>
      </c>
      <c r="G12" s="1152">
        <v>0.0</v>
      </c>
      <c r="H12" s="1152">
        <v>0.0</v>
      </c>
      <c r="I12" s="1152">
        <v>0.0</v>
      </c>
      <c r="J12" s="1153" t="s">
        <v>415</v>
      </c>
      <c r="K12" s="1154" t="s">
        <v>415</v>
      </c>
      <c r="L12" s="1155">
        <v>0.0</v>
      </c>
      <c r="M12" s="1156">
        <v>0.0</v>
      </c>
      <c r="N12" s="1157">
        <v>0.0</v>
      </c>
      <c r="O12" s="1158">
        <v>0.0</v>
      </c>
    </row>
    <row r="13" ht="13.5" customHeight="1">
      <c r="A13" s="1159" t="s">
        <v>129</v>
      </c>
      <c r="B13" s="1160">
        <f>SUM('RelatSISÁGUA'!B6:B12)</f>
        <v>364</v>
      </c>
      <c r="C13" s="1160">
        <f>SUM('RelatSISÁGUA'!C6:C12)</f>
        <v>1</v>
      </c>
      <c r="D13" s="1161"/>
      <c r="E13" s="1162"/>
      <c r="F13" s="1160">
        <f>SUM('RelatSISÁGUA'!F6:F12)</f>
        <v>364</v>
      </c>
      <c r="G13" s="1160">
        <f>SUM('RelatSISÁGUA'!G6:G12)</f>
        <v>0</v>
      </c>
      <c r="H13" s="1161"/>
      <c r="I13" s="1163"/>
      <c r="J13" s="1164"/>
      <c r="K13" s="1165"/>
      <c r="L13" s="1160">
        <f>SUM('RelatSISÁGUA'!L6:L12)</f>
        <v>364</v>
      </c>
      <c r="M13" s="1166">
        <f>SUM('RelatSISÁGUA'!M6:M12)</f>
        <v>0</v>
      </c>
      <c r="N13" s="1161"/>
      <c r="O13" s="1162"/>
    </row>
    <row r="14" ht="12.75" customHeight="1">
      <c r="B14" s="1167"/>
      <c r="C14" s="1167"/>
      <c r="D14" s="1167"/>
      <c r="E14" s="1167"/>
      <c r="F14" s="1167"/>
      <c r="G14" s="1167"/>
      <c r="H14" s="1167"/>
      <c r="I14" s="1167"/>
      <c r="J14" s="1167"/>
      <c r="K14" s="1167"/>
      <c r="L14" s="1168"/>
      <c r="M14" s="1169"/>
      <c r="N14" s="1170"/>
      <c r="O14" s="1171"/>
    </row>
    <row r="15" ht="12.75" customHeight="1">
      <c r="A15" s="1090" t="s">
        <v>422</v>
      </c>
    </row>
    <row r="16" ht="12.75" customHeight="1">
      <c r="A16" s="1090" t="s">
        <v>423</v>
      </c>
      <c r="C16" s="1090" t="s">
        <v>424</v>
      </c>
      <c r="D16" s="1090"/>
      <c r="E16" s="1090" t="s">
        <v>425</v>
      </c>
      <c r="F16" s="1090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6">
    <mergeCell ref="B1:O1"/>
    <mergeCell ref="B3:O3"/>
    <mergeCell ref="B4:E4"/>
    <mergeCell ref="F4:I4"/>
    <mergeCell ref="J4:K4"/>
    <mergeCell ref="L4:O4"/>
  </mergeCells>
  <printOptions/>
  <pageMargins bottom="0.196527777777778" footer="0.0" header="0.0" left="0.196527777777778" right="0.196527777777778" top="0.196527777777778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3" width="8.43"/>
    <col customWidth="1" min="4" max="5" width="8.86"/>
    <col customWidth="1" min="6" max="6" width="8.57"/>
    <col customWidth="1" min="7" max="14" width="8.86"/>
    <col customWidth="1" min="15" max="16" width="8.14"/>
    <col customWidth="1" min="17" max="56" width="8.86"/>
  </cols>
  <sheetData>
    <row r="1" ht="27.0" customHeight="1">
      <c r="A1" s="1172"/>
      <c r="B1" s="1173" t="s">
        <v>426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8"/>
    </row>
    <row r="2" ht="16.5" customHeight="1">
      <c r="A2" s="1174" t="s">
        <v>427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75"/>
      <c r="AU2" s="1175"/>
      <c r="AV2" s="1175"/>
      <c r="AW2" s="1062"/>
      <c r="AX2" s="1062"/>
      <c r="AY2" s="1062"/>
      <c r="AZ2" s="1176"/>
      <c r="BA2" s="1177" t="s">
        <v>403</v>
      </c>
      <c r="BB2" s="1178" t="s">
        <v>428</v>
      </c>
      <c r="BC2" s="127"/>
      <c r="BD2" s="1179"/>
    </row>
    <row r="3" ht="15.75" customHeight="1">
      <c r="A3" s="1180" t="s">
        <v>341</v>
      </c>
      <c r="B3" s="1181" t="s">
        <v>429</v>
      </c>
      <c r="C3" s="1182" t="s">
        <v>430</v>
      </c>
      <c r="D3" s="1183" t="s">
        <v>431</v>
      </c>
      <c r="E3" s="1184" t="s">
        <v>432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1185" t="s">
        <v>433</v>
      </c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8"/>
      <c r="AG3" s="1185" t="s">
        <v>434</v>
      </c>
      <c r="AH3" s="127"/>
      <c r="AI3" s="127"/>
      <c r="AJ3" s="128"/>
      <c r="AK3" s="1186" t="s">
        <v>435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80" t="s">
        <v>436</v>
      </c>
      <c r="AX3" s="11"/>
      <c r="AY3" s="11"/>
      <c r="AZ3" s="12"/>
      <c r="BA3" s="1187" t="s">
        <v>437</v>
      </c>
      <c r="BB3" s="11"/>
      <c r="BC3" s="11"/>
      <c r="BD3" s="12"/>
    </row>
    <row r="4" ht="15.75" customHeight="1">
      <c r="A4" s="43"/>
      <c r="B4" s="998"/>
      <c r="C4" s="545"/>
      <c r="D4" s="733"/>
      <c r="E4" s="1188" t="s">
        <v>438</v>
      </c>
      <c r="F4" s="127"/>
      <c r="G4" s="127"/>
      <c r="H4" s="128"/>
      <c r="I4" s="1184" t="s">
        <v>439</v>
      </c>
      <c r="J4" s="127"/>
      <c r="K4" s="127"/>
      <c r="L4" s="127"/>
      <c r="M4" s="1188" t="s">
        <v>440</v>
      </c>
      <c r="N4" s="127"/>
      <c r="O4" s="127"/>
      <c r="P4" s="128"/>
      <c r="Q4" s="1189" t="s">
        <v>175</v>
      </c>
      <c r="R4" s="127"/>
      <c r="S4" s="127"/>
      <c r="T4" s="127"/>
      <c r="U4" s="1185" t="s">
        <v>441</v>
      </c>
      <c r="V4" s="127"/>
      <c r="W4" s="127"/>
      <c r="X4" s="128"/>
      <c r="Y4" s="1184" t="s">
        <v>442</v>
      </c>
      <c r="Z4" s="127"/>
      <c r="AA4" s="127"/>
      <c r="AB4" s="127"/>
      <c r="AC4" s="1188" t="s">
        <v>443</v>
      </c>
      <c r="AD4" s="127"/>
      <c r="AE4" s="127"/>
      <c r="AF4" s="128"/>
      <c r="AG4" s="1188" t="s">
        <v>177</v>
      </c>
      <c r="AH4" s="127"/>
      <c r="AI4" s="127"/>
      <c r="AJ4" s="128"/>
      <c r="AK4" s="1189" t="s">
        <v>444</v>
      </c>
      <c r="AL4" s="127"/>
      <c r="AM4" s="127"/>
      <c r="AN4" s="128"/>
      <c r="AO4" s="1185" t="s">
        <v>445</v>
      </c>
      <c r="AP4" s="127"/>
      <c r="AQ4" s="127"/>
      <c r="AR4" s="128"/>
      <c r="AS4" s="1185" t="s">
        <v>446</v>
      </c>
      <c r="AT4" s="127"/>
      <c r="AU4" s="127"/>
      <c r="AV4" s="127"/>
      <c r="AW4" s="16"/>
      <c r="AX4" s="17"/>
      <c r="AY4" s="17"/>
      <c r="AZ4" s="18"/>
      <c r="BA4" s="17"/>
      <c r="BB4" s="17"/>
      <c r="BC4" s="17"/>
      <c r="BD4" s="18"/>
    </row>
    <row r="5" ht="22.5" customHeight="1">
      <c r="A5" s="16"/>
      <c r="B5" s="1190"/>
      <c r="C5" s="734"/>
      <c r="D5" s="735"/>
      <c r="E5" s="1191" t="s">
        <v>358</v>
      </c>
      <c r="F5" s="1192" t="s">
        <v>122</v>
      </c>
      <c r="G5" s="1192" t="s">
        <v>359</v>
      </c>
      <c r="H5" s="1193" t="s">
        <v>360</v>
      </c>
      <c r="I5" s="1194" t="s">
        <v>358</v>
      </c>
      <c r="J5" s="1195" t="s">
        <v>122</v>
      </c>
      <c r="K5" s="1195" t="s">
        <v>359</v>
      </c>
      <c r="L5" s="1196" t="s">
        <v>360</v>
      </c>
      <c r="M5" s="1191" t="s">
        <v>358</v>
      </c>
      <c r="N5" s="1192" t="s">
        <v>122</v>
      </c>
      <c r="O5" s="1192" t="s">
        <v>359</v>
      </c>
      <c r="P5" s="1193" t="s">
        <v>360</v>
      </c>
      <c r="Q5" s="1197" t="s">
        <v>358</v>
      </c>
      <c r="R5" s="1192" t="s">
        <v>122</v>
      </c>
      <c r="S5" s="1192" t="s">
        <v>359</v>
      </c>
      <c r="T5" s="1198" t="s">
        <v>360</v>
      </c>
      <c r="U5" s="1194" t="s">
        <v>358</v>
      </c>
      <c r="V5" s="1195" t="s">
        <v>122</v>
      </c>
      <c r="W5" s="1195" t="s">
        <v>359</v>
      </c>
      <c r="X5" s="1196" t="s">
        <v>360</v>
      </c>
      <c r="Y5" s="1194" t="s">
        <v>358</v>
      </c>
      <c r="Z5" s="1195" t="s">
        <v>122</v>
      </c>
      <c r="AA5" s="1195" t="s">
        <v>359</v>
      </c>
      <c r="AB5" s="1196" t="s">
        <v>360</v>
      </c>
      <c r="AC5" s="1191" t="s">
        <v>358</v>
      </c>
      <c r="AD5" s="1192" t="s">
        <v>122</v>
      </c>
      <c r="AE5" s="1192" t="s">
        <v>359</v>
      </c>
      <c r="AF5" s="1193" t="s">
        <v>360</v>
      </c>
      <c r="AG5" s="1194" t="s">
        <v>358</v>
      </c>
      <c r="AH5" s="1195" t="s">
        <v>122</v>
      </c>
      <c r="AI5" s="1195" t="s">
        <v>359</v>
      </c>
      <c r="AJ5" s="1196" t="s">
        <v>360</v>
      </c>
      <c r="AK5" s="1197" t="s">
        <v>358</v>
      </c>
      <c r="AL5" s="1192" t="s">
        <v>122</v>
      </c>
      <c r="AM5" s="1192" t="s">
        <v>359</v>
      </c>
      <c r="AN5" s="1198" t="s">
        <v>360</v>
      </c>
      <c r="AO5" s="1194" t="s">
        <v>358</v>
      </c>
      <c r="AP5" s="1195" t="s">
        <v>122</v>
      </c>
      <c r="AQ5" s="1195" t="s">
        <v>359</v>
      </c>
      <c r="AR5" s="1196" t="s">
        <v>360</v>
      </c>
      <c r="AS5" s="1197" t="s">
        <v>358</v>
      </c>
      <c r="AT5" s="1192" t="s">
        <v>122</v>
      </c>
      <c r="AU5" s="1192" t="s">
        <v>359</v>
      </c>
      <c r="AV5" s="1198" t="s">
        <v>360</v>
      </c>
      <c r="AW5" s="1191" t="s">
        <v>358</v>
      </c>
      <c r="AX5" s="1192" t="s">
        <v>122</v>
      </c>
      <c r="AY5" s="1192" t="s">
        <v>359</v>
      </c>
      <c r="AZ5" s="1193" t="s">
        <v>360</v>
      </c>
      <c r="BA5" s="1197" t="s">
        <v>358</v>
      </c>
      <c r="BB5" s="1192" t="s">
        <v>122</v>
      </c>
      <c r="BC5" s="1192" t="s">
        <v>359</v>
      </c>
      <c r="BD5" s="1199" t="s">
        <v>360</v>
      </c>
    </row>
    <row r="6" ht="16.5" customHeight="1">
      <c r="A6" s="1200" t="s">
        <v>394</v>
      </c>
      <c r="B6" s="1201">
        <f>'PROD. QUÍM.'!C40</f>
        <v>8709454.8</v>
      </c>
      <c r="C6" s="1202">
        <f>'PROD. QUÍM.'!B40</f>
        <v>744</v>
      </c>
      <c r="D6" s="1203"/>
      <c r="E6" s="1204">
        <f>'PROD. QUÍM.'!C45</f>
        <v>0</v>
      </c>
      <c r="F6" s="1205">
        <f>'PROD. QUÍM.'!C46</f>
        <v>571700</v>
      </c>
      <c r="G6" s="1205">
        <f>'PROD. QUÍM.'!C47</f>
        <v>1319544.64</v>
      </c>
      <c r="H6" s="1204">
        <f>'PROD. QUÍM.'!C48</f>
        <v>-747844.64</v>
      </c>
      <c r="I6" s="1206"/>
      <c r="J6" s="1207"/>
      <c r="K6" s="1207"/>
      <c r="L6" s="1208"/>
      <c r="M6" s="1209"/>
      <c r="N6" s="1210"/>
      <c r="O6" s="1210"/>
      <c r="P6" s="1211"/>
      <c r="Q6" s="1212" t="str">
        <f>'PROD. QUÍM.'!H45</f>
        <v/>
      </c>
      <c r="R6" s="1212">
        <f>'PROD. QUÍM.'!H46</f>
        <v>74630</v>
      </c>
      <c r="S6" s="1213">
        <f>'PROD. QUÍM.'!H47</f>
        <v>68929.3305</v>
      </c>
      <c r="T6" s="1214">
        <f>'PROD. QUÍM.'!H48</f>
        <v>5700.669498</v>
      </c>
      <c r="U6" s="1215"/>
      <c r="V6" s="1216"/>
      <c r="W6" s="1216"/>
      <c r="X6" s="1208"/>
      <c r="Y6" s="1217"/>
      <c r="Z6" s="1216"/>
      <c r="AA6" s="1216"/>
      <c r="AB6" s="1218"/>
      <c r="AC6" s="1215"/>
      <c r="AD6" s="1216"/>
      <c r="AE6" s="1216"/>
      <c r="AF6" s="1208"/>
      <c r="AG6" s="1215"/>
      <c r="AH6" s="1216"/>
      <c r="AI6" s="1216"/>
      <c r="AJ6" s="1208"/>
      <c r="AK6" s="1217"/>
      <c r="AL6" s="1216"/>
      <c r="AM6" s="1216"/>
      <c r="AN6" s="1218"/>
      <c r="AO6" s="1215"/>
      <c r="AP6" s="1216"/>
      <c r="AQ6" s="1216"/>
      <c r="AR6" s="1208"/>
      <c r="AS6" s="1219"/>
      <c r="AT6" s="1207"/>
      <c r="AU6" s="1207"/>
      <c r="AV6" s="1218"/>
      <c r="AW6" s="1206"/>
      <c r="AX6" s="1207"/>
      <c r="AY6" s="1207"/>
      <c r="AZ6" s="1208"/>
      <c r="BA6" s="1220"/>
      <c r="BB6" s="1218"/>
      <c r="BC6" s="1218"/>
      <c r="BD6" s="1208"/>
    </row>
    <row r="7" ht="16.5" hidden="1" customHeight="1">
      <c r="A7" s="1221" t="s">
        <v>416</v>
      </c>
      <c r="B7" s="1222"/>
      <c r="C7" s="1223"/>
      <c r="D7" s="1224"/>
      <c r="E7" s="1204"/>
      <c r="F7" s="1204"/>
      <c r="G7" s="1204"/>
      <c r="H7" s="1204"/>
      <c r="I7" s="1225"/>
      <c r="J7" s="1226"/>
      <c r="K7" s="1226"/>
      <c r="L7" s="1227"/>
      <c r="M7" s="1228"/>
      <c r="N7" s="1226"/>
      <c r="O7" s="1226"/>
      <c r="P7" s="1229"/>
      <c r="Q7" s="1230"/>
      <c r="R7" s="1231"/>
      <c r="S7" s="1231"/>
      <c r="T7" s="1232"/>
      <c r="U7" s="1233"/>
      <c r="V7" s="1234"/>
      <c r="W7" s="1234"/>
      <c r="X7" s="1227"/>
      <c r="Y7" s="1235"/>
      <c r="Z7" s="1234"/>
      <c r="AA7" s="1234"/>
      <c r="AB7" s="1229"/>
      <c r="AC7" s="1233"/>
      <c r="AD7" s="1234"/>
      <c r="AE7" s="1234"/>
      <c r="AF7" s="1227"/>
      <c r="AG7" s="1236"/>
      <c r="AH7" s="1237"/>
      <c r="AI7" s="1237"/>
      <c r="AJ7" s="1238"/>
      <c r="AK7" s="1235"/>
      <c r="AL7" s="1234"/>
      <c r="AM7" s="1234"/>
      <c r="AN7" s="1229"/>
      <c r="AO7" s="1233"/>
      <c r="AP7" s="1234"/>
      <c r="AQ7" s="1234"/>
      <c r="AR7" s="1227"/>
      <c r="AS7" s="1228"/>
      <c r="AT7" s="1226"/>
      <c r="AU7" s="1226"/>
      <c r="AV7" s="1229"/>
      <c r="AW7" s="1225"/>
      <c r="AX7" s="1226"/>
      <c r="AY7" s="1226"/>
      <c r="AZ7" s="1227"/>
      <c r="BA7" s="1239"/>
      <c r="BB7" s="1229"/>
      <c r="BC7" s="1229"/>
      <c r="BD7" s="1227"/>
    </row>
    <row r="8" ht="16.5" hidden="1" customHeight="1">
      <c r="A8" s="1221" t="s">
        <v>417</v>
      </c>
      <c r="B8" s="1240"/>
      <c r="C8" s="1223"/>
      <c r="D8" s="1224"/>
      <c r="E8" s="1228"/>
      <c r="F8" s="1226"/>
      <c r="G8" s="1226"/>
      <c r="H8" s="1229"/>
      <c r="I8" s="1230"/>
      <c r="J8" s="1204"/>
      <c r="K8" s="1204"/>
      <c r="L8" s="1232"/>
      <c r="M8" s="1228"/>
      <c r="N8" s="1226"/>
      <c r="O8" s="1226"/>
      <c r="P8" s="1229"/>
      <c r="Q8" s="1230"/>
      <c r="R8" s="1231"/>
      <c r="S8" s="1231"/>
      <c r="T8" s="1232"/>
      <c r="U8" s="1233"/>
      <c r="V8" s="1234"/>
      <c r="W8" s="1234"/>
      <c r="X8" s="1227"/>
      <c r="Y8" s="1235"/>
      <c r="Z8" s="1234"/>
      <c r="AA8" s="1234"/>
      <c r="AB8" s="1229"/>
      <c r="AC8" s="1233"/>
      <c r="AD8" s="1234"/>
      <c r="AE8" s="1234"/>
      <c r="AF8" s="1227"/>
      <c r="AG8" s="1233"/>
      <c r="AH8" s="1234"/>
      <c r="AI8" s="1234"/>
      <c r="AJ8" s="1227"/>
      <c r="AK8" s="1235"/>
      <c r="AL8" s="1234"/>
      <c r="AM8" s="1234"/>
      <c r="AN8" s="1229"/>
      <c r="AO8" s="1233"/>
      <c r="AP8" s="1234"/>
      <c r="AQ8" s="1234"/>
      <c r="AR8" s="1227"/>
      <c r="AS8" s="1228"/>
      <c r="AT8" s="1226"/>
      <c r="AU8" s="1226"/>
      <c r="AV8" s="1229"/>
      <c r="AW8" s="1225"/>
      <c r="AX8" s="1226"/>
      <c r="AY8" s="1226"/>
      <c r="AZ8" s="1227"/>
      <c r="BA8" s="1239"/>
      <c r="BB8" s="1229"/>
      <c r="BC8" s="1229"/>
      <c r="BD8" s="1227"/>
    </row>
    <row r="9" ht="16.5" hidden="1" customHeight="1">
      <c r="A9" s="1221" t="s">
        <v>418</v>
      </c>
      <c r="B9" s="1240"/>
      <c r="C9" s="1223"/>
      <c r="D9" s="1224"/>
      <c r="E9" s="1228"/>
      <c r="F9" s="1226"/>
      <c r="G9" s="1226"/>
      <c r="H9" s="1229"/>
      <c r="I9" s="1135"/>
      <c r="J9" s="1204"/>
      <c r="K9" s="1204"/>
      <c r="L9" s="1232"/>
      <c r="M9" s="1228"/>
      <c r="N9" s="1226"/>
      <c r="O9" s="1226"/>
      <c r="P9" s="1229"/>
      <c r="Q9" s="1241"/>
      <c r="R9" s="1231"/>
      <c r="S9" s="1231"/>
      <c r="T9" s="1232"/>
      <c r="U9" s="1233"/>
      <c r="V9" s="1234"/>
      <c r="W9" s="1234"/>
      <c r="X9" s="1227"/>
      <c r="Y9" s="1235"/>
      <c r="Z9" s="1234"/>
      <c r="AA9" s="1234"/>
      <c r="AB9" s="1229"/>
      <c r="AC9" s="1233"/>
      <c r="AD9" s="1234"/>
      <c r="AE9" s="1234"/>
      <c r="AF9" s="1227"/>
      <c r="AG9" s="1233"/>
      <c r="AH9" s="1234"/>
      <c r="AI9" s="1234"/>
      <c r="AJ9" s="1227"/>
      <c r="AK9" s="1235"/>
      <c r="AL9" s="1234"/>
      <c r="AM9" s="1234"/>
      <c r="AN9" s="1229"/>
      <c r="AO9" s="1233"/>
      <c r="AP9" s="1234"/>
      <c r="AQ9" s="1234"/>
      <c r="AR9" s="1227"/>
      <c r="AS9" s="1228"/>
      <c r="AT9" s="1226"/>
      <c r="AU9" s="1226"/>
      <c r="AV9" s="1229"/>
      <c r="AW9" s="1225"/>
      <c r="AX9" s="1226"/>
      <c r="AY9" s="1226"/>
      <c r="AZ9" s="1227"/>
      <c r="BA9" s="1239"/>
      <c r="BB9" s="1229"/>
      <c r="BC9" s="1229"/>
      <c r="BD9" s="1227"/>
    </row>
    <row r="10" ht="16.5" hidden="1" customHeight="1">
      <c r="A10" s="1221" t="s">
        <v>419</v>
      </c>
      <c r="B10" s="1240"/>
      <c r="C10" s="1242"/>
      <c r="D10" s="1224"/>
      <c r="E10" s="1228"/>
      <c r="F10" s="1226"/>
      <c r="G10" s="1226"/>
      <c r="H10" s="1229"/>
      <c r="I10" s="1230"/>
      <c r="J10" s="1204"/>
      <c r="K10" s="1204"/>
      <c r="L10" s="1232"/>
      <c r="M10" s="1228"/>
      <c r="N10" s="1226"/>
      <c r="O10" s="1226"/>
      <c r="P10" s="1229"/>
      <c r="Q10" s="1233"/>
      <c r="R10" s="1234"/>
      <c r="S10" s="1234"/>
      <c r="T10" s="1227"/>
      <c r="U10" s="1230"/>
      <c r="V10" s="1231"/>
      <c r="W10" s="1231"/>
      <c r="X10" s="1232"/>
      <c r="Y10" s="1235"/>
      <c r="Z10" s="1234"/>
      <c r="AA10" s="1234"/>
      <c r="AB10" s="1229"/>
      <c r="AC10" s="1233"/>
      <c r="AD10" s="1234"/>
      <c r="AE10" s="1234"/>
      <c r="AF10" s="1227"/>
      <c r="AG10" s="1233"/>
      <c r="AH10" s="1234"/>
      <c r="AI10" s="1234"/>
      <c r="AJ10" s="1227"/>
      <c r="AK10" s="1235"/>
      <c r="AL10" s="1234"/>
      <c r="AM10" s="1234"/>
      <c r="AN10" s="1229"/>
      <c r="AO10" s="1233"/>
      <c r="AP10" s="1234"/>
      <c r="AQ10" s="1234"/>
      <c r="AR10" s="1227"/>
      <c r="AS10" s="1228"/>
      <c r="AT10" s="1226"/>
      <c r="AU10" s="1226"/>
      <c r="AV10" s="1229"/>
      <c r="AW10" s="1225"/>
      <c r="AX10" s="1226"/>
      <c r="AY10" s="1226"/>
      <c r="AZ10" s="1227"/>
      <c r="BA10" s="1239"/>
      <c r="BB10" s="1229"/>
      <c r="BC10" s="1229"/>
      <c r="BD10" s="1227"/>
    </row>
    <row r="11" ht="16.5" hidden="1" customHeight="1">
      <c r="A11" s="1221" t="s">
        <v>420</v>
      </c>
      <c r="B11" s="1243"/>
      <c r="C11" s="1242"/>
      <c r="D11" s="1224"/>
      <c r="E11" s="1228"/>
      <c r="F11" s="1226"/>
      <c r="G11" s="1226"/>
      <c r="H11" s="1229"/>
      <c r="I11" s="1230"/>
      <c r="J11" s="1204"/>
      <c r="K11" s="1204"/>
      <c r="L11" s="1232"/>
      <c r="M11" s="1228"/>
      <c r="N11" s="1226"/>
      <c r="O11" s="1226"/>
      <c r="P11" s="1229"/>
      <c r="Q11" s="1233"/>
      <c r="R11" s="1234"/>
      <c r="S11" s="1234"/>
      <c r="T11" s="1227"/>
      <c r="U11" s="1230"/>
      <c r="V11" s="1231"/>
      <c r="W11" s="1231"/>
      <c r="X11" s="1232"/>
      <c r="Y11" s="1235"/>
      <c r="Z11" s="1234"/>
      <c r="AA11" s="1234"/>
      <c r="AB11" s="1229"/>
      <c r="AC11" s="1233"/>
      <c r="AD11" s="1234"/>
      <c r="AE11" s="1234"/>
      <c r="AF11" s="1227"/>
      <c r="AG11" s="1233"/>
      <c r="AH11" s="1234"/>
      <c r="AI11" s="1234"/>
      <c r="AJ11" s="1227"/>
      <c r="AK11" s="1235"/>
      <c r="AL11" s="1234"/>
      <c r="AM11" s="1234"/>
      <c r="AN11" s="1229"/>
      <c r="AO11" s="1233"/>
      <c r="AP11" s="1234"/>
      <c r="AQ11" s="1234"/>
      <c r="AR11" s="1227"/>
      <c r="AS11" s="1228"/>
      <c r="AT11" s="1226"/>
      <c r="AU11" s="1226"/>
      <c r="AV11" s="1229"/>
      <c r="AW11" s="1225"/>
      <c r="AX11" s="1226"/>
      <c r="AY11" s="1226"/>
      <c r="AZ11" s="1227"/>
      <c r="BA11" s="1239"/>
      <c r="BB11" s="1229"/>
      <c r="BC11" s="1229"/>
      <c r="BD11" s="1227"/>
    </row>
    <row r="12" ht="16.5" hidden="1" customHeight="1">
      <c r="A12" s="1244" t="s">
        <v>421</v>
      </c>
      <c r="B12" s="1245">
        <v>0.0</v>
      </c>
      <c r="C12" s="1243">
        <v>0.0</v>
      </c>
      <c r="D12" s="1246"/>
      <c r="E12" s="1247"/>
      <c r="F12" s="1248"/>
      <c r="G12" s="1248"/>
      <c r="H12" s="1249"/>
      <c r="I12" s="1250" t="str">
        <f>#ref!a7pqetasgprs $I$38</f>
        <v>#ERROR!</v>
      </c>
      <c r="J12" s="1251">
        <v>0.0</v>
      </c>
      <c r="K12" s="1251">
        <v>0.0</v>
      </c>
      <c r="L12" s="1252">
        <v>0.0</v>
      </c>
      <c r="M12" s="1247"/>
      <c r="N12" s="1248"/>
      <c r="O12" s="1248"/>
      <c r="P12" s="1249"/>
      <c r="Q12" s="1253"/>
      <c r="R12" s="1254"/>
      <c r="S12" s="1254"/>
      <c r="T12" s="1255"/>
      <c r="U12" s="1250">
        <v>0.0</v>
      </c>
      <c r="V12" s="1251">
        <v>0.0</v>
      </c>
      <c r="W12" s="1251">
        <v>0.0</v>
      </c>
      <c r="X12" s="1252">
        <v>0.0</v>
      </c>
      <c r="Y12" s="1256"/>
      <c r="Z12" s="1254"/>
      <c r="AA12" s="1254"/>
      <c r="AB12" s="1249"/>
      <c r="AC12" s="1253"/>
      <c r="AD12" s="1254"/>
      <c r="AE12" s="1254"/>
      <c r="AF12" s="1255"/>
      <c r="AG12" s="1253"/>
      <c r="AH12" s="1254"/>
      <c r="AI12" s="1254"/>
      <c r="AJ12" s="1255"/>
      <c r="AK12" s="1256"/>
      <c r="AL12" s="1254"/>
      <c r="AM12" s="1254"/>
      <c r="AN12" s="1249"/>
      <c r="AO12" s="1253"/>
      <c r="AP12" s="1254"/>
      <c r="AQ12" s="1254"/>
      <c r="AR12" s="1255"/>
      <c r="AS12" s="1247"/>
      <c r="AT12" s="1248"/>
      <c r="AU12" s="1248"/>
      <c r="AV12" s="1249"/>
      <c r="AW12" s="1257"/>
      <c r="AX12" s="1248"/>
      <c r="AY12" s="1248"/>
      <c r="AZ12" s="1255"/>
      <c r="BA12" s="1258"/>
      <c r="BB12" s="1249"/>
      <c r="BC12" s="1249"/>
      <c r="BD12" s="1255"/>
    </row>
    <row r="13" ht="23.25" customHeight="1">
      <c r="A13" s="1259" t="s">
        <v>129</v>
      </c>
      <c r="B13" s="1260">
        <f>SUM(PQetasGPRs!B6:B12)</f>
        <v>8709454.8</v>
      </c>
      <c r="C13" s="1261"/>
      <c r="D13" s="1261"/>
      <c r="E13" s="1262">
        <f>SUM(PQetasGPRs!E6:E12)</f>
        <v>0</v>
      </c>
      <c r="F13" s="1262">
        <f>SUM(PQetasGPRs!F6:F12)</f>
        <v>571700</v>
      </c>
      <c r="G13" s="1262">
        <f>SUM(PQetasGPRs!G6:G12)</f>
        <v>1319544.64</v>
      </c>
      <c r="H13" s="1262">
        <v>0.0</v>
      </c>
      <c r="I13" s="1262">
        <v>0.0</v>
      </c>
      <c r="J13" s="1262">
        <f>SUM(PQetasGPRs!J6:J12)</f>
        <v>0</v>
      </c>
      <c r="K13" s="1262">
        <f>SUM(PQetasGPRs!K6:K12)</f>
        <v>0</v>
      </c>
      <c r="L13" s="1262">
        <f>SUM(PQetasGPRs!L6:L12)</f>
        <v>0</v>
      </c>
      <c r="M13" s="1262">
        <f>'PROD. QUÍM.'!F45</f>
        <v>0</v>
      </c>
      <c r="N13" s="1262">
        <f>'PROD. QUÍM.'!F46</f>
        <v>0</v>
      </c>
      <c r="O13" s="1262">
        <f>'PROD. QUÍM.'!F47</f>
        <v>0</v>
      </c>
      <c r="P13" s="1262">
        <f>'PROD. QUÍM.'!F48</f>
        <v>0</v>
      </c>
      <c r="Q13" s="1262"/>
      <c r="R13" s="1262"/>
      <c r="S13" s="1262"/>
      <c r="T13" s="1262"/>
      <c r="U13" s="1262"/>
      <c r="V13" s="1262"/>
      <c r="W13" s="1262"/>
      <c r="X13" s="1262"/>
      <c r="Y13" s="1262"/>
      <c r="Z13" s="1262"/>
      <c r="AA13" s="1262"/>
      <c r="AB13" s="1262"/>
      <c r="AC13" s="1263"/>
      <c r="AD13" s="1263"/>
      <c r="AE13" s="1263"/>
      <c r="AF13" s="1263"/>
      <c r="AG13" s="1263"/>
      <c r="AH13" s="1263"/>
      <c r="AI13" s="1263"/>
      <c r="AJ13" s="1263"/>
      <c r="AK13" s="1263"/>
      <c r="AL13" s="1263"/>
      <c r="AM13" s="1263"/>
      <c r="AN13" s="1263"/>
      <c r="AO13" s="1264"/>
      <c r="AP13" s="1265"/>
      <c r="AQ13" s="1265"/>
      <c r="AR13" s="1266"/>
      <c r="AS13" s="1264"/>
      <c r="AT13" s="1265"/>
      <c r="AU13" s="1265"/>
      <c r="AV13" s="1267"/>
      <c r="AW13" s="1263"/>
      <c r="AX13" s="1263"/>
      <c r="AY13" s="1263"/>
      <c r="AZ13" s="1268"/>
      <c r="BA13" s="1264"/>
      <c r="BB13" s="1265"/>
      <c r="BC13" s="1265"/>
      <c r="BD13" s="1269"/>
    </row>
    <row r="14" ht="12.75" customHeight="1">
      <c r="A14" s="1070" t="s">
        <v>232</v>
      </c>
      <c r="B14" s="1062"/>
      <c r="C14" s="1062"/>
      <c r="D14" s="1062"/>
      <c r="E14" s="1062"/>
      <c r="F14" s="1062"/>
      <c r="G14" s="1062"/>
      <c r="H14" s="1062"/>
      <c r="I14" s="1062"/>
      <c r="J14" s="1062"/>
      <c r="K14" s="1062"/>
      <c r="L14" s="1062"/>
      <c r="M14" s="1270"/>
      <c r="N14" s="1270"/>
      <c r="O14" s="1270"/>
      <c r="P14" s="1270"/>
      <c r="Q14" s="1270"/>
      <c r="R14" s="1270"/>
      <c r="S14" s="1270"/>
      <c r="T14" s="1270"/>
      <c r="U14" s="1270"/>
      <c r="V14" s="1270"/>
      <c r="W14" s="1270"/>
      <c r="X14" s="1270"/>
      <c r="Y14" s="1270"/>
      <c r="Z14" s="1270"/>
      <c r="AA14" s="1270"/>
      <c r="AB14" s="1270"/>
      <c r="AC14" s="1270"/>
      <c r="AD14" s="1270"/>
      <c r="AE14" s="1270"/>
      <c r="AF14" s="1270"/>
      <c r="AG14" s="1270"/>
      <c r="AH14" s="1270"/>
      <c r="AI14" s="1270"/>
      <c r="AJ14" s="1270"/>
      <c r="AK14" s="1270"/>
      <c r="AL14" s="1270"/>
      <c r="AM14" s="1270"/>
      <c r="AN14" s="1270"/>
      <c r="AO14" s="1270"/>
      <c r="AP14" s="1270"/>
      <c r="AQ14" s="1270"/>
      <c r="AR14" s="1270"/>
      <c r="AS14" s="1270"/>
      <c r="AT14" s="1270"/>
      <c r="AU14" s="1270"/>
      <c r="AV14" s="1270"/>
      <c r="AW14" s="1270"/>
      <c r="AX14" s="1270"/>
      <c r="AY14" s="1270"/>
      <c r="AZ14" s="1270"/>
      <c r="BA14" s="1270"/>
      <c r="BB14" s="1270"/>
      <c r="BC14" s="1270"/>
      <c r="BD14" s="1270"/>
    </row>
    <row r="15" ht="12.75" customHeight="1">
      <c r="A15" s="1271" t="s">
        <v>447</v>
      </c>
      <c r="B15" s="1062"/>
      <c r="C15" s="1062"/>
      <c r="D15" s="1062"/>
      <c r="E15" s="1062"/>
      <c r="F15" s="1062"/>
      <c r="G15" s="1062"/>
      <c r="H15" s="1062"/>
      <c r="I15" s="1062"/>
      <c r="J15" s="1062"/>
      <c r="K15" s="1062"/>
      <c r="L15" s="1062"/>
      <c r="M15" s="1270"/>
      <c r="N15" s="1270"/>
      <c r="O15" s="1270"/>
      <c r="P15" s="1270"/>
      <c r="Q15" s="1270"/>
      <c r="R15" s="1270"/>
      <c r="S15" s="1270"/>
      <c r="T15" s="1270"/>
      <c r="U15" s="1270"/>
      <c r="V15" s="1270"/>
      <c r="W15" s="1270"/>
      <c r="X15" s="1270"/>
      <c r="Y15" s="1270"/>
      <c r="Z15" s="1270"/>
      <c r="AA15" s="1270"/>
      <c r="AB15" s="1270"/>
      <c r="AC15" s="1270"/>
      <c r="AD15" s="1270"/>
      <c r="AE15" s="1270"/>
      <c r="AF15" s="1270"/>
      <c r="AG15" s="1270"/>
      <c r="AH15" s="1270"/>
      <c r="AI15" s="1270"/>
      <c r="AJ15" s="1270"/>
      <c r="AK15" s="1270"/>
      <c r="AL15" s="1270"/>
      <c r="AM15" s="1270"/>
      <c r="AN15" s="1270"/>
      <c r="AO15" s="1270"/>
      <c r="AP15" s="1270"/>
      <c r="AQ15" s="1270"/>
      <c r="AR15" s="1270"/>
      <c r="AS15" s="1270"/>
      <c r="AT15" s="1270"/>
      <c r="AU15" s="1270"/>
      <c r="AV15" s="1270"/>
      <c r="AW15" s="1270"/>
      <c r="AX15" s="1270"/>
      <c r="AY15" s="1270"/>
      <c r="AZ15" s="1270"/>
      <c r="BA15" s="1270"/>
      <c r="BB15" s="1270"/>
      <c r="BC15" s="1270"/>
      <c r="BD15" s="1270"/>
    </row>
    <row r="16" ht="12.75" customHeight="1"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548">
        <f>(PQetasGPRs!AG7+PQetasGPRs!AH7)-PQetasGPRs!AI7</f>
        <v>0</v>
      </c>
      <c r="AH16" s="224"/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</row>
    <row r="17" ht="15.0" customHeight="1">
      <c r="A17" s="1272"/>
      <c r="AG17" s="97"/>
      <c r="AH17" s="97"/>
      <c r="AI17" s="97"/>
      <c r="AJ17" s="97"/>
    </row>
    <row r="18" ht="12.75" customHeight="1">
      <c r="AG18" s="97"/>
      <c r="AH18" s="97"/>
      <c r="AI18" s="97"/>
      <c r="AJ18" s="97"/>
    </row>
    <row r="19" ht="18.75" customHeight="1">
      <c r="AG19" s="97"/>
      <c r="AH19" s="97"/>
      <c r="AI19" s="97"/>
      <c r="AJ19" s="97"/>
    </row>
    <row r="20" ht="12.75" customHeight="1">
      <c r="A20" s="1273"/>
      <c r="B20" s="1274"/>
      <c r="C20" s="1274"/>
      <c r="D20" s="1274"/>
      <c r="E20" s="1274"/>
      <c r="F20" s="1274"/>
      <c r="G20" s="1274"/>
      <c r="H20" s="1274"/>
      <c r="I20" s="1274"/>
      <c r="J20" s="1274"/>
      <c r="K20" s="1274"/>
      <c r="L20" s="1274"/>
      <c r="M20" s="1274"/>
      <c r="N20" s="1274"/>
      <c r="O20" s="1274"/>
      <c r="P20" s="1274"/>
      <c r="Q20" s="1274"/>
      <c r="R20" s="1274"/>
      <c r="S20" s="1274"/>
      <c r="T20" s="1274"/>
      <c r="U20" s="1274"/>
      <c r="V20" s="1274"/>
      <c r="W20" s="1274"/>
      <c r="X20" s="1274"/>
      <c r="Y20" s="1274"/>
      <c r="Z20" s="1274"/>
      <c r="AA20" s="1274"/>
      <c r="AB20" s="1274"/>
      <c r="AC20" s="1274"/>
      <c r="AD20" s="1274"/>
      <c r="AE20" s="1274"/>
      <c r="AF20" s="1274"/>
      <c r="AG20" s="1274"/>
      <c r="AH20" s="1274"/>
      <c r="AI20" s="1274"/>
      <c r="AJ20" s="1274"/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5">
    <mergeCell ref="E3:P3"/>
    <mergeCell ref="Q3:AF3"/>
    <mergeCell ref="A17:H17"/>
    <mergeCell ref="B1:BD1"/>
    <mergeCell ref="A2:AS2"/>
    <mergeCell ref="BB2:BC2"/>
    <mergeCell ref="A3:A5"/>
    <mergeCell ref="B3:B5"/>
    <mergeCell ref="C3:C5"/>
    <mergeCell ref="D3:D5"/>
    <mergeCell ref="AS4:AV4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</mergeCells>
  <printOptions/>
  <pageMargins bottom="0.196527777777778" footer="0.0" header="0.0" left="0.118055555555556" right="0.118055555555556" top="0.196527777777778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3.5" customHeight="1">
      <c r="A1" s="1275">
        <f>ESCALA!A3</f>
        <v>43922</v>
      </c>
      <c r="B1" s="1276" t="s">
        <v>394</v>
      </c>
      <c r="C1" s="570"/>
      <c r="D1" s="570"/>
      <c r="E1" s="570"/>
      <c r="F1" s="570"/>
      <c r="G1" s="571"/>
    </row>
    <row r="2" ht="23.25" customHeight="1">
      <c r="B2" s="1277" t="s">
        <v>448</v>
      </c>
      <c r="C2" s="570"/>
      <c r="D2" s="571"/>
      <c r="E2" s="1278" t="s">
        <v>449</v>
      </c>
      <c r="F2" s="570"/>
      <c r="G2" s="571"/>
    </row>
    <row r="3" ht="13.5" customHeight="1">
      <c r="B3" s="1279" t="s">
        <v>40</v>
      </c>
      <c r="C3" s="1279" t="s">
        <v>450</v>
      </c>
      <c r="D3" s="1279" t="s">
        <v>195</v>
      </c>
      <c r="E3" s="1280" t="s">
        <v>40</v>
      </c>
      <c r="F3" s="1280" t="s">
        <v>450</v>
      </c>
      <c r="G3" s="1280" t="s">
        <v>195</v>
      </c>
    </row>
    <row r="4" ht="13.5" customHeight="1">
      <c r="A4" s="1281">
        <v>1.0</v>
      </c>
      <c r="B4" s="1282">
        <f>'1'!F37</f>
        <v>1</v>
      </c>
      <c r="C4" s="1282">
        <f>'1'!G37</f>
        <v>0.2</v>
      </c>
      <c r="D4" s="1282">
        <f>'1'!H37</f>
        <v>0.1</v>
      </c>
      <c r="E4" s="1283">
        <f>'1'!I37</f>
        <v>0.15</v>
      </c>
      <c r="F4" s="1283">
        <f>'1'!J37</f>
        <v>0.03</v>
      </c>
      <c r="G4" s="1283">
        <f>'1'!K37</f>
        <v>0.03</v>
      </c>
    </row>
    <row r="5" ht="13.5" customHeight="1">
      <c r="A5" s="1281">
        <v>2.0</v>
      </c>
      <c r="B5" s="1282">
        <f>'2'!F37</f>
        <v>1.2</v>
      </c>
      <c r="C5" s="1282">
        <f>'2'!G37</f>
        <v>0.2</v>
      </c>
      <c r="D5" s="1282">
        <f>'2'!H37</f>
        <v>0.2</v>
      </c>
      <c r="E5" s="1283">
        <f>'2'!I37</f>
        <v>0.15</v>
      </c>
      <c r="F5" s="1283">
        <f>'2'!J37</f>
        <v>0</v>
      </c>
      <c r="G5" s="1283">
        <f>'2'!K37</f>
        <v>0</v>
      </c>
    </row>
    <row r="6" ht="13.5" customHeight="1">
      <c r="A6" s="1281">
        <v>3.0</v>
      </c>
      <c r="B6" s="1282">
        <f>'3'!F37</f>
        <v>1</v>
      </c>
      <c r="C6" s="1282">
        <f>'3'!G37</f>
        <v>0.2</v>
      </c>
      <c r="D6" s="1282">
        <f>'3'!H37</f>
        <v>0.2</v>
      </c>
      <c r="E6" s="1283">
        <f>'3'!I37</f>
        <v>0.1</v>
      </c>
      <c r="F6" s="1283">
        <f>'3'!J37</f>
        <v>0</v>
      </c>
      <c r="G6" s="1283">
        <f>'3'!K37</f>
        <v>0</v>
      </c>
    </row>
    <row r="7" ht="13.5" customHeight="1">
      <c r="A7" s="1281">
        <v>4.0</v>
      </c>
      <c r="B7" s="1282" t="str">
        <f>'4'!F37</f>
        <v/>
      </c>
      <c r="C7" s="1282" t="str">
        <f>'4'!G37</f>
        <v/>
      </c>
      <c r="D7" s="1282" t="str">
        <f>'4'!H37</f>
        <v/>
      </c>
      <c r="E7" s="1283" t="str">
        <f>'4'!I37</f>
        <v/>
      </c>
      <c r="F7" s="1283" t="str">
        <f>'4'!J37</f>
        <v/>
      </c>
      <c r="G7" s="1283" t="str">
        <f>'4'!K37</f>
        <v/>
      </c>
    </row>
    <row r="8" ht="13.5" customHeight="1">
      <c r="A8" s="1281">
        <v>5.0</v>
      </c>
      <c r="B8" s="1282">
        <f>'5'!F37</f>
        <v>1.4</v>
      </c>
      <c r="C8" s="1282">
        <f>'5'!G37</f>
        <v>0.2</v>
      </c>
      <c r="D8" s="1282">
        <f>'5'!H37</f>
        <v>0.1</v>
      </c>
      <c r="E8" s="1283">
        <f>'5'!I37</f>
        <v>0.15</v>
      </c>
      <c r="F8" s="1283">
        <f>'5'!J37</f>
        <v>0.06</v>
      </c>
      <c r="G8" s="1283">
        <f>'5'!K37</f>
        <v>0.03</v>
      </c>
    </row>
    <row r="9" ht="13.5" customHeight="1">
      <c r="A9" s="1281">
        <v>6.0</v>
      </c>
      <c r="B9" s="1282">
        <f>'6'!F37</f>
        <v>1.4</v>
      </c>
      <c r="C9" s="1282">
        <f>'6'!G37</f>
        <v>0</v>
      </c>
      <c r="D9" s="1282">
        <f>'6'!H37</f>
        <v>0.2</v>
      </c>
      <c r="E9" s="1283">
        <f>'6'!I37</f>
        <v>0.06</v>
      </c>
      <c r="F9" s="1283">
        <f>'6'!J37</f>
        <v>0</v>
      </c>
      <c r="G9" s="1283">
        <f>'6'!K37</f>
        <v>0</v>
      </c>
    </row>
    <row r="10" ht="13.5" customHeight="1">
      <c r="A10" s="1281">
        <v>7.0</v>
      </c>
      <c r="B10" s="1282">
        <f>'7'!F37</f>
        <v>1.4</v>
      </c>
      <c r="C10" s="1282">
        <f>'7'!G37</f>
        <v>0.2</v>
      </c>
      <c r="D10" s="1282">
        <f>'7'!H37</f>
        <v>0.1</v>
      </c>
      <c r="E10" s="1283">
        <f>'7'!I37</f>
        <v>0.15</v>
      </c>
      <c r="F10" s="1283">
        <f>'7'!J37</f>
        <v>0.06</v>
      </c>
      <c r="G10" s="1283">
        <f>'7'!K37</f>
        <v>0.03</v>
      </c>
    </row>
    <row r="11" ht="13.5" customHeight="1">
      <c r="A11" s="1281">
        <v>8.0</v>
      </c>
      <c r="B11" s="1282">
        <f>'8'!F37</f>
        <v>1</v>
      </c>
      <c r="C11" s="1282">
        <f>'8'!G37</f>
        <v>0.1</v>
      </c>
      <c r="D11" s="1282">
        <f>'8'!H37</f>
        <v>0.1</v>
      </c>
      <c r="E11" s="1283">
        <f>'8'!I37</f>
        <v>0.1</v>
      </c>
      <c r="F11" s="1283">
        <f>'8'!J37</f>
        <v>0.06</v>
      </c>
      <c r="G11" s="1283">
        <f>'8'!K37</f>
        <v>0.03</v>
      </c>
    </row>
    <row r="12" ht="13.5" customHeight="1">
      <c r="A12" s="1281">
        <v>9.0</v>
      </c>
      <c r="B12" s="1282">
        <f>'9'!F37</f>
        <v>1.2</v>
      </c>
      <c r="C12" s="1282">
        <f>'9'!G37</f>
        <v>0.2</v>
      </c>
      <c r="D12" s="1282">
        <f>'9'!H37</f>
        <v>0.1</v>
      </c>
      <c r="E12" s="1283">
        <f>'9'!I37</f>
        <v>0.2</v>
      </c>
      <c r="F12" s="1283">
        <f>'9'!J37</f>
        <v>0.06</v>
      </c>
      <c r="G12" s="1283">
        <f>'9'!K37</f>
        <v>0.03</v>
      </c>
    </row>
    <row r="13" ht="13.5" customHeight="1">
      <c r="A13" s="1281">
        <v>10.0</v>
      </c>
      <c r="B13" s="1282">
        <f>'10'!F37</f>
        <v>1</v>
      </c>
      <c r="C13" s="1282">
        <f>'10'!G37</f>
        <v>0.2</v>
      </c>
      <c r="D13" s="1282">
        <f>'10'!H37</f>
        <v>0.2</v>
      </c>
      <c r="E13" s="1283">
        <f>'10'!I37</f>
        <v>0.1</v>
      </c>
      <c r="F13" s="1283">
        <f>'10'!J37</f>
        <v>0.1</v>
      </c>
      <c r="G13" s="1283">
        <f>'10'!K37</f>
        <v>0</v>
      </c>
    </row>
    <row r="14" ht="13.5" customHeight="1">
      <c r="A14" s="1281">
        <v>11.0</v>
      </c>
      <c r="B14" s="1282">
        <f>'11'!F37</f>
        <v>1</v>
      </c>
      <c r="C14" s="1282">
        <f>'11'!G37</f>
        <v>0.2</v>
      </c>
      <c r="D14" s="1282">
        <f>'11'!H37</f>
        <v>0.1</v>
      </c>
      <c r="E14" s="1283">
        <f>'11'!I37</f>
        <v>0.1</v>
      </c>
      <c r="F14" s="1283">
        <f>'11'!J37</f>
        <v>0.06</v>
      </c>
      <c r="G14" s="1283">
        <f>'11'!K37</f>
        <v>0</v>
      </c>
    </row>
    <row r="15" ht="13.5" customHeight="1">
      <c r="A15" s="1281">
        <v>12.0</v>
      </c>
      <c r="B15" s="1282">
        <f>'12'!F37</f>
        <v>1</v>
      </c>
      <c r="C15" s="1282">
        <f>'12'!G37</f>
        <v>0.2</v>
      </c>
      <c r="D15" s="1282">
        <f>'12'!H37</f>
        <v>0.1</v>
      </c>
      <c r="E15" s="1283">
        <f>'12'!I37</f>
        <v>0.15</v>
      </c>
      <c r="F15" s="1283">
        <f>'12'!J37</f>
        <v>0.06</v>
      </c>
      <c r="G15" s="1283">
        <f>'12'!K37</f>
        <v>0.03</v>
      </c>
    </row>
    <row r="16" ht="13.5" customHeight="1">
      <c r="A16" s="1281">
        <v>13.0</v>
      </c>
      <c r="B16" s="1282">
        <f>'13'!F37</f>
        <v>1</v>
      </c>
      <c r="C16" s="1282">
        <f>'13'!G37</f>
        <v>0.2</v>
      </c>
      <c r="D16" s="1282">
        <f>'13'!H37</f>
        <v>0.1</v>
      </c>
      <c r="E16" s="1283">
        <f>'13'!I37</f>
        <v>0.1</v>
      </c>
      <c r="F16" s="1283">
        <f>'13'!J37</f>
        <v>0.1</v>
      </c>
      <c r="G16" s="1283">
        <f>'13'!K37</f>
        <v>0.03</v>
      </c>
    </row>
    <row r="17" ht="13.5" customHeight="1">
      <c r="A17" s="1281">
        <v>14.0</v>
      </c>
      <c r="B17" s="1282">
        <f>'14'!F37</f>
        <v>1</v>
      </c>
      <c r="C17" s="1282">
        <f>'14'!G37</f>
        <v>0.2</v>
      </c>
      <c r="D17" s="1282">
        <f>'14'!H37</f>
        <v>0.1</v>
      </c>
      <c r="E17" s="1283">
        <f>'14'!I37</f>
        <v>0.1</v>
      </c>
      <c r="F17" s="1283">
        <f>'14'!J37</f>
        <v>0.06</v>
      </c>
      <c r="G17" s="1283">
        <f>'14'!K37</f>
        <v>0.03</v>
      </c>
    </row>
    <row r="18" ht="13.5" customHeight="1">
      <c r="A18" s="1281">
        <v>15.0</v>
      </c>
      <c r="B18" s="1282">
        <f>'15'!F37</f>
        <v>1</v>
      </c>
      <c r="C18" s="1282">
        <f>'15'!G37</f>
        <v>0.2</v>
      </c>
      <c r="D18" s="1282">
        <f>'15'!H37</f>
        <v>0.1</v>
      </c>
      <c r="E18" s="1283">
        <f>'15'!I37</f>
        <v>0.15</v>
      </c>
      <c r="F18" s="1283">
        <f>'15'!J37</f>
        <v>0.06</v>
      </c>
      <c r="G18" s="1283">
        <f>'15'!K37</f>
        <v>0.03</v>
      </c>
    </row>
    <row r="19" ht="13.5" customHeight="1">
      <c r="A19" s="1281">
        <v>16.0</v>
      </c>
      <c r="B19" s="1282">
        <f>'16'!F37</f>
        <v>0.8</v>
      </c>
      <c r="C19" s="1282">
        <f>'16'!G37</f>
        <v>0.1</v>
      </c>
      <c r="D19" s="1282">
        <f>'16'!H37</f>
        <v>0.1</v>
      </c>
      <c r="E19" s="1283">
        <f>'16'!I37</f>
        <v>0.15</v>
      </c>
      <c r="F19" s="1283">
        <f>'16'!J37</f>
        <v>0.15</v>
      </c>
      <c r="G19" s="1283">
        <f>'16'!K37</f>
        <v>0</v>
      </c>
    </row>
    <row r="20" ht="13.5" customHeight="1">
      <c r="A20" s="1281">
        <v>17.0</v>
      </c>
      <c r="B20" s="1282">
        <f>'17'!F37</f>
        <v>1</v>
      </c>
      <c r="C20" s="1282">
        <f>'17'!G37</f>
        <v>0.2</v>
      </c>
      <c r="D20" s="1282">
        <f>'17'!H37</f>
        <v>0.1</v>
      </c>
      <c r="E20" s="1283">
        <f>'17'!I37</f>
        <v>0.15</v>
      </c>
      <c r="F20" s="1283">
        <f>'17'!J37</f>
        <v>0.1</v>
      </c>
      <c r="G20" s="1283">
        <f>'17'!K37</f>
        <v>0.03</v>
      </c>
    </row>
    <row r="21" ht="13.5" customHeight="1">
      <c r="A21" s="1281">
        <v>18.0</v>
      </c>
      <c r="B21" s="1282">
        <f>'18'!F37</f>
        <v>1</v>
      </c>
      <c r="C21" s="1282">
        <f>'18'!G37</f>
        <v>0.2</v>
      </c>
      <c r="D21" s="1282">
        <f>'18'!H37</f>
        <v>0.1</v>
      </c>
      <c r="E21" s="1283">
        <f>'18'!I37</f>
        <v>0.15</v>
      </c>
      <c r="F21" s="1283">
        <f>'18'!J37</f>
        <v>0.06</v>
      </c>
      <c r="G21" s="1283">
        <f>'18'!K37</f>
        <v>0.03</v>
      </c>
    </row>
    <row r="22" ht="13.5" customHeight="1">
      <c r="A22" s="1281">
        <v>19.0</v>
      </c>
      <c r="B22" s="1282">
        <f>'19'!F37</f>
        <v>1.2</v>
      </c>
      <c r="C22" s="1282">
        <f>'19'!G37</f>
        <v>0.1</v>
      </c>
      <c r="D22" s="1282">
        <f>'19'!H37</f>
        <v>0.1</v>
      </c>
      <c r="E22" s="1283">
        <f>'19'!I37</f>
        <v>0.1</v>
      </c>
      <c r="F22" s="1283">
        <f>'19'!J37</f>
        <v>0.15</v>
      </c>
      <c r="G22" s="1283">
        <f>'19'!K37</f>
        <v>0</v>
      </c>
    </row>
    <row r="23" ht="13.5" customHeight="1">
      <c r="A23" s="1281">
        <v>20.0</v>
      </c>
      <c r="B23" s="1282">
        <f>'20'!F37</f>
        <v>1</v>
      </c>
      <c r="C23" s="1282">
        <f>'20'!G37</f>
        <v>0.2</v>
      </c>
      <c r="D23" s="1282">
        <f>'20'!H37</f>
        <v>0.1</v>
      </c>
      <c r="E23" s="1283">
        <f>'20'!I37</f>
        <v>0.15</v>
      </c>
      <c r="F23" s="1283">
        <f>'20'!J37</f>
        <v>0.1</v>
      </c>
      <c r="G23" s="1283">
        <f>'20'!K37</f>
        <v>0.03</v>
      </c>
    </row>
    <row r="24" ht="13.5" customHeight="1">
      <c r="A24" s="1281">
        <v>21.0</v>
      </c>
      <c r="B24" s="1282">
        <f>'21'!F37</f>
        <v>1.2</v>
      </c>
      <c r="C24" s="1282">
        <f>'21'!G37</f>
        <v>1.2</v>
      </c>
      <c r="D24" s="1282">
        <f>'21'!H37</f>
        <v>0.2</v>
      </c>
      <c r="E24" s="1283">
        <f>'21'!I37</f>
        <v>0.1</v>
      </c>
      <c r="F24" s="1283">
        <f>'21'!J37</f>
        <v>0.1</v>
      </c>
      <c r="G24" s="1283">
        <f>'21'!K37</f>
        <v>0.03</v>
      </c>
    </row>
    <row r="25" ht="13.5" customHeight="1">
      <c r="A25" s="1281">
        <v>22.0</v>
      </c>
      <c r="B25" s="1282">
        <f>'22'!F37</f>
        <v>1</v>
      </c>
      <c r="C25" s="1282">
        <f>'22'!G37</f>
        <v>0.1</v>
      </c>
      <c r="D25" s="1282">
        <f>'22'!H37</f>
        <v>0.1</v>
      </c>
      <c r="E25" s="1283">
        <f>'22'!I37</f>
        <v>0.1</v>
      </c>
      <c r="F25" s="1283">
        <f>'22'!J37</f>
        <v>0.1</v>
      </c>
      <c r="G25" s="1283">
        <f>'22'!K37</f>
        <v>0</v>
      </c>
    </row>
    <row r="26" ht="13.5" customHeight="1">
      <c r="A26" s="1281">
        <v>23.0</v>
      </c>
      <c r="B26" s="1282">
        <f>'23'!F37</f>
        <v>1</v>
      </c>
      <c r="C26" s="1282">
        <f>'23'!G37</f>
        <v>0.1</v>
      </c>
      <c r="D26" s="1282">
        <f>'23'!H37</f>
        <v>0.1</v>
      </c>
      <c r="E26" s="1283">
        <f>'23'!I37</f>
        <v>0.15</v>
      </c>
      <c r="F26" s="1283">
        <f>'23'!J37</f>
        <v>0.12</v>
      </c>
      <c r="G26" s="1283">
        <f>'23'!K37</f>
        <v>0</v>
      </c>
    </row>
    <row r="27" ht="13.5" customHeight="1">
      <c r="A27" s="1281">
        <v>24.0</v>
      </c>
      <c r="B27" s="1282">
        <f>'24'!F37</f>
        <v>1.2</v>
      </c>
      <c r="C27" s="1282">
        <f>'24'!G37</f>
        <v>0.2</v>
      </c>
      <c r="D27" s="1282">
        <f>'24'!H37</f>
        <v>0.1</v>
      </c>
      <c r="E27" s="1283">
        <f>'24'!I37</f>
        <v>0.15</v>
      </c>
      <c r="F27" s="1283">
        <f>'24'!J37</f>
        <v>0.06</v>
      </c>
      <c r="G27" s="1283">
        <f>'24'!K37</f>
        <v>0.03</v>
      </c>
    </row>
    <row r="28" ht="13.5" customHeight="1">
      <c r="A28" s="1281">
        <v>25.0</v>
      </c>
      <c r="B28" s="1282">
        <f>'25'!F37</f>
        <v>1</v>
      </c>
      <c r="C28" s="1282">
        <f>'25'!G37</f>
        <v>0.1</v>
      </c>
      <c r="D28" s="1282">
        <f>'25'!H37</f>
        <v>0.1</v>
      </c>
      <c r="E28" s="1283">
        <f>'25'!I37</f>
        <v>0.15</v>
      </c>
      <c r="F28" s="1283">
        <f>'25'!J37</f>
        <v>0.05</v>
      </c>
      <c r="G28" s="1283">
        <f>'25'!K37</f>
        <v>0.03</v>
      </c>
    </row>
    <row r="29" ht="13.5" customHeight="1">
      <c r="A29" s="1281">
        <v>26.0</v>
      </c>
      <c r="B29" s="1282">
        <f>'26'!F37</f>
        <v>1</v>
      </c>
      <c r="C29" s="1282">
        <f>'26'!G37</f>
        <v>0.1</v>
      </c>
      <c r="D29" s="1282">
        <f>'26'!H37</f>
        <v>0.1</v>
      </c>
      <c r="E29" s="1283">
        <f>'26'!I37</f>
        <v>0.15</v>
      </c>
      <c r="F29" s="1283">
        <f>'26'!J37</f>
        <v>0.1</v>
      </c>
      <c r="G29" s="1283">
        <f>'26'!K37</f>
        <v>0.03</v>
      </c>
    </row>
    <row r="30" ht="13.5" customHeight="1">
      <c r="A30" s="1281">
        <v>27.0</v>
      </c>
      <c r="B30" s="1282">
        <f>'27'!F37</f>
        <v>1</v>
      </c>
      <c r="C30" s="1282">
        <f>'27'!G37</f>
        <v>0.1</v>
      </c>
      <c r="D30" s="1282">
        <f>'27'!H37</f>
        <v>0.1</v>
      </c>
      <c r="E30" s="1283">
        <f>'27'!I37</f>
        <v>0.15</v>
      </c>
      <c r="F30" s="1283">
        <f>'27'!J37</f>
        <v>0.06</v>
      </c>
      <c r="G30" s="1283">
        <f>'27'!K37</f>
        <v>0.03</v>
      </c>
    </row>
    <row r="31" ht="13.5" customHeight="1">
      <c r="A31" s="1281">
        <v>28.0</v>
      </c>
      <c r="B31" s="1282">
        <f>'28'!F37</f>
        <v>1.2</v>
      </c>
      <c r="C31" s="1282">
        <f>'28'!G37</f>
        <v>0.1</v>
      </c>
      <c r="D31" s="1282">
        <f>'28'!H37</f>
        <v>0.1</v>
      </c>
      <c r="E31" s="1283">
        <f>'28'!I37</f>
        <v>0.1</v>
      </c>
      <c r="F31" s="1283">
        <f>'28'!J37</f>
        <v>0.1</v>
      </c>
      <c r="G31" s="1283">
        <f>'28'!K37</f>
        <v>0</v>
      </c>
    </row>
    <row r="32" ht="13.5" customHeight="1">
      <c r="A32" s="1281">
        <v>29.0</v>
      </c>
      <c r="B32" s="1282">
        <f>'29'!F37</f>
        <v>1</v>
      </c>
      <c r="C32" s="1282">
        <f>'29'!G37</f>
        <v>0.1</v>
      </c>
      <c r="D32" s="1282">
        <f>'29'!H37</f>
        <v>0.1</v>
      </c>
      <c r="E32" s="1283">
        <f>'29'!I37</f>
        <v>0.1</v>
      </c>
      <c r="F32" s="1283">
        <f>'29'!J37</f>
        <v>0.1</v>
      </c>
      <c r="G32" s="1283">
        <f>'29'!K37</f>
        <v>0</v>
      </c>
    </row>
    <row r="33" ht="13.5" customHeight="1">
      <c r="A33" s="1281">
        <v>30.0</v>
      </c>
      <c r="B33" s="1282">
        <f>'30'!F37</f>
        <v>1</v>
      </c>
      <c r="C33" s="1282">
        <f>'30'!G37</f>
        <v>0.2</v>
      </c>
      <c r="D33" s="1282">
        <f>'30'!H37</f>
        <v>0.1</v>
      </c>
      <c r="E33" s="1283">
        <f>'30'!I37</f>
        <v>0.15</v>
      </c>
      <c r="F33" s="1283">
        <f>'30'!J37</f>
        <v>0.06</v>
      </c>
      <c r="G33" s="1283">
        <f>'30'!K37</f>
        <v>0.03</v>
      </c>
    </row>
    <row r="34" ht="13.5" customHeight="1">
      <c r="A34" s="1281">
        <v>31.0</v>
      </c>
      <c r="B34" s="1282">
        <f>'31'!F37</f>
        <v>1</v>
      </c>
      <c r="C34" s="1282">
        <f>'31'!G37</f>
        <v>0.1</v>
      </c>
      <c r="D34" s="1282">
        <f>'31'!H37</f>
        <v>0.1</v>
      </c>
      <c r="E34" s="1283">
        <f>'31'!I37</f>
        <v>0.17</v>
      </c>
      <c r="F34" s="1283">
        <f>'31'!J37</f>
        <v>0.08</v>
      </c>
      <c r="G34" s="1283">
        <f>'31'!K37</f>
        <v>0</v>
      </c>
    </row>
    <row r="35" ht="13.5" customHeight="1">
      <c r="A35" s="190"/>
      <c r="B35" s="190"/>
      <c r="C35" s="190"/>
      <c r="D35" s="190"/>
      <c r="E35" s="190"/>
      <c r="F35" s="190"/>
      <c r="G35" s="190"/>
    </row>
    <row r="36" ht="13.5" customHeight="1">
      <c r="A36" s="1284" t="s">
        <v>294</v>
      </c>
      <c r="B36" s="1283">
        <f t="shared" ref="B36:G36" si="1">MAX(B4:B34)</f>
        <v>1.4</v>
      </c>
      <c r="C36" s="1283">
        <f t="shared" si="1"/>
        <v>1.2</v>
      </c>
      <c r="D36" s="1283">
        <f t="shared" si="1"/>
        <v>0.2</v>
      </c>
      <c r="E36" s="1285">
        <f t="shared" si="1"/>
        <v>0.2</v>
      </c>
      <c r="F36" s="1285">
        <f t="shared" si="1"/>
        <v>0.15</v>
      </c>
      <c r="G36" s="1285">
        <f t="shared" si="1"/>
        <v>0.03</v>
      </c>
    </row>
    <row r="37" ht="13.5" customHeight="1">
      <c r="A37" s="1284" t="s">
        <v>295</v>
      </c>
      <c r="B37" s="1283">
        <f t="shared" ref="B37:G37" si="2">MIN(B4:B34)</f>
        <v>0.8</v>
      </c>
      <c r="C37" s="1283">
        <f t="shared" si="2"/>
        <v>0</v>
      </c>
      <c r="D37" s="1283">
        <f t="shared" si="2"/>
        <v>0.1</v>
      </c>
      <c r="E37" s="1285">
        <f t="shared" si="2"/>
        <v>0.06</v>
      </c>
      <c r="F37" s="1285">
        <f t="shared" si="2"/>
        <v>0</v>
      </c>
      <c r="G37" s="1285">
        <f t="shared" si="2"/>
        <v>0</v>
      </c>
    </row>
    <row r="38" ht="13.5" customHeight="1">
      <c r="A38" s="1284" t="s">
        <v>298</v>
      </c>
      <c r="B38" s="1283">
        <f t="shared" ref="B38:G38" si="3">AVERAGE(B4:B34)</f>
        <v>1.073333333</v>
      </c>
      <c r="C38" s="1283">
        <f t="shared" si="3"/>
        <v>0.19</v>
      </c>
      <c r="D38" s="1283">
        <f t="shared" si="3"/>
        <v>0.1166666667</v>
      </c>
      <c r="E38" s="1285">
        <f t="shared" si="3"/>
        <v>0.131</v>
      </c>
      <c r="F38" s="1285">
        <f t="shared" si="3"/>
        <v>0.07333333333</v>
      </c>
      <c r="G38" s="1285">
        <f t="shared" si="3"/>
        <v>0.018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A3"/>
    <mergeCell ref="B1:G1"/>
    <mergeCell ref="B2:D2"/>
    <mergeCell ref="E2:G2"/>
  </mergeCells>
  <printOptions/>
  <pageMargins bottom="0.7875" footer="0.0" header="0.0" left="0.7875" right="0.7875" top="0.78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